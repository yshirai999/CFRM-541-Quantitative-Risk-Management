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pivotCache/pivotCacheRecords1.xml" ContentType="application/vnd.openxmlformats-officedocument.spreadsheetml.pivotCacheRecords+xml"/>
  <Override PartName="/xl/pivotCache/pivotCacheDefinition1.xml" ContentType="application/vnd.openxmlformats-officedocument.spreadsheetml.pivotCacheDefinition+xml"/>
  <Override PartName="/xl/pivotTables/pivotTable1.xml" ContentType="application/vnd.openxmlformats-officedocument.spreadsheetml.pivotTable+xml"/>
  <Override PartName="/xl/pivotCache/pivotCacheRecords2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worksheets/sheet2.xml" ContentType="application/vnd.openxmlformats-officedocument.spreadsheetml.worksheet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worksheets/sheet3.xml" ContentType="application/vnd.openxmlformats-officedocument.spreadsheetml.worksheet+xml"/>
  <Override PartName="/xl/pivotCache/pivotCacheRecords3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Tables/pivotTable7.xml" ContentType="application/vnd.openxmlformats-officedocument.spreadsheetml.pivotTable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 /><Relationship Type="http://schemas.openxmlformats.org/package/2006/relationships/metadata/core-properties" Target="docProps/core.xml" Id="rId2" /><Relationship Type="http://schemas.openxmlformats.org/officeDocument/2006/relationships/extended-properties" Target="docProps/app.xml" Id="rId3" /></Relationships>
</file>

<file path=xl/workbook.xml><?xml version="1.0" encoding="utf-8"?>
<workbook xmlns:r="http://schemas.openxmlformats.org/officeDocument/2006/relationships" xmlns="http://schemas.openxmlformats.org/spreadsheetml/2006/main">
  <workbookPr codeName="ThisWorkbook"/>
  <bookViews>
    <workbookView visibility="visible" minimized="0" showHorizontalScroll="1" showVerticalScroll="1" showSheetTabs="1" xWindow="-98" yWindow="-98" windowWidth="21795" windowHeight="12975" tabRatio="766" firstSheet="0" activeTab="2" autoFilterDateGrouping="1"/>
  </bookViews>
  <sheets>
    <sheet name="PivotTablesVolShift" sheetId="1" state="visible" r:id="rId1"/>
    <sheet name="PivotTablesUnderlyingShift" sheetId="2" state="visible" r:id="rId2"/>
    <sheet name="PivotTablesVolUndShift" sheetId="3" state="visible" r:id="rId3"/>
    <sheet name="OptionsData" sheetId="4" state="visible" r:id="rId4"/>
    <sheet name="PriceData" sheetId="5" state="visible" r:id="rId5"/>
  </sheets>
  <definedNames>
    <definedName name="_xleta.DELTA" hidden="1" xlm="1">#NAME?</definedName>
    <definedName name="HedgeRange">#REF!</definedName>
    <definedName name="NKY_StrikeList">PriceData!$B$32:$V$32</definedName>
    <definedName name="NKY_VolTable">PriceData!$A$33:$V$35</definedName>
    <definedName name="OptionLattice">#REF!</definedName>
    <definedName name="PnL">#REF!</definedName>
    <definedName name="SPX_StrikeList">PriceData!$B$14:$V$14</definedName>
    <definedName name="SPX_VolTable">PriceData!$A$15:$V$17</definedName>
    <definedName name="StockLattice">#REF!</definedName>
    <definedName name="SX5E_StrikeList">PriceData!$B$23:$V$23</definedName>
    <definedName name="SX5E_VolTable">PriceData!$A$24:$V$26</definedName>
  </definedNames>
  <calcPr calcId="191029" fullCalcOnLoad="1"/>
  <pivotCaches>
    <pivotCache cacheId="2" r:id="rId6"/>
    <pivotCache cacheId="3" r:id="rId7"/>
    <pivotCache cacheId="4" r:id="rId8"/>
  </pivotCaches>
</workbook>
</file>

<file path=xl/styles.xml><?xml version="1.0" encoding="utf-8"?>
<styleSheet xmlns="http://schemas.openxmlformats.org/spreadsheetml/2006/main">
  <numFmts count="6">
    <numFmt numFmtId="164" formatCode="[$-409]d\-mmm\-yy;@"/>
    <numFmt numFmtId="165" formatCode="0.0%"/>
    <numFmt numFmtId="166" formatCode="0.0000"/>
    <numFmt numFmtId="167" formatCode="0.0"/>
    <numFmt numFmtId="168" formatCode="_(* #,##0_);_(* \(#,##0\);_(* &quot;-&quot;??_);_(@_)"/>
    <numFmt numFmtId="169" formatCode="0_);[Red]\(0\)"/>
  </numFmts>
  <fonts count="8">
    <font>
      <name val="Arial"/>
      <sz val="10"/>
    </font>
    <font>
      <name val="Arial"/>
      <sz val="10"/>
    </font>
    <font>
      <name val="Arial"/>
      <family val="2"/>
      <b val="1"/>
      <sz val="10"/>
    </font>
    <font>
      <name val="Arial"/>
      <family val="2"/>
      <i val="1"/>
      <sz val="10"/>
    </font>
    <font>
      <name val="Arial"/>
      <family val="2"/>
      <b val="1"/>
      <sz val="8"/>
    </font>
    <font>
      <name val="Arial"/>
      <family val="2"/>
      <b val="1"/>
      <i val="1"/>
      <sz val="10"/>
    </font>
    <font>
      <name val="Arial"/>
      <family val="2"/>
      <b val="1"/>
      <sz val="12"/>
    </font>
    <font>
      <name val="Arial"/>
      <b val="1"/>
      <color theme="1"/>
      <sz val="10"/>
    </font>
  </fonts>
  <fills count="6">
    <fill>
      <patternFill/>
    </fill>
    <fill>
      <patternFill patternType="gray125"/>
    </fill>
    <fill>
      <patternFill patternType="solid">
        <fgColor indexed="41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theme="4" tint="0.7999816888943144"/>
        <bgColor theme="4" tint="0.7999816888943144"/>
      </patternFill>
    </fill>
  </fills>
  <borders count="28">
    <border>
      <left/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8"/>
      </left>
      <right/>
      <top style="thin">
        <color indexed="8"/>
      </top>
      <bottom/>
      <diagonal/>
    </border>
    <border>
      <left style="thin">
        <color indexed="65"/>
      </left>
      <right/>
      <top style="thin">
        <color indexed="8"/>
      </top>
      <bottom/>
      <diagonal/>
    </border>
    <border>
      <left style="thin">
        <color indexed="65"/>
      </left>
      <right style="thin">
        <color indexed="8"/>
      </right>
      <top style="thin">
        <color indexed="8"/>
      </top>
      <bottom/>
      <diagonal/>
    </border>
    <border>
      <left/>
      <right/>
      <top style="thin">
        <color indexed="8"/>
      </top>
      <bottom/>
      <diagonal/>
    </border>
    <border>
      <left style="thin">
        <color indexed="8"/>
      </left>
      <right style="thin">
        <color indexed="8"/>
      </right>
      <top style="thin">
        <color indexed="8"/>
      </top>
      <bottom/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/>
      <top/>
      <bottom/>
      <diagonal/>
    </border>
    <border>
      <left style="thin">
        <color indexed="8"/>
      </left>
      <right/>
      <top style="thin">
        <color indexed="8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/>
      <bottom/>
      <diagonal/>
    </border>
    <border>
      <left/>
      <right/>
      <top style="thin">
        <color indexed="8"/>
      </top>
      <bottom style="thin">
        <color indexed="8"/>
      </bottom>
      <diagonal/>
    </border>
    <border>
      <left/>
      <right/>
      <top/>
      <bottom style="thin">
        <color theme="4" tint="0.3999755851924192"/>
      </bottom>
      <diagonal/>
    </border>
    <border>
      <left/>
      <right/>
      <top style="thin">
        <color theme="4" tint="0.3999755851924192"/>
      </top>
      <bottom/>
      <diagonal/>
    </border>
  </borders>
  <cellStyleXfs count="2">
    <xf numFmtId="0" fontId="1" fillId="0" borderId="0"/>
    <xf numFmtId="43" fontId="1" fillId="0" borderId="0"/>
  </cellStyleXfs>
  <cellXfs count="106">
    <xf numFmtId="0" fontId="0" fillId="0" borderId="0" pivotButton="0" quotePrefix="0" xfId="0"/>
    <xf numFmtId="0" fontId="0" fillId="0" borderId="1" applyAlignment="1" pivotButton="0" quotePrefix="0" xfId="0">
      <alignment horizontal="center"/>
    </xf>
    <xf numFmtId="2" fontId="0" fillId="0" borderId="0" applyAlignment="1" pivotButton="0" quotePrefix="0" xfId="0">
      <alignment horizontal="center"/>
    </xf>
    <xf numFmtId="0" fontId="0" fillId="0" borderId="0" applyAlignment="1" pivotButton="0" quotePrefix="0" xfId="0">
      <alignment horizontal="left"/>
    </xf>
    <xf numFmtId="0" fontId="0" fillId="0" borderId="0" applyAlignment="1" pivotButton="0" quotePrefix="0" xfId="0">
      <alignment horizontal="center"/>
    </xf>
    <xf numFmtId="164" fontId="0" fillId="0" borderId="0" applyAlignment="1" pivotButton="0" quotePrefix="0" xfId="0">
      <alignment horizontal="center"/>
    </xf>
    <xf numFmtId="164" fontId="0" fillId="0" borderId="0" pivotButton="0" quotePrefix="0" xfId="0"/>
    <xf numFmtId="164" fontId="0" fillId="0" borderId="2" applyAlignment="1" pivotButton="0" quotePrefix="0" xfId="0">
      <alignment horizontal="center"/>
    </xf>
    <xf numFmtId="0" fontId="2" fillId="2" borderId="3" pivotButton="0" quotePrefix="0" xfId="0"/>
    <xf numFmtId="164" fontId="0" fillId="0" borderId="4" applyAlignment="1" pivotButton="0" quotePrefix="0" xfId="0">
      <alignment horizontal="left"/>
    </xf>
    <xf numFmtId="164" fontId="0" fillId="0" borderId="1" applyAlignment="1" pivotButton="0" quotePrefix="0" xfId="0">
      <alignment horizontal="left"/>
    </xf>
    <xf numFmtId="164" fontId="0" fillId="0" borderId="5" applyAlignment="1" pivotButton="0" quotePrefix="0" xfId="0">
      <alignment horizontal="left"/>
    </xf>
    <xf numFmtId="10" fontId="0" fillId="0" borderId="4" applyAlignment="1" pivotButton="0" quotePrefix="0" xfId="0">
      <alignment horizontal="center"/>
    </xf>
    <xf numFmtId="10" fontId="0" fillId="0" borderId="6" applyAlignment="1" pivotButton="0" quotePrefix="0" xfId="0">
      <alignment horizontal="center"/>
    </xf>
    <xf numFmtId="10" fontId="0" fillId="0" borderId="1" applyAlignment="1" pivotButton="0" quotePrefix="0" xfId="0">
      <alignment horizontal="center"/>
    </xf>
    <xf numFmtId="10" fontId="0" fillId="0" borderId="7" applyAlignment="1" pivotButton="0" quotePrefix="0" xfId="0">
      <alignment horizontal="center"/>
    </xf>
    <xf numFmtId="10" fontId="0" fillId="0" borderId="5" applyAlignment="1" pivotButton="0" quotePrefix="0" xfId="0">
      <alignment horizontal="center"/>
    </xf>
    <xf numFmtId="10" fontId="0" fillId="0" borderId="8" applyAlignment="1" pivotButton="0" quotePrefix="0" xfId="0">
      <alignment horizontal="center"/>
    </xf>
    <xf numFmtId="0" fontId="2" fillId="2" borderId="2" pivotButton="0" quotePrefix="0" xfId="0"/>
    <xf numFmtId="0" fontId="0" fillId="0" borderId="4" applyAlignment="1" pivotButton="0" quotePrefix="0" xfId="0">
      <alignment horizontal="center"/>
    </xf>
    <xf numFmtId="0" fontId="0" fillId="0" borderId="5" applyAlignment="1" pivotButton="0" quotePrefix="0" xfId="0">
      <alignment horizontal="center"/>
    </xf>
    <xf numFmtId="0" fontId="4" fillId="0" borderId="0" applyAlignment="1" pivotButton="0" quotePrefix="0" xfId="0">
      <alignment horizontal="center"/>
    </xf>
    <xf numFmtId="0" fontId="4" fillId="0" borderId="0" applyAlignment="1" pivotButton="0" quotePrefix="0" xfId="0">
      <alignment horizontal="left"/>
    </xf>
    <xf numFmtId="164" fontId="4" fillId="0" borderId="0" applyAlignment="1" pivotButton="0" quotePrefix="0" xfId="0">
      <alignment horizontal="center"/>
    </xf>
    <xf numFmtId="0" fontId="5" fillId="2" borderId="2" applyAlignment="1" pivotButton="0" quotePrefix="0" xfId="0">
      <alignment horizontal="center"/>
    </xf>
    <xf numFmtId="0" fontId="5" fillId="2" borderId="9" applyAlignment="1" pivotButton="0" quotePrefix="0" xfId="0">
      <alignment horizontal="center"/>
    </xf>
    <xf numFmtId="0" fontId="5" fillId="2" borderId="4" applyAlignment="1" pivotButton="0" quotePrefix="0" xfId="0">
      <alignment horizontal="left"/>
    </xf>
    <xf numFmtId="0" fontId="5" fillId="2" borderId="5" applyAlignment="1" pivotButton="0" quotePrefix="0" xfId="0">
      <alignment horizontal="left"/>
    </xf>
    <xf numFmtId="10" fontId="0" fillId="0" borderId="0" pivotButton="0" quotePrefix="0" xfId="0"/>
    <xf numFmtId="10" fontId="4" fillId="0" borderId="0" applyAlignment="1" pivotButton="0" quotePrefix="0" xfId="0">
      <alignment horizontal="center"/>
    </xf>
    <xf numFmtId="10" fontId="0" fillId="0" borderId="0" applyAlignment="1" pivotButton="0" quotePrefix="0" xfId="0">
      <alignment horizontal="center"/>
    </xf>
    <xf numFmtId="0" fontId="0" fillId="0" borderId="2" pivotButton="0" quotePrefix="0" xfId="0"/>
    <xf numFmtId="0" fontId="2" fillId="2" borderId="2" applyAlignment="1" pivotButton="0" quotePrefix="0" xfId="0">
      <alignment horizontal="center"/>
    </xf>
    <xf numFmtId="0" fontId="2" fillId="2" borderId="9" applyAlignment="1" pivotButton="0" quotePrefix="0" xfId="0">
      <alignment horizontal="center"/>
    </xf>
    <xf numFmtId="0" fontId="2" fillId="2" borderId="1" pivotButton="0" quotePrefix="0" xfId="0"/>
    <xf numFmtId="0" fontId="2" fillId="2" borderId="5" pivotButton="0" quotePrefix="0" xfId="0"/>
    <xf numFmtId="164" fontId="3" fillId="0" borderId="4" applyAlignment="1" pivotButton="0" quotePrefix="0" xfId="0">
      <alignment horizontal="left"/>
    </xf>
    <xf numFmtId="164" fontId="3" fillId="0" borderId="1" applyAlignment="1" pivotButton="0" quotePrefix="0" xfId="0">
      <alignment horizontal="left"/>
    </xf>
    <xf numFmtId="164" fontId="3" fillId="0" borderId="5" applyAlignment="1" pivotButton="0" quotePrefix="0" xfId="0">
      <alignment horizontal="left"/>
    </xf>
    <xf numFmtId="0" fontId="0" fillId="2" borderId="3" applyAlignment="1" pivotButton="0" quotePrefix="0" xfId="0">
      <alignment horizontal="center"/>
    </xf>
    <xf numFmtId="0" fontId="0" fillId="2" borderId="10" applyAlignment="1" pivotButton="0" quotePrefix="0" xfId="0">
      <alignment horizontal="center"/>
    </xf>
    <xf numFmtId="0" fontId="0" fillId="2" borderId="9" applyAlignment="1" pivotButton="0" quotePrefix="0" xfId="0">
      <alignment horizontal="center"/>
    </xf>
    <xf numFmtId="165" fontId="0" fillId="0" borderId="11" applyAlignment="1" pivotButton="0" quotePrefix="0" xfId="0">
      <alignment horizontal="center"/>
    </xf>
    <xf numFmtId="165" fontId="0" fillId="0" borderId="12" applyAlignment="1" pivotButton="0" quotePrefix="0" xfId="0">
      <alignment horizontal="center"/>
    </xf>
    <xf numFmtId="165" fontId="0" fillId="0" borderId="6" applyAlignment="1" pivotButton="0" quotePrefix="0" xfId="0">
      <alignment horizontal="center"/>
    </xf>
    <xf numFmtId="165" fontId="0" fillId="0" borderId="13" applyAlignment="1" pivotButton="0" quotePrefix="0" xfId="0">
      <alignment horizontal="center"/>
    </xf>
    <xf numFmtId="165" fontId="0" fillId="0" borderId="0" applyAlignment="1" pivotButton="0" quotePrefix="0" xfId="0">
      <alignment horizontal="center"/>
    </xf>
    <xf numFmtId="165" fontId="0" fillId="0" borderId="7" applyAlignment="1" pivotButton="0" quotePrefix="0" xfId="0">
      <alignment horizontal="center"/>
    </xf>
    <xf numFmtId="165" fontId="0" fillId="0" borderId="14" applyAlignment="1" pivotButton="0" quotePrefix="0" xfId="0">
      <alignment horizontal="center"/>
    </xf>
    <xf numFmtId="165" fontId="0" fillId="0" borderId="15" applyAlignment="1" pivotButton="0" quotePrefix="0" xfId="0">
      <alignment horizontal="center"/>
    </xf>
    <xf numFmtId="165" fontId="0" fillId="0" borderId="8" applyAlignment="1" pivotButton="0" quotePrefix="0" xfId="0">
      <alignment horizontal="center"/>
    </xf>
    <xf numFmtId="166" fontId="0" fillId="0" borderId="5" applyAlignment="1" pivotButton="0" quotePrefix="0" xfId="0">
      <alignment horizontal="center"/>
    </xf>
    <xf numFmtId="165" fontId="0" fillId="0" borderId="0" pivotButton="0" quotePrefix="0" xfId="0"/>
    <xf numFmtId="165" fontId="4" fillId="0" borderId="0" applyAlignment="1" pivotButton="0" quotePrefix="0" xfId="0">
      <alignment horizontal="center"/>
    </xf>
    <xf numFmtId="2" fontId="4" fillId="0" borderId="0" applyAlignment="1" pivotButton="0" quotePrefix="0" xfId="0">
      <alignment horizontal="center"/>
    </xf>
    <xf numFmtId="2" fontId="0" fillId="0" borderId="0" pivotButton="0" quotePrefix="0" xfId="0"/>
    <xf numFmtId="167" fontId="0" fillId="0" borderId="0" pivotButton="0" quotePrefix="0" xfId="0"/>
    <xf numFmtId="167" fontId="4" fillId="0" borderId="0" applyAlignment="1" pivotButton="0" quotePrefix="0" xfId="0">
      <alignment horizontal="center"/>
    </xf>
    <xf numFmtId="167" fontId="0" fillId="0" borderId="0" applyAlignment="1" pivotButton="0" quotePrefix="0" xfId="0">
      <alignment horizontal="center"/>
    </xf>
    <xf numFmtId="168" fontId="0" fillId="0" borderId="0" pivotButton="0" quotePrefix="0" xfId="1"/>
    <xf numFmtId="1" fontId="0" fillId="0" borderId="0" applyAlignment="1" pivotButton="0" quotePrefix="0" xfId="0">
      <alignment horizontal="center"/>
    </xf>
    <xf numFmtId="1" fontId="4" fillId="0" borderId="0" applyAlignment="1" pivotButton="0" quotePrefix="0" xfId="0">
      <alignment horizontal="center"/>
    </xf>
    <xf numFmtId="167" fontId="0" fillId="3" borderId="0" applyAlignment="1" pivotButton="0" quotePrefix="0" xfId="0">
      <alignment horizontal="center"/>
    </xf>
    <xf numFmtId="2" fontId="0" fillId="3" borderId="0" applyAlignment="1" pivotButton="0" quotePrefix="0" xfId="0">
      <alignment horizontal="center"/>
    </xf>
    <xf numFmtId="168" fontId="4" fillId="0" borderId="0" applyAlignment="1" pivotButton="0" quotePrefix="0" xfId="1">
      <alignment horizontal="center"/>
    </xf>
    <xf numFmtId="168" fontId="0" fillId="0" borderId="0" applyAlignment="1" pivotButton="0" quotePrefix="0" xfId="1">
      <alignment horizontal="center"/>
    </xf>
    <xf numFmtId="0" fontId="0" fillId="0" borderId="16" pivotButton="1" quotePrefix="0" xfId="0"/>
    <xf numFmtId="0" fontId="0" fillId="0" borderId="17" pivotButton="0" quotePrefix="0" xfId="0"/>
    <xf numFmtId="0" fontId="0" fillId="0" borderId="18" pivotButton="0" quotePrefix="0" xfId="0"/>
    <xf numFmtId="164" fontId="0" fillId="0" borderId="16" pivotButton="0" quotePrefix="0" xfId="0"/>
    <xf numFmtId="164" fontId="0" fillId="0" borderId="19" pivotButton="0" quotePrefix="0" xfId="0"/>
    <xf numFmtId="164" fontId="0" fillId="0" borderId="20" pivotButton="0" quotePrefix="0" xfId="0"/>
    <xf numFmtId="0" fontId="0" fillId="0" borderId="21" pivotButton="1" quotePrefix="0" xfId="0"/>
    <xf numFmtId="0" fontId="0" fillId="0" borderId="21" pivotButton="0" quotePrefix="0" xfId="0"/>
    <xf numFmtId="0" fontId="0" fillId="0" borderId="16" applyAlignment="1" pivotButton="0" quotePrefix="0" xfId="0">
      <alignment horizontal="center"/>
    </xf>
    <xf numFmtId="0" fontId="0" fillId="0" borderId="22" applyAlignment="1" pivotButton="0" quotePrefix="0" xfId="0">
      <alignment horizontal="center"/>
    </xf>
    <xf numFmtId="169" fontId="0" fillId="0" borderId="22" applyAlignment="1" pivotButton="0" quotePrefix="0" xfId="0">
      <alignment horizontal="center"/>
    </xf>
    <xf numFmtId="169" fontId="0" fillId="0" borderId="23" applyAlignment="1" pivotButton="0" quotePrefix="0" xfId="0">
      <alignment horizontal="center"/>
    </xf>
    <xf numFmtId="1" fontId="0" fillId="0" borderId="0" applyAlignment="1" pivotButton="0" quotePrefix="0" xfId="1">
      <alignment horizontal="center"/>
    </xf>
    <xf numFmtId="1" fontId="4" fillId="0" borderId="0" applyAlignment="1" pivotButton="0" quotePrefix="0" xfId="1">
      <alignment horizontal="center"/>
    </xf>
    <xf numFmtId="38" fontId="0" fillId="0" borderId="16" applyAlignment="1" pivotButton="0" quotePrefix="0" xfId="0">
      <alignment horizontal="center"/>
    </xf>
    <xf numFmtId="38" fontId="0" fillId="0" borderId="19" applyAlignment="1" pivotButton="0" quotePrefix="0" xfId="0">
      <alignment horizontal="center"/>
    </xf>
    <xf numFmtId="38" fontId="0" fillId="0" borderId="20" applyAlignment="1" pivotButton="0" quotePrefix="0" xfId="0">
      <alignment horizontal="center"/>
    </xf>
    <xf numFmtId="38" fontId="0" fillId="0" borderId="22" applyAlignment="1" pivotButton="0" quotePrefix="0" xfId="0">
      <alignment horizontal="center"/>
    </xf>
    <xf numFmtId="38" fontId="0" fillId="0" borderId="0" applyAlignment="1" pivotButton="0" quotePrefix="0" xfId="0">
      <alignment horizontal="center"/>
    </xf>
    <xf numFmtId="38" fontId="0" fillId="0" borderId="24" applyAlignment="1" pivotButton="0" quotePrefix="0" xfId="0">
      <alignment horizontal="center"/>
    </xf>
    <xf numFmtId="38" fontId="0" fillId="0" borderId="23" applyAlignment="1" pivotButton="0" quotePrefix="0" xfId="0">
      <alignment horizontal="center"/>
    </xf>
    <xf numFmtId="38" fontId="0" fillId="0" borderId="25" applyAlignment="1" pivotButton="0" quotePrefix="0" xfId="0">
      <alignment horizontal="center"/>
    </xf>
    <xf numFmtId="38" fontId="0" fillId="0" borderId="21" applyAlignment="1" pivotButton="0" quotePrefix="0" xfId="0">
      <alignment horizontal="center"/>
    </xf>
    <xf numFmtId="0" fontId="4" fillId="0" borderId="3" applyAlignment="1" pivotButton="0" quotePrefix="0" xfId="0">
      <alignment horizontal="center"/>
    </xf>
    <xf numFmtId="0" fontId="4" fillId="0" borderId="10" applyAlignment="1" pivotButton="0" quotePrefix="0" xfId="0">
      <alignment horizontal="center"/>
    </xf>
    <xf numFmtId="0" fontId="4" fillId="0" borderId="9" applyAlignment="1" pivotButton="0" quotePrefix="0" xfId="0">
      <alignment horizontal="center"/>
    </xf>
    <xf numFmtId="0" fontId="0" fillId="0" borderId="20" pivotButton="0" quotePrefix="0" xfId="0"/>
    <xf numFmtId="0" fontId="0" fillId="0" borderId="23" applyAlignment="1" pivotButton="0" quotePrefix="0" xfId="0">
      <alignment horizontal="center"/>
    </xf>
    <xf numFmtId="164" fontId="0" fillId="0" borderId="16" applyAlignment="1" pivotButton="0" quotePrefix="0" xfId="0">
      <alignment horizontal="center"/>
    </xf>
    <xf numFmtId="164" fontId="0" fillId="0" borderId="19" applyAlignment="1" pivotButton="0" quotePrefix="0" xfId="0">
      <alignment horizontal="center"/>
    </xf>
    <xf numFmtId="0" fontId="0" fillId="0" borderId="0" pivotButton="1" quotePrefix="0" xfId="0"/>
    <xf numFmtId="0" fontId="7" fillId="5" borderId="0" pivotButton="0" quotePrefix="0" xfId="0"/>
    <xf numFmtId="0" fontId="7" fillId="5" borderId="26" pivotButton="0" quotePrefix="0" xfId="0"/>
    <xf numFmtId="43" fontId="1" fillId="0" borderId="0" pivotButton="0" quotePrefix="0" xfId="0"/>
    <xf numFmtId="43" fontId="7" fillId="5" borderId="27" pivotButton="0" quotePrefix="0" xfId="0"/>
    <xf numFmtId="43" fontId="0" fillId="0" borderId="0" pivotButton="0" quotePrefix="0" xfId="0"/>
    <xf numFmtId="0" fontId="6" fillId="4" borderId="2" applyAlignment="1" pivotButton="0" quotePrefix="0" xfId="0">
      <alignment horizontal="center"/>
    </xf>
    <xf numFmtId="0" fontId="0" fillId="0" borderId="10" pivotButton="0" quotePrefix="0" xfId="0"/>
    <xf numFmtId="0" fontId="0" fillId="0" borderId="9" pivotButton="0" quotePrefix="0" xfId="0"/>
    <xf numFmtId="0" fontId="2" fillId="4" borderId="2" applyAlignment="1" pivotButton="0" quotePrefix="0" xfId="0">
      <alignment horizontal="center"/>
    </xf>
  </cellXfs>
  <cellStyles count="2">
    <cellStyle name="Normal" xfId="0" builtinId="0"/>
    <cellStyle name="Comma" xfId="1" builtinId="3"/>
  </cellStyles>
  <dxfs count="36">
    <dxf>
      <font>
        <name val="Arial"/>
        <strike val="0"/>
        <outline val="0"/>
        <shadow val="0"/>
        <condense val="0"/>
        <color auto="1"/>
        <extend val="0"/>
        <sz val="10"/>
        <vertAlign val="baseline"/>
      </font>
      <numFmt numFmtId="35" formatCode="_(* #,##0.00_);_(* \(#,##0.00\);_(* &quot;-&quot;??_);_(@_)"/>
      <fill>
        <patternFill>
          <fgColor indexed="64"/>
          <bgColor indexed="65"/>
        </patternFill>
      </fill>
      <alignment horizontal="general" vertical="bottom"/>
      <border outline="0">
        <left/>
        <right/>
        <top/>
        <bottom/>
      </border>
      <protection locked="1" hidden="0"/>
    </dxf>
    <dxf>
      <alignment horizontal="center"/>
    </dxf>
    <dxf>
      <alignment horizontal="center"/>
    </dxf>
    <dxf>
      <alignment horizontal="center"/>
    </dxf>
    <dxf>
      <numFmt numFmtId="6" formatCode="#,##0_);[Red]\(#,##0\)"/>
    </dxf>
    <dxf>
      <numFmt numFmtId="169" formatCode="0_);[Red]\(0\)"/>
    </dxf>
    <dxf>
      <numFmt numFmtId="169" formatCode="0_);[Red]\(0\)"/>
    </dxf>
    <dxf>
      <alignment horizontal="center"/>
    </dxf>
    <dxf>
      <alignment horizontal="center"/>
    </dxf>
    <dxf>
      <alignment horizontal="center"/>
    </dxf>
    <dxf>
      <alignment horizontal="center"/>
    </dxf>
    <dxf>
      <numFmt numFmtId="6" formatCode="#,##0_);[Red]\(#,##0\)"/>
    </dxf>
    <dxf>
      <alignment horizontal="center"/>
    </dxf>
    <dxf>
      <alignment horizontal="center"/>
    </dxf>
    <dxf>
      <alignment horizontal="center"/>
    </dxf>
    <dxf>
      <numFmt numFmtId="164" formatCode="[$-409]d\-mmm\-yy;@"/>
    </dxf>
    <dxf>
      <numFmt numFmtId="6" formatCode="#,##0_);[Red]\(#,##0\)"/>
    </dxf>
    <dxf>
      <numFmt numFmtId="6" formatCode="#,##0_);[Red]\(#,##0\)"/>
    </dxf>
    <dxf>
      <alignment horizontal="center"/>
    </dxf>
    <dxf>
      <alignment horizontal="center"/>
    </dxf>
    <dxf>
      <alignment horizontal="center"/>
    </dxf>
    <dxf>
      <alignment horizontal="center"/>
    </dxf>
    <dxf>
      <numFmt numFmtId="6" formatCode="#,##0_);[Red]\(#,##0\)"/>
    </dxf>
    <dxf>
      <numFmt numFmtId="169" formatCode="0_);[Red]\(0\)"/>
    </dxf>
    <dxf>
      <numFmt numFmtId="169" formatCode="0_);[Red]\(0\)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numFmt numFmtId="164" formatCode="[$-409]d\-mmm\-yy;@"/>
    </dxf>
    <dxf>
      <numFmt numFmtId="6" formatCode="#,##0_);[Red]\(#,##0\)"/>
    </dxf>
    <dxf>
      <numFmt numFmtId="6" formatCode="#,##0_);[Red]\(#,##0\)"/>
    </dxf>
    <dxf>
      <alignment horizontal="center"/>
    </dxf>
    <dxf>
      <numFmt numFmtId="6" formatCode="#,##0_);[Red]\(#,##0\)"/>
    </dxf>
    <dxf>
      <alignment horizontal="center"/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 /><Relationship Type="http://schemas.openxmlformats.org/officeDocument/2006/relationships/worksheet" Target="/xl/worksheets/sheet2.xml" Id="rId2" /><Relationship Type="http://schemas.openxmlformats.org/officeDocument/2006/relationships/worksheet" Target="/xl/worksheets/sheet3.xml" Id="rId3" /><Relationship Type="http://schemas.openxmlformats.org/officeDocument/2006/relationships/worksheet" Target="/xl/worksheets/sheet4.xml" Id="rId4" /><Relationship Type="http://schemas.openxmlformats.org/officeDocument/2006/relationships/worksheet" Target="/xl/worksheets/sheet5.xml" Id="rId5" /><Relationship Type="http://schemas.openxmlformats.org/officeDocument/2006/relationships/pivotCacheDefinition" Target="/xl/pivotCache/pivotCacheDefinition1.xml" Id="rId6" /><Relationship Type="http://schemas.openxmlformats.org/officeDocument/2006/relationships/pivotCacheDefinition" Target="/xl/pivotCache/pivotCacheDefinition2.xml" Id="rId7" /><Relationship Type="http://schemas.openxmlformats.org/officeDocument/2006/relationships/pivotCacheDefinition" Target="/xl/pivotCache/pivotCacheDefinition3.xml" Id="rId8" /><Relationship Type="http://schemas.openxmlformats.org/officeDocument/2006/relationships/styles" Target="styles.xml" Id="rId9" /><Relationship Type="http://schemas.openxmlformats.org/officeDocument/2006/relationships/theme" Target="theme/theme1.xml" Id="rId10" /><Relationship Type="http://schemas.microsoft.com/office/2006/relationships/vbaProject" Target="vbaProject.bin" Id="rId11" /></Relationships>
</file>

<file path=xl/pivotCache/_rels/pivotCacheDefinition1.xml.rels><Relationships xmlns="http://schemas.openxmlformats.org/package/2006/relationships"><Relationship Type="http://schemas.openxmlformats.org/officeDocument/2006/relationships/pivotCacheRecords" Target="/xl/pivotCache/pivotCacheRecords1.xml" Id="rId1" /></Relationships>
</file>

<file path=xl/pivotCache/_rels/pivotCacheDefinition2.xml.rels><Relationships xmlns="http://schemas.openxmlformats.org/package/2006/relationships"><Relationship Type="http://schemas.openxmlformats.org/officeDocument/2006/relationships/pivotCacheRecords" Target="/xl/pivotCache/pivotCacheRecords1.xml" Id="rId1" /></Relationships>
</file>

<file path=xl/pivotCache/_rels/pivotCacheDefinition3.xml.rels><Relationships xmlns="http://schemas.openxmlformats.org/package/2006/relationships"><Relationship Type="http://schemas.openxmlformats.org/officeDocument/2006/relationships/pivotCacheRecords" Target="/xl/pivotCache/pivotCacheRecords1.xml" Id="rId1" /></Relationships>
</file>

<file path=xl/pivotCache/pivotCacheDefinition1.xml><?xml version="1.0" encoding="utf-8"?>
<pivotCacheDefinition xmlns:r="http://schemas.openxmlformats.org/officeDocument/2006/relationships" xmlns="http://schemas.openxmlformats.org/spreadsheetml/2006/main" refreshedBy="mhaugh" refreshedDate="40187.46693946759" createdVersion="1" refreshedVersion="2" recordCount="83" upgradeOnRefresh="1" r:id="rId1">
  <cacheSource type="worksheet">
    <worksheetSource ref="A4:AQ87" sheet="OptionsData"/>
  </cacheSource>
  <cacheFields count="44">
    <cacheField name="Underlying" uniqueList="1" numFmtId="0" sqlType="0" hierarchy="0" level="0" databaseField="1">
      <sharedItems count="3">
        <s v="SPX Index"/>
        <s v="SX5E Index"/>
        <s v="NKY Index"/>
      </sharedItems>
    </cacheField>
    <cacheField name="Underlying Price" uniqueList="1" numFmtId="0" sqlType="0" hierarchy="0" level="0" databaseField="1">
      <sharedItems count="3" containsInteger="1" containsNumber="1" containsSemiMixedTypes="0" containsString="0" minValue="1100" maxValue="10022">
        <n v="1100"/>
        <n v="2905"/>
        <n v="10022"/>
      </sharedItems>
    </cacheField>
    <cacheField name="Div. Yield" uniqueList="1" numFmtId="0" sqlType="0" hierarchy="0" level="0" databaseField="1">
      <sharedItems count="3" containsNumber="1" containsSemiMixedTypes="0" containsString="0" minValue="0.005" maxValue="0.022">
        <n v="0.02"/>
        <n v="0.022"/>
        <n v="0.005"/>
      </sharedItems>
    </cacheField>
    <cacheField name="Security Type" uniqueList="1" numFmtId="0" sqlType="0" hierarchy="0" level="0" databaseField="1">
      <sharedItems count="2">
        <s v="Future"/>
        <s v="Option"/>
      </sharedItems>
    </cacheField>
    <cacheField name="Currency" uniqueList="1" numFmtId="0" sqlType="0" hierarchy="0" level="0" databaseField="1">
      <sharedItems count="3">
        <s v="USD"/>
        <s v="EUR"/>
        <s v="JPY"/>
      </sharedItems>
    </cacheField>
    <cacheField name="Position" uniqueList="1" numFmtId="0" sqlType="0" hierarchy="0" level="0" databaseField="1">
      <sharedItems count="15" containsInteger="1" containsNumber="1" containsSemiMixedTypes="0" containsString="0" minValue="-50" maxValue="200">
        <n v="25"/>
        <n v="200"/>
        <n v="-50"/>
        <n v="-25"/>
        <n v="30"/>
        <n v="-20"/>
        <n v="20"/>
        <n v="50"/>
        <n v="-30"/>
        <n v="-10"/>
        <n v="10"/>
        <n v="-40"/>
        <n v="5"/>
        <n v="-15"/>
        <n v="-5"/>
      </sharedItems>
    </cacheField>
    <cacheField name="Strike" uniqueList="1" numFmtId="0" sqlType="0" hierarchy="0" level="0" databaseField="1">
      <sharedItems count="30" containsBlank="1" containsInteger="1" containsNumber="1" containsString="0" minValue="902" maxValue="11525">
        <m/>
        <n v="935"/>
        <n v="1001"/>
        <n v="1100"/>
        <n v="1034"/>
        <n v="1232"/>
        <n v="902"/>
        <n v="1331"/>
        <n v="1298"/>
        <n v="1067"/>
        <n v="2992"/>
        <n v="2818"/>
        <n v="2556"/>
        <n v="3079"/>
        <n v="2469"/>
        <n v="3166"/>
        <n v="3254"/>
        <n v="2905"/>
        <n v="3341"/>
        <n v="3428"/>
        <n v="2731"/>
        <n v="10022"/>
        <n v="9120"/>
        <n v="10323"/>
        <n v="8519"/>
        <n v="11225"/>
        <n v="11525"/>
        <n v="9721"/>
        <n v="7617"/>
        <n v="8819"/>
      </sharedItems>
    </cacheField>
    <cacheField name="CallPut" uniqueList="1" numFmtId="0" sqlType="0" hierarchy="0" level="0" databaseField="1">
      <sharedItems count="3" containsBlank="1">
        <m/>
        <s v="Put"/>
        <s v="Call"/>
      </sharedItems>
    </cacheField>
    <cacheField name="Maturity" uniqueList="1" numFmtId="0" sqlType="0" hierarchy="0" level="0" databaseField="1">
      <sharedItems count="3" containsDate="1" containsNonDate="0" containsSemiMixedTypes="0" containsString="0" minDate="2010-03-19T00:00:00" maxDate="2010-09-18T00:00:00">
        <d v="2010-03-19T00:00:00"/>
        <d v="2010-06-18T00:00:00"/>
        <d v="2010-09-17T00:00:00"/>
      </sharedItems>
    </cacheField>
    <cacheField name="Imp. Vol" uniqueList="1" numFmtId="0" sqlType="0" hierarchy="0" level="0" databaseField="1">
      <sharedItems count="0" containsBlank="1" containsNumber="1" containsString="0" minValue="0" maxValue="0.5752913158278398"/>
    </cacheField>
    <cacheField name="Risk-Free Rate" uniqueList="1" numFmtId="0" sqlType="0" hierarchy="0" level="0" databaseField="1">
      <sharedItems count="9" containsBlank="1" containsNumber="1" containsString="0" minValue="0.005" maxValue="0.025">
        <m/>
        <n v="0.011"/>
        <n v="0.015"/>
        <n v="0.0175"/>
        <n v="0.022"/>
        <n v="0.023"/>
        <n v="0.025"/>
        <n v="0.005"/>
        <n v="0.0075"/>
      </sharedItems>
    </cacheField>
    <cacheField name="Security Price" uniqueList="1" numFmtId="0" sqlType="0" hierarchy="0" level="0" databaseField="1">
      <sharedItems count="0" containsNumber="1" containsSemiMixedTypes="0" containsString="0" minValue="27.04099219227373" maxValue="10012.53162616928"/>
    </cacheField>
    <cacheField name="Total Position Value" uniqueList="1" numFmtId="0" sqlType="0" hierarchy="0" level="0" databaseField="1">
      <sharedItems count="0" containsNumber="1" containsSemiMixedTypes="0" containsString="0" minValue="-100125.3162616928" maxValue="57858.86943823414"/>
    </cacheField>
    <cacheField name="CounterParty" uniqueList="1" numFmtId="0" sqlType="0" hierarchy="0" level="0" databaseField="1">
      <sharedItems count="5">
        <s v="Exch"/>
        <s v="GoldMine Sacks"/>
        <s v="JP Horgan"/>
        <s v="Darklays Capital"/>
        <s v="UBS"/>
      </sharedItems>
    </cacheField>
    <cacheField name="Margin" uniqueList="1" numFmtId="0" sqlType="0" hierarchy="0" level="0" databaseField="1">
      <sharedItems count="1" containsBlank="1" containsString="0">
        <m/>
      </sharedItems>
    </cacheField>
    <cacheField name="$Delta (ESP)" uniqueList="1" numFmtId="0" sqlType="0" hierarchy="0" level="0" databaseField="1">
      <sharedItems count="0" containsNumber="1" containsSemiMixedTypes="0" containsString="0" minValue="-6593.022181586563" maxValue="10012.53162616928"/>
    </cacheField>
    <cacheField name="$Gamma" uniqueList="1" numFmtId="0" sqlType="0" hierarchy="0" level="0" databaseField="1">
      <sharedItems count="0" containsNumber="1" containsSemiMixedTypes="0" containsString="0" minValue="0" maxValue="11513.47877002278"/>
    </cacheField>
    <cacheField name="Vega 1%" uniqueList="1" numFmtId="0" sqlType="0" hierarchy="0" level="0" databaseField="1">
      <sharedItems count="0" containsNumber="1" containsSemiMixedTypes="0" containsString="0" minValue="0" maxValue="31.97752083370114"/>
    </cacheField>
    <cacheField name="Volga" uniqueList="1" numFmtId="0" sqlType="0" hierarchy="0" level="0" databaseField="1">
      <sharedItems count="0" containsNumber="1" containsSemiMixedTypes="0" containsString="0" minValue="-103.4693419161656" maxValue="2804.952211521696"/>
    </cacheField>
    <cacheField name="1 Day Theta" uniqueList="1" numFmtId="0" sqlType="0" hierarchy="0" level="0" databaseField="1">
      <sharedItems count="0" containsNumber="1" containsSemiMixedTypes="0" containsString="0" minValue="-5.12965055161181" maxValue="0.174369195567281"/>
    </cacheField>
    <cacheField name="Rho (1%)" uniqueList="1" numFmtId="0" sqlType="0" hierarchy="0" level="0" databaseField="1">
      <sharedItems count="0" containsNumber="1" containsSemiMixedTypes="0" containsString="0" minValue="-36.09811111293609" maxValue="18.92779951248438"/>
    </cacheField>
    <cacheField name="Total $Delta" uniqueList="1" numFmtId="0" sqlType="0" hierarchy="0" level="0" databaseField="1">
      <sharedItems count="0" containsNumber="1" containsSemiMixedTypes="0" containsString="0" minValue="-134045.6107212088" maxValue="113142.721051627"/>
    </cacheField>
    <cacheField name="Total $Gamma" uniqueList="1" numFmtId="0" sqlType="0" hierarchy="0" level="0" databaseField="1">
      <sharedItems count="0" containsNumber="1" containsSemiMixedTypes="0" containsString="0" minValue="-278982.456498505" maxValue="308287.9515847544"/>
    </cacheField>
    <cacheField name="Total Vega 1%" uniqueList="1" numFmtId="0" sqlType="0" hierarchy="0" level="0" databaseField="1">
      <sharedItems count="0" containsNumber="1" containsSemiMixedTypes="0" containsString="0" minValue="-655.6651006840351" maxValue="622.5830096693177"/>
    </cacheField>
    <cacheField name="Total Volga" uniqueList="1" numFmtId="0" sqlType="0" hierarchy="0" level="0" databaseField="1">
      <sharedItems count="0" containsNumber="1" containsSemiMixedTypes="0" containsString="0" minValue="-56099.04423043391" maxValue="55483.84203160994"/>
    </cacheField>
    <cacheField name="Total 1 Day Theta" uniqueList="1" numFmtId="0" sqlType="0" hierarchy="0" level="0" databaseField="1">
      <sharedItems count="0" containsNumber="1" containsSemiMixedTypes="0" containsString="0" minValue="-240.7662463138817" maxValue="128.2412637902952"/>
    </cacheField>
    <cacheField name="Total Rho (1%)" uniqueList="1" numFmtId="0" sqlType="0" hierarchy="0" level="0" databaseField="1">
      <sharedItems count="0" containsNumber="1" containsSemiMixedTypes="0" containsString="0" minValue="-273.4540625545133" maxValue="599.928677843175"/>
    </cacheField>
    <cacheField name="PnL: Und  -20%" uniqueList="1" numFmtId="0" sqlType="0" hierarchy="0" level="0" databaseField="1">
      <sharedItems count="0" containsNumber="1" containsSemiMixedTypes="0" containsString="0" minValue="-31269.02145420234" maxValue="36726.01270854659"/>
    </cacheField>
    <cacheField name="PnL: Und -10%" uniqueList="1" numFmtId="0" sqlType="0" hierarchy="0" level="0" databaseField="1">
      <sharedItems count="0" containsNumber="1" containsSemiMixedTypes="0" containsString="0" minValue="-13467.59406047981" maxValue="13932.81478615395"/>
    </cacheField>
    <cacheField name="PnL: Und -5%" uniqueList="1" numFmtId="0" sqlType="0" hierarchy="0" level="0" databaseField="1">
      <sharedItems count="0" containsNumber="1" containsSemiMixedTypes="0" containsString="0" minValue="-6187.846637313123" maxValue="6018.888733187373"/>
    </cacheField>
    <cacheField name="PnL: Und -2%" uniqueList="1" numFmtId="0" sqlType="0" hierarchy="0" level="0" databaseField="1">
      <sharedItems count="0" containsNumber="1" containsSemiMixedTypes="0" containsString="0" minValue="-2346.742148317662" maxValue="2568.309649047956"/>
    </cacheField>
    <cacheField name="PnL: Und +2%" uniqueList="1" numFmtId="0" sqlType="0" hierarchy="0" level="0" databaseField="1">
      <sharedItems count="0" containsNumber="1" containsSemiMixedTypes="0" containsString="0" minValue="-2791.289541441142" maxValue="2180.625990222597"/>
    </cacheField>
    <cacheField name="PnL: Und +5%" uniqueList="1" numFmtId="0" sqlType="0" hierarchy="0" level="0" databaseField="1">
      <sharedItems count="0" containsNumber="1" containsSemiMixedTypes="0" containsString="0" minValue="-7378.610198294359" maxValue="5152.137111091838"/>
    </cacheField>
    <cacheField name="PnL: Und +10%" uniqueList="1" numFmtId="0" sqlType="0" hierarchy="0" level="0" databaseField="1">
      <sharedItems count="0" containsNumber="1" containsSemiMixedTypes="0" containsString="0" minValue="-16001.48716391357" maxValue="9360.621859674347"/>
    </cacheField>
    <cacheField name="PnL: Und +20%" uniqueList="1" numFmtId="0" sqlType="0" hierarchy="0" level="0" databaseField="1">
      <sharedItems count="0" containsNumber="1" containsSemiMixedTypes="0" containsString="0" minValue="-36173.8392967718" maxValue="15407.09597407422"/>
    </cacheField>
    <cacheField name="ImpVol  -10%" uniqueList="1" numFmtId="0" sqlType="0" hierarchy="0" level="0" databaseField="1">
      <sharedItems count="0" containsNumber="1" containsSemiMixedTypes="0" containsString="0" minValue="-5895.212330916638" maxValue="6568.400786613347"/>
    </cacheField>
    <cacheField name="ImpVol  -5%" uniqueList="1" numFmtId="0" sqlType="0" hierarchy="0" level="0" databaseField="1">
      <sharedItems count="0" containsNumber="1" containsSemiMixedTypes="0" containsString="0" minValue="-3037.413235096312" maxValue="3281.411136777888"/>
    </cacheField>
    <cacheField name="ImpVol  -2%" uniqueList="1" numFmtId="0" sqlType="0" hierarchy="0" level="0" databaseField="1">
      <sharedItems count="0" containsNumber="1" containsSemiMixedTypes="0" containsString="0" minValue="-1233.693175474809" maxValue="1311.838098070848"/>
    </cacheField>
    <cacheField name="ImpVol  -1%" uniqueList="1" numFmtId="0" sqlType="0" hierarchy="0" level="0" databaseField="1">
      <sharedItems count="0" containsNumber="1" containsSemiMixedTypes="0" containsString="0" minValue="-619.762492729194" maxValue="655.7932564574912"/>
    </cacheField>
    <cacheField name="ImpVol  +1%" uniqueList="1" numFmtId="0" sqlType="0" hierarchy="0" level="0" databaseField="1">
      <sharedItems count="0" containsNumber="1" containsSemiMixedTypes="0" containsString="0" minValue="-655.5345838080484" maxValue="625.3121931331407"/>
    </cacheField>
    <cacheField name="ImpVol  +2%" uniqueList="1" numFmtId="0" sqlType="0" hierarchy="0" level="0" databaseField="1">
      <sharedItems count="0" containsNumber="1" containsSemiMixedTypes="0" containsString="0" minValue="-1310.803415936971" maxValue="1255.907780407597"/>
    </cacheField>
    <cacheField name="ImpVol  +5%" uniqueList="1" numFmtId="0" sqlType="0" hierarchy="0" level="0" databaseField="1">
      <sharedItems count="0" containsNumber="1" containsSemiMixedTypes="0" containsString="0" minValue="-3274.944743724927" maxValue="3176.948241948662"/>
    </cacheField>
    <cacheField name="ImpVol  +10%" uniqueList="1" numFmtId="0" sqlType="0" hierarchy="0" level="0" databaseField="1">
      <sharedItems count="0" containsNumber="1" containsSemiMixedTypes="0" containsString="0" minValue="-6542.540503242208" maxValue="6463.394042643586"/>
    </cacheField>
    <cacheField name="Total Delta" uniqueList="1" numFmtId="0" formula="'$Delta (ESP)'*Position" sqlType="0" hierarchy="0" level="0" databaseField="0"/>
  </cacheFields>
</pivotCacheDefinition>
</file>

<file path=xl/pivotCache/pivotCacheDefinition2.xml><?xml version="1.0" encoding="utf-8"?>
<pivotCacheDefinition xmlns:r="http://schemas.openxmlformats.org/officeDocument/2006/relationships" xmlns="http://schemas.openxmlformats.org/spreadsheetml/2006/main" refreshedBy="mhaugh" refreshedDate="40186.61991655092" createdVersion="1" refreshedVersion="2" recordCount="83" upgradeOnRefresh="1" r:id="rId1">
  <cacheSource type="worksheet">
    <worksheetSource ref="A4:AQ87" sheet="OptionsData"/>
  </cacheSource>
  <cacheFields count="39">
    <cacheField name="Underlying" uniqueList="1" numFmtId="0" sqlType="0" hierarchy="0" level="0" databaseField="1">
      <sharedItems count="3">
        <s v="SPX Index"/>
        <s v="SX5E Index"/>
        <s v="NKY Index"/>
      </sharedItems>
    </cacheField>
    <cacheField name="Underlying Price" uniqueList="1" numFmtId="0" sqlType="0" hierarchy="0" level="0" databaseField="1">
      <sharedItems count="3" containsInteger="1" containsNumber="1" containsSemiMixedTypes="0" containsString="0" minValue="1100" maxValue="10022">
        <n v="1100"/>
        <n v="2905"/>
        <n v="10022"/>
      </sharedItems>
    </cacheField>
    <cacheField name="Div. Yield" uniqueList="1" numFmtId="0" sqlType="0" hierarchy="0" level="0" databaseField="1">
      <sharedItems count="3" containsNumber="1" containsSemiMixedTypes="0" containsString="0" minValue="0.005" maxValue="0.022">
        <n v="0.02"/>
        <n v="0.022"/>
        <n v="0.005"/>
      </sharedItems>
    </cacheField>
    <cacheField name="Security Type" uniqueList="1" numFmtId="0" sqlType="0" hierarchy="0" level="0" databaseField="1">
      <sharedItems count="2">
        <s v="Future"/>
        <s v="Option"/>
      </sharedItems>
    </cacheField>
    <cacheField name="Currency" uniqueList="1" numFmtId="0" sqlType="0" hierarchy="0" level="0" databaseField="1">
      <sharedItems count="3">
        <s v="USD"/>
        <s v="EUR"/>
        <s v="JPY"/>
      </sharedItems>
    </cacheField>
    <cacheField name="Position" uniqueList="1" numFmtId="0" sqlType="0" hierarchy="0" level="0" databaseField="1">
      <sharedItems count="15" containsInteger="1" containsNumber="1" containsSemiMixedTypes="0" containsString="0" minValue="-50" maxValue="200">
        <n v="25"/>
        <n v="200"/>
        <n v="-50"/>
        <n v="-25"/>
        <n v="30"/>
        <n v="-20"/>
        <n v="20"/>
        <n v="50"/>
        <n v="-30"/>
        <n v="-10"/>
        <n v="10"/>
        <n v="-40"/>
        <n v="5"/>
        <n v="-15"/>
        <n v="-5"/>
      </sharedItems>
    </cacheField>
    <cacheField name="Strike" uniqueList="1" numFmtId="0" sqlType="0" hierarchy="0" level="0" databaseField="1">
      <sharedItems count="30" containsBlank="1" containsInteger="1" containsNumber="1" containsString="0" minValue="902" maxValue="11525">
        <m/>
        <n v="935"/>
        <n v="1001"/>
        <n v="1100"/>
        <n v="1034"/>
        <n v="1232"/>
        <n v="902"/>
        <n v="1331"/>
        <n v="1298"/>
        <n v="1067"/>
        <n v="2992"/>
        <n v="2818"/>
        <n v="2556"/>
        <n v="3079"/>
        <n v="2469"/>
        <n v="3166"/>
        <n v="3254"/>
        <n v="2905"/>
        <n v="3341"/>
        <n v="3428"/>
        <n v="2731"/>
        <n v="10022"/>
        <n v="9120"/>
        <n v="10323"/>
        <n v="8519"/>
        <n v="11225"/>
        <n v="11525"/>
        <n v="9721"/>
        <n v="7617"/>
        <n v="8819"/>
      </sharedItems>
    </cacheField>
    <cacheField name="CallPut" uniqueList="1" numFmtId="0" sqlType="0" hierarchy="0" level="0" databaseField="1">
      <sharedItems count="3" containsBlank="1">
        <m/>
        <s v="Put"/>
        <s v="Call"/>
      </sharedItems>
    </cacheField>
    <cacheField name="Maturity" uniqueList="1" numFmtId="0" sqlType="0" hierarchy="0" level="0" databaseField="1">
      <sharedItems count="3" containsDate="1" containsNonDate="0" containsSemiMixedTypes="0" containsString="0" minDate="2010-03-19T00:00:00" maxDate="2010-09-18T00:00:00">
        <d v="2010-03-19T00:00:00"/>
        <d v="2010-06-18T00:00:00"/>
        <d v="2010-09-17T00:00:00"/>
      </sharedItems>
    </cacheField>
    <cacheField name="Imp. Vol" uniqueList="1" numFmtId="0" sqlType="0" hierarchy="0" level="0" databaseField="1">
      <sharedItems count="0" containsBlank="1" containsNumber="1" containsString="0" minValue="0" maxValue="0.5752990411633006"/>
    </cacheField>
    <cacheField name="Risk-Free Rate" uniqueList="1" numFmtId="0" sqlType="0" hierarchy="0" level="0" databaseField="1">
      <sharedItems count="9" containsBlank="1" containsNumber="1" containsString="0" minValue="0.005" maxValue="0.025">
        <m/>
        <n v="0.011"/>
        <n v="0.015"/>
        <n v="0.0175"/>
        <n v="0.022"/>
        <n v="0.023"/>
        <n v="0.025"/>
        <n v="0.005"/>
        <n v="0.0075"/>
      </sharedItems>
    </cacheField>
    <cacheField name="Security Price" uniqueList="1" numFmtId="0" sqlType="0" hierarchy="0" level="0" databaseField="1">
      <sharedItems count="0" containsNumber="1" containsSemiMixedTypes="0" containsString="0" minValue="27.25662556687024" maxValue="10012.39446914123"/>
    </cacheField>
    <cacheField name="Total Position Value" uniqueList="1" numFmtId="0" sqlType="0" hierarchy="0" level="0" databaseField="1">
      <sharedItems count="0" containsNumber="1" containsSemiMixedTypes="0" containsString="0" minValue="-100123.9446914123" maxValue="57855.38215941993"/>
    </cacheField>
    <cacheField name="CounterParty" uniqueList="1" numFmtId="0" sqlType="0" hierarchy="0" level="0" databaseField="1">
      <sharedItems count="5">
        <s v="Exch"/>
        <s v="GoldMine Sacks"/>
        <s v="JP Horgan"/>
        <s v="Darklays Capital"/>
        <s v="UBS"/>
      </sharedItems>
    </cacheField>
    <cacheField name="Margin" uniqueList="1" numFmtId="0" sqlType="0" hierarchy="0" level="0" databaseField="1">
      <sharedItems count="1" containsBlank="1" containsString="0">
        <m/>
      </sharedItems>
    </cacheField>
    <cacheField name="$Delta (ESP)" uniqueList="1" numFmtId="0" sqlType="0" hierarchy="0" level="0" databaseField="1">
      <sharedItems count="0" containsNumber="1" containsSemiMixedTypes="0" containsString="0" minValue="-6585.754193622744" maxValue="10012.39446914123"/>
    </cacheField>
    <cacheField name="Vega 1%" uniqueList="1" numFmtId="0" sqlType="0" hierarchy="0" level="0" databaseField="1">
      <sharedItems count="0" containsNumber="1" containsSemiMixedTypes="0" containsString="0" minValue="0" maxValue="32.03999019226192"/>
    </cacheField>
    <cacheField name="1 Day Theta" uniqueList="1" numFmtId="0" sqlType="0" hierarchy="0" level="0" databaseField="1">
      <sharedItems count="0" containsNumber="1" containsSemiMixedTypes="0" containsString="0" minValue="-5.0923749136734" maxValue="0.1743586859598957"/>
    </cacheField>
    <cacheField name="Rho (1%)" uniqueList="1" numFmtId="0" sqlType="0" hierarchy="0" level="0" databaseField="1">
      <sharedItems count="0" containsNumber="1" containsSemiMixedTypes="0" containsString="0" minValue="-36.30258060670671" maxValue="19.20185240657222"/>
    </cacheField>
    <cacheField name="Total $Delta" uniqueList="1" numFmtId="0" sqlType="0" hierarchy="0" level="0" databaseField="1">
      <sharedItems count="0" containsNumber="1" containsSemiMixedTypes="0" containsString="0" minValue="-134107.7830832239" maxValue="113104.3487686402"/>
    </cacheField>
    <cacheField name="Total Vega 1%" uniqueList="1" numFmtId="0" sqlType="0" hierarchy="0" level="0" databaseField="1">
      <sharedItems count="0" containsNumber="1" containsSemiMixedTypes="0" containsString="0" minValue="-657.6726624205963" maxValue="629.2045321035964"/>
    </cacheField>
    <cacheField name="Total 1 Day Theta" uniqueList="1" numFmtId="0" sqlType="0" hierarchy="0" level="0" databaseField="1">
      <sharedItems count="0" containsNumber="1" containsSemiMixedTypes="0" containsString="0" minValue="-239.8467454981656" maxValue="127.309372841835"/>
    </cacheField>
    <cacheField name="Total Rho (1%)" uniqueList="1" numFmtId="0" sqlType="0" hierarchy="0" level="0" databaseField="1">
      <sharedItems count="0" containsNumber="1" containsSemiMixedTypes="0" containsString="0" minValue="-275.1702137899175" maxValue="603.8323846351723"/>
    </cacheField>
    <cacheField name="PnL: Und  -20%" uniqueList="1" numFmtId="0" sqlType="0" hierarchy="0" level="0" databaseField="1">
      <sharedItems count="0" containsNumber="1" containsSemiMixedTypes="0" containsString="0" minValue="-31237.50388590156" maxValue="36750.15618256698"/>
    </cacheField>
    <cacheField name="PnL: Und -10%" uniqueList="1" numFmtId="0" sqlType="0" hierarchy="0" level="0" databaseField="1">
      <sharedItems count="0" containsNumber="1" containsSemiMixedTypes="0" containsString="0" minValue="-13457.14661588513" maxValue="13974.43562978649"/>
    </cacheField>
    <cacheField name="PnL: Und -5%" uniqueList="1" numFmtId="0" sqlType="0" hierarchy="0" level="0" databaseField="1">
      <sharedItems count="0" containsNumber="1" containsSemiMixedTypes="0" containsString="0" minValue="-6184.259171235203" maxValue="6045.0485564171"/>
    </cacheField>
    <cacheField name="PnL: Und -2%" uniqueList="1" numFmtId="0" sqlType="0" hierarchy="0" level="0" databaseField="1">
      <sharedItems count="0" containsNumber="1" containsSemiMixedTypes="0" containsString="0" minValue="-2345.70922957837" maxValue="2570.366553868212"/>
    </cacheField>
    <cacheField name="PnL: Und +2%" uniqueList="1" numFmtId="0" sqlType="0" hierarchy="0" level="0" databaseField="1">
      <sharedItems count="0" containsNumber="1" containsSemiMixedTypes="0" containsString="0" minValue="-2791.735541040384" maxValue="2180.118778526798"/>
    </cacheField>
    <cacheField name="PnL: Und +5%" uniqueList="1" numFmtId="0" sqlType="0" hierarchy="0" level="0" databaseField="1">
      <sharedItems count="0" containsNumber="1" containsSemiMixedTypes="0" containsString="0" minValue="-7376.882021508709" maxValue="5151.807634255521"/>
    </cacheField>
    <cacheField name="PnL: Und +10%" uniqueList="1" numFmtId="0" sqlType="0" hierarchy="0" level="0" databaseField="1">
      <sharedItems count="0" containsNumber="1" containsSemiMixedTypes="0" containsString="0" minValue="-15989.75342530398" maxValue="9362.81622944491"/>
    </cacheField>
    <cacheField name="PnL: Und +20%" uniqueList="1" numFmtId="0" sqlType="0" hierarchy="0" level="0" databaseField="1">
      <sharedItems count="0" containsNumber="1" containsSemiMixedTypes="0" containsString="0" minValue="-36128.76028588216" maxValue="15420.26389651571"/>
    </cacheField>
    <cacheField name="ImpVol  -10%" uniqueList="1" numFmtId="0" sqlType="0" hierarchy="0" level="0" databaseField="1">
      <sharedItems count="0" containsNumber="1" containsSemiMixedTypes="0" containsString="0" minValue="-5962.704039901007" maxValue="6588.58612759459"/>
    </cacheField>
    <cacheField name="ImpVol  -5%" uniqueList="1" numFmtId="0" sqlType="0" hierarchy="0" level="0" databaseField="1">
      <sharedItems count="0" containsNumber="1" containsSemiMixedTypes="0" containsString="0" minValue="-3070.843504217623" maxValue="3291.477749593105"/>
    </cacheField>
    <cacheField name="ImpVol  -2%" uniqueList="1" numFmtId="0" sqlType="0" hierarchy="0" level="0" databaseField="1">
      <sharedItems count="0" containsNumber="1" containsSemiMixedTypes="0" containsString="0" minValue="-1246.987743154375" maxValue="1315.857961555093"/>
    </cacheField>
    <cacheField name="ImpVol  -1%" uniqueList="1" numFmtId="0" sqlType="0" hierarchy="0" level="0" databaseField="1">
      <sharedItems count="0" containsNumber="1" containsSemiMixedTypes="0" containsString="0" minValue="-626.3968746861792" maxValue="657.8020141216257"/>
    </cacheField>
    <cacheField name="ImpVol  +1%" uniqueList="1" numFmtId="0" sqlType="0" hierarchy="0" level="0" databaseField="1">
      <sharedItems count="0" containsNumber="1" containsSemiMixedTypes="0" containsString="0" minValue="-657.5409278002098" maxValue="631.9209131972912"/>
    </cacheField>
    <cacheField name="ImpVol  +2%" uniqueList="1" numFmtId="0" sqlType="0" hierarchy="0" level="0" databaseField="1">
      <sharedItems count="0" containsNumber="1" containsSemiMixedTypes="0" containsString="0" minValue="-1314.81362486561" maxValue="1269.099755091588"/>
    </cacheField>
    <cacheField name="ImpVol  +5%" uniqueList="1" numFmtId="0" sqlType="0" hierarchy="0" level="0" databaseField="1">
      <sharedItems count="0" containsNumber="1" containsSemiMixedTypes="0" containsString="0" minValue="-3284.951021346524" maxValue="3209.739759335707"/>
    </cacheField>
    <cacheField name="ImpVol  +10%" uniqueList="1" numFmtId="0" sqlType="0" hierarchy="0" level="0" databaseField="1">
      <sharedItems count="0" containsNumber="1" containsSemiMixedTypes="0" containsString="0" minValue="-6562.484585995026" maxValue="6528.369803912392"/>
    </cacheField>
  </cacheFields>
</pivotCacheDefinition>
</file>

<file path=xl/pivotCache/pivotCacheDefinition3.xml><?xml version="1.0" encoding="utf-8"?>
<pivotCacheDefinition xmlns:r="http://schemas.openxmlformats.org/officeDocument/2006/relationships" xmlns="http://schemas.openxmlformats.org/spreadsheetml/2006/main" refreshedBy="Yoshihiro Shirai" refreshedDate="45608.67661643519" createdVersion="8" refreshedVersion="8" minRefreshableVersion="3" recordCount="83" r:id="rId1">
  <cacheSource type="worksheet">
    <worksheetSource ref="A4:CN87" sheet="OptionsData"/>
  </cacheSource>
  <cacheFields count="94">
    <cacheField name="Underlying" uniqueList="1" numFmtId="0" sqlType="0" hierarchy="0" level="0" databaseField="1">
      <sharedItems count="3">
        <s v="SPX Index"/>
        <s v="SX5E Index"/>
        <s v="NKY Index"/>
      </sharedItems>
    </cacheField>
    <cacheField name="Underlying Price" uniqueList="1" numFmtId="0" sqlType="0" hierarchy="0" level="0" databaseField="1">
      <sharedItems count="0" containsInteger="1" containsNumber="1" containsSemiMixedTypes="0" containsString="0" minValue="1100" maxValue="10022"/>
    </cacheField>
    <cacheField name="Div. Yield" uniqueList="1" numFmtId="165" sqlType="0" hierarchy="0" level="0" databaseField="1">
      <sharedItems count="0" containsNumber="1" containsSemiMixedTypes="0" containsString="0" minValue="0.005" maxValue="0.022"/>
    </cacheField>
    <cacheField name="Security Type" uniqueList="1" numFmtId="0" sqlType="0" hierarchy="0" level="0" databaseField="1">
      <sharedItems count="0"/>
    </cacheField>
    <cacheField name="Currency" uniqueList="1" numFmtId="0" sqlType="0" hierarchy="0" level="0" databaseField="1">
      <sharedItems count="0"/>
    </cacheField>
    <cacheField name="Position" uniqueList="1" numFmtId="0" sqlType="0" hierarchy="0" level="0" databaseField="1">
      <sharedItems count="0" containsInteger="1" containsNumber="1" containsSemiMixedTypes="0" containsString="0" minValue="-50" maxValue="200"/>
    </cacheField>
    <cacheField name="Strike" uniqueList="1" numFmtId="0" sqlType="0" hierarchy="0" level="0" databaseField="1">
      <sharedItems count="30" containsBlank="1" containsInteger="1" containsNumber="1" containsString="0" minValue="902" maxValue="11525">
        <m/>
        <n v="935"/>
        <n v="1001"/>
        <n v="1100"/>
        <n v="1034"/>
        <n v="1232"/>
        <n v="902"/>
        <n v="1331"/>
        <n v="1298"/>
        <n v="1067"/>
        <n v="2992"/>
        <n v="2818"/>
        <n v="2556"/>
        <n v="3079"/>
        <n v="2469"/>
        <n v="3166"/>
        <n v="3254"/>
        <n v="2905"/>
        <n v="3341"/>
        <n v="3428"/>
        <n v="2731"/>
        <n v="10022"/>
        <n v="9120"/>
        <n v="10323"/>
        <n v="8519"/>
        <n v="11225"/>
        <n v="11525"/>
        <n v="9721"/>
        <n v="7617"/>
        <n v="8819"/>
      </sharedItems>
    </cacheField>
    <cacheField name="CallPut" uniqueList="1" numFmtId="0" sqlType="0" hierarchy="0" level="0" databaseField="1">
      <sharedItems count="0" containsBlank="1"/>
    </cacheField>
    <cacheField name="Maturity" uniqueList="1" numFmtId="164" sqlType="0" hierarchy="0" level="0" databaseField="1">
      <sharedItems count="3" containsDate="1" containsNonDate="0" containsSemiMixedTypes="0" containsString="0" minDate="2010-03-19T00:00:00" maxDate="2010-09-18T00:00:00">
        <d v="2010-03-19T00:00:00"/>
        <d v="2010-06-18T00:00:00"/>
        <d v="2010-09-17T00:00:00"/>
      </sharedItems>
      <fieldGroup par="93"/>
    </cacheField>
    <cacheField name="Imp. Vol" uniqueList="1" numFmtId="165" sqlType="0" hierarchy="0" level="0" databaseField="1">
      <sharedItems count="0" containsBlank="1" containsNumber="1" containsString="0" minValue="0" maxValue="0.5752835905302579"/>
    </cacheField>
    <cacheField name="Risk-Free Rate" uniqueList="1" numFmtId="10" sqlType="0" hierarchy="0" level="0" databaseField="1">
      <sharedItems count="0" containsBlank="1" containsNumber="1" containsString="0" minValue="0.005" maxValue="0.025"/>
    </cacheField>
    <cacheField name="Security Price" uniqueList="1" numFmtId="2" sqlType="0" hierarchy="0" level="0" databaseField="1">
      <sharedItems count="0" containsNumber="1" containsSemiMixedTypes="0" containsString="0" minValue="26.82515722108377" maxValue="10012.6687850762"/>
    </cacheField>
    <cacheField name="Total Position Value" uniqueList="1" numFmtId="2" sqlType="0" hierarchy="0" level="0" databaseField="1">
      <sharedItems count="0" containsNumber="1" containsSemiMixedTypes="0" containsString="0" minValue="-100126.687850762" maxValue="57862.35692724684"/>
    </cacheField>
    <cacheField name="CounterParty" uniqueList="1" numFmtId="0" sqlType="0" hierarchy="0" level="0" databaseField="1">
      <sharedItems count="0"/>
    </cacheField>
    <cacheField name="Margin" uniqueList="1" numFmtId="0" sqlType="0" hierarchy="0" level="0" databaseField="1">
      <sharedItems count="0" containsBlank="1" containsNonDate="0" containsString="0"/>
    </cacheField>
    <cacheField name="$Delta (ESP)" uniqueList="1" numFmtId="1" sqlType="0" hierarchy="0" level="0" databaseField="1">
      <sharedItems count="0" containsNumber="1" containsSemiMixedTypes="0" containsString="0" minValue="-6600.344288913485" maxValue="10012.6687850762"/>
    </cacheField>
    <cacheField name="$Gamma" uniqueList="1" numFmtId="1" sqlType="0" hierarchy="0" level="0" databaseField="1">
      <sharedItems count="0" containsNumber="1" containsSemiMixedTypes="0" containsString="0" minValue="0" maxValue="11596.11485472669"/>
    </cacheField>
    <cacheField name="Vega 1%" uniqueList="1" numFmtId="167" sqlType="0" hierarchy="0" level="0" databaseField="1">
      <sharedItems count="0" containsNumber="1" containsSemiMixedTypes="0" containsString="0" minValue="0" maxValue="31.91491421201853"/>
    </cacheField>
    <cacheField name="Volga" uniqueList="1" numFmtId="167" sqlType="0" hierarchy="0" level="0" databaseField="1">
      <sharedItems count="0" containsNumber="1" containsSemiMixedTypes="0" containsString="0" minValue="-102.5067877284202" maxValue="2811.2702220085"/>
    </cacheField>
    <cacheField name="Vanna" uniqueList="1" numFmtId="167" sqlType="0" hierarchy="0" level="0" databaseField="1">
      <sharedItems count="0" containsNumber="1" containsSemiMixedTypes="0" containsString="0" minValue="-15.74818211109103" maxValue="39.66066984871848"/>
    </cacheField>
    <cacheField name="Rho (1%)" uniqueList="1" numFmtId="2" sqlType="0" hierarchy="0" level="0" databaseField="1">
      <sharedItems count="0" containsNumber="1" containsSemiMixedTypes="0" containsString="0" minValue="-35.89358917240932" maxValue="18.65373910644333"/>
    </cacheField>
    <cacheField name="Total $Delta" uniqueList="1" numFmtId="168" sqlType="0" hierarchy="0" level="0" databaseField="1">
      <sharedItems count="0" containsNumber="1" containsSemiMixedTypes="0" containsString="0" minValue="-133982.9673705649" maxValue="113181.2112582604"/>
    </cacheField>
    <cacheField name="Total $Gamma" uniqueList="1" numFmtId="168" sqlType="0" hierarchy="0" level="0" databaseField="1">
      <sharedItems count="0" containsNumber="1" containsSemiMixedTypes="0" containsString="0" minValue="-281046.3399929978" maxValue="309465.241361945"/>
    </cacheField>
    <cacheField name="Total Vega 1%" uniqueList="1" numFmtId="1" sqlType="0" hierarchy="0" level="0" databaseField="1">
      <sharedItems count="0" containsNumber="1" containsSemiMixedTypes="0" containsString="0" minValue="-653.650900085139" maxValue="615.9031301837927"/>
    </cacheField>
    <cacheField name="Total Volga" uniqueList="1" numFmtId="1" sqlType="0" hierarchy="0" level="0" databaseField="1">
      <sharedItems count="0" containsNumber="1" containsSemiMixedTypes="0" containsString="0" minValue="-56225.40444017001" maxValue="55741.12053021115"/>
    </cacheField>
    <cacheField name="Total Vanna" uniqueList="1" numFmtId="1" sqlType="0" hierarchy="0" level="0" databaseField="1">
      <sharedItems count="0" containsNumber="1" containsSemiMixedTypes="0" containsString="0" minValue="-793.2133969743695" maxValue="488.7140714328951"/>
    </cacheField>
    <cacheField name="Total Rho (1%)" uniqueList="1" numFmtId="1" sqlType="0" hierarchy="0" level="0" databaseField="1">
      <sharedItems count="0" containsNumber="1" containsSemiMixedTypes="0" containsString="0" minValue="-271.7373096821935" maxValue="596.0263724993285"/>
    </cacheField>
    <cacheField name="PnL: Und  -20%" uniqueList="1" numFmtId="1" sqlType="0" hierarchy="0" level="0" databaseField="1">
      <sharedItems count="0" containsNumber="1" containsSemiMixedTypes="0" containsString="0" minValue="-31300.75534759348" maxValue="36700.96089418007"/>
    </cacheField>
    <cacheField name="PnL: Und -10%" uniqueList="1" numFmtId="1" sqlType="0" hierarchy="0" level="0" databaseField="1">
      <sharedItems count="0" containsNumber="1" containsSemiMixedTypes="0" containsString="0" minValue="-13478.11318423239" maxValue="13890.15122780443"/>
    </cacheField>
    <cacheField name="PnL: Und -5%" uniqueList="1" numFmtId="1" sqlType="0" hierarchy="0" level="0" databaseField="1">
      <sharedItems count="0" containsNumber="1" containsSemiMixedTypes="0" containsString="0" minValue="-6191.455503150951" maxValue="5992.122783119862"/>
    </cacheField>
    <cacheField name="PnL: Und -2%" uniqueList="1" numFmtId="1" sqlType="0" hierarchy="0" level="0" databaseField="1">
      <sharedItems count="0" containsNumber="1" containsSemiMixedTypes="0" containsString="0" minValue="-2347.779908069856" maxValue="2566.225542609664"/>
    </cacheField>
    <cacheField name="PnL: Und +2%" uniqueList="1" numFmtId="1" sqlType="0" hierarchy="0" level="0" databaseField="1">
      <sharedItems count="0" containsNumber="1" containsSemiMixedTypes="0" containsString="0" minValue="-2790.851555428253" maxValue="2181.133126728855"/>
    </cacheField>
    <cacheField name="PnL: Und +5%" uniqueList="1" numFmtId="1" sqlType="0" hierarchy="0" level="0" databaseField="1">
      <sharedItems count="0" containsNumber="1" containsSemiMixedTypes="0" containsString="0" minValue="-7380.41945270661" maxValue="5152.457710112276"/>
    </cacheField>
    <cacheField name="PnL: Und +10%" uniqueList="1" numFmtId="1" sqlType="0" hierarchy="0" level="0" databaseField="1">
      <sharedItems count="0" containsNumber="1" containsSemiMixedTypes="0" containsString="0" minValue="-16013.54852137074" maxValue="9358.384310209351"/>
    </cacheField>
    <cacheField name="PnL: Und +20%" uniqueList="1" numFmtId="1" sqlType="0" hierarchy="0" level="0" databaseField="1">
      <sharedItems count="0" containsNumber="1" containsSemiMixedTypes="0" containsString="0" minValue="-36219.8811364196" maxValue="15393.77476599511"/>
    </cacheField>
    <cacheField name="ImpVol  -10%" uniqueList="1" numFmtId="1" sqlType="0" hierarchy="0" level="0" databaseField="1">
      <sharedItems count="0" containsNumber="1" containsSemiMixedTypes="0" containsString="0" minValue="-5827.13986210083" maxValue="6548.149390079925"/>
    </cacheField>
    <cacheField name="ImpVol  -5%" uniqueList="1" numFmtId="1" sqlType="0" hierarchy="0" level="0" databaseField="1">
      <sharedItems count="0" containsNumber="1" containsSemiMixedTypes="0" containsString="0" minValue="-3003.691001636264" maxValue="3271.311416923345"/>
    </cacheField>
    <cacheField name="ImpVol  -2%" uniqueList="1" numFmtId="1" sqlType="0" hierarchy="0" level="0" databaseField="1">
      <sharedItems count="0" containsNumber="1" containsSemiMixedTypes="0" containsString="0" minValue="-1220.281804027627" maxValue="1307.804971205451"/>
    </cacheField>
    <cacheField name="ImpVol  -1%" uniqueList="1" numFmtId="1" sqlType="0" hierarchy="0" level="0" databaseField="1">
      <sharedItems count="0" containsNumber="1" containsSemiMixedTypes="0" containsString="0" minValue="-613.0697269876578" maxValue="653.7778635484301"/>
    </cacheField>
    <cacheField name="ImpVol  +1%" uniqueList="1" numFmtId="1" sqlType="0" hierarchy="0" level="0" databaseField="1">
      <sharedItems count="0" containsNumber="1" containsSemiMixedTypes="0" containsString="0" minValue="-653.5215972735386" maxValue="618.6451504045408"/>
    </cacheField>
    <cacheField name="ImpVol  +2%" uniqueList="1" numFmtId="1" sqlType="0" hierarchy="0" level="0" databaseField="1">
      <sharedItems count="0" containsNumber="1" containsSemiMixedTypes="0" containsString="0" minValue="-1306.779914438994" maxValue="1242.599242709161"/>
    </cacheField>
    <cacheField name="ImpVol  +5%" uniqueList="1" numFmtId="1" sqlType="0" hierarchy="0" level="0" databaseField="1">
      <sharedItems count="0" containsNumber="1" containsSemiMixedTypes="0" containsString="0" minValue="-3264.905176689945" maxValue="3143.86609965884"/>
    </cacheField>
    <cacheField name="ImpVol  +10%" uniqueList="1" numFmtId="1" sqlType="0" hierarchy="0" level="0" databaseField="1">
      <sharedItems count="0" containsNumber="1" containsSemiMixedTypes="0" containsString="0" minValue="-6522.529636200056" maxValue="6397.840388858822"/>
    </cacheField>
    <cacheField name="Und -20%, ImpVol -5%" uniqueList="1" numFmtId="0" sqlType="0" hierarchy="0" level="0" databaseField="1">
      <sharedItems count="74" containsBlank="1" containsNumber="1" containsString="0" minValue="-29545.78051325689" maxValue="33300.31080905624">
        <n v="-5479.544980960966"/>
        <n v="14690.17859766622"/>
        <n v="-5039.550113312665"/>
        <n v="3697.321798555413"/>
        <n v="-2910.153104592713"/>
        <n v="-664.2622847416368"/>
        <n v="-1782.223182405555"/>
        <n v="-5820.306209185426"/>
        <n v="3564.44636481111"/>
        <n v="-797.1147416899641"/>
        <n v="1836.272324708278"/>
        <n v="2367.815939443706"/>
        <n v="-6491.020031666491"/>
        <n v="-2290.816759882377"/>
        <n v="1545.92742452357"/>
        <n v="-1299.806245851843"/>
        <n v="-1553.047924488408"/>
        <n v="1339.952409979291"/>
        <n v="-2737.281390740817"/>
        <n v="4413.560617835072"/>
        <n v="-2071.015499918252"/>
        <n v="2290.816759882377"/>
        <n v="-5993.014782098448"/>
        <n v="2740.475110971212"/>
        <n v="-1698.165966066355"/>
        <n v="-5383.890953132871"/>
        <n v="5466.451507294417"/>
        <n v="-11572.47138544936"/>
        <n v="3058.760994720915"/>
        <n v="6938.378049926154"/>
        <n v="-8513.710390728447"/>
        <n v="-5648.288956083806"/>
        <n v="6017.878203376975"/>
        <n v="4807.960157341588"/>
        <n v="-2259.315582433523"/>
        <n v="1203.575640675395"/>
        <n v="2331.359327256615"/>
        <n v="-3562.755145219997"/>
        <n v="-9165.320104098573"/>
        <n v="9615.920314683177"/>
        <n v="1836.373240885499"/>
        <n v="2397.259791326521"/>
        <n v="-12191.82274011066"/>
        <n v="8565.206265298344"/>
        <n v="-8488.494582022111"/>
        <n v="1999.466789314929"/>
        <n v="-3395.397832808844"/>
        <n v="-1669.368627311331"/>
        <n v="1437.880457916445"/>
        <n v="-5411.92484197938"/>
        <n v="5411.92484197938"/>
        <n v="-8906.236685868866"/>
        <n v="-4987.791943487164"/>
        <n v="976.4263907060609"/>
        <n v="20025.33757015239"/>
        <n v="13179.26386924497"/>
        <n v="-9138.388972620032"/>
        <n v="-26871.41127105979"/>
        <n v="10578.97763009564"/>
        <n v="-29471.69751020914"/>
        <n v="33300.31080905624"/>
        <n v="-18276.77794524006"/>
        <n v="16474.07983655622"/>
        <n v="6660.062161811247"/>
        <n v="-29545.78051325689"/>
        <n v="-8296.422846552072"/>
        <n v="-12444.63426982811"/>
        <n v="8312.366724330135"/>
        <n v="-15844.20666867211"/>
        <n v="10517.3323180989"/>
        <n v="-23636.62441060551"/>
        <n v="6933.08135790009"/>
        <n v="3197.900677057917"/>
        <m/>
      </sharedItems>
    </cacheField>
    <cacheField name="Und -20%, ImpVol -2%" uniqueList="1" numFmtId="0" sqlType="0" hierarchy="0" level="0" databaseField="1">
      <sharedItems count="74" containsBlank="1" containsNumber="1" containsString="0" minValue="-30567.33599681961" maxValue="35338.15483089052">
        <n v="-5479.544980960966"/>
        <n v="15580.94742935223"/>
        <n v="-5228.676539900917"/>
        <n v="3745.226444047717"/>
        <n v="-2990.362295647979"/>
        <n v="-654.1737309888924"/>
        <n v="-1734.318536913252"/>
        <n v="-5980.724591295959"/>
        <n v="3468.637073826505"/>
        <n v="-785.0084771866708"/>
        <n v="1947.618428669029"/>
        <n v="2292.165368808407"/>
        <n v="-6710.922914033646"/>
        <n v="-2173.548204554663"/>
        <n v="1717.713525558484"/>
        <n v="-1256.773663792857"/>
        <n v="-1498.622863675298"/>
        <n v="1286.623070244126"/>
        <n v="-2928.993910107302"/>
        <n v="4193.657735467923"/>
        <n v="-2188.284055245967"/>
        <n v="2173.548204554663"/>
        <n v="-6304.47249672286"/>
        <n v="2587.359933117564"/>
        <n v="-1862.715614732521"/>
        <n v="-5736.612509849104"/>
        <n v="5113.729950578186"/>
        <n v="-11572.47138544936"/>
        <n v="2985.302530234385"/>
        <n v="6733.170766615657"/>
        <n v="-8587.168855214977"/>
        <n v="-5927.179817351302"/>
        <n v="5892.195906679578"/>
        <n v="5102.411067995999"/>
        <n v="-2370.871926940521"/>
        <n v="1178.439181335916"/>
        <n v="2289.52972080853"/>
        <n v="-3508.154135715529"/>
        <n v="-9215.59302277753"/>
        <n v="10204.822135992"/>
        <n v="2017.929685215651"/>
        <n v="2301.261193286145"/>
        <n v="-12744.65657442396"/>
        <n v="8175.242965237327"/>
        <n v="-8783.180189729172"/>
        <n v="1924.455806067326"/>
        <n v="-3513.272075891668"/>
        <n v="-1610.510723873518"/>
        <n v="1376.348558312246"/>
        <n v="-5723.869764077199"/>
        <n v="5723.869764077199"/>
        <n v="-9042.95716481232"/>
        <n v="-5399.492029800558"/>
        <n v="1088.853335261595"/>
        <n v="20025.33757015239"/>
        <n v="12822.90528245525"/>
        <n v="-9486.322270563587"/>
        <n v="-27227.76985784951"/>
        <n v="10325.01025996429"/>
        <n v="-29725.6648803405"/>
        <n v="35338.15483089052"/>
        <n v="-18972.64454112717"/>
        <n v="16028.63160306907"/>
        <n v="7067.630966178103"/>
        <n v="-30567.33599681961"/>
        <n v="-8885.049494604358"/>
        <n v="-13327.57424190654"/>
        <n v="7979.780105117762"/>
        <n v="-16010.4999782783"/>
        <n v="10012.67941932806"/>
        <n v="-24453.86879745569"/>
        <n v="6673.19736636346"/>
        <n v="3513.364105047278"/>
        <m/>
      </sharedItems>
    </cacheField>
    <cacheField name="Und -20%, ImpVol 0%" uniqueList="1" numFmtId="0" sqlType="0" hierarchy="0" level="0" databaseField="1">
      <sharedItems count="74" containsBlank="1" containsNumber="1" containsString="0" minValue="-31300.75534759348" maxValue="36700.96089418007">
        <n v="-5479.544980960966"/>
        <n v="16176.79289262247"/>
        <n v="-5357.9581345447"/>
        <n v="3781.141604588538"/>
        <n v="-3046.394863433512"/>
        <n v="-644.7685825161076"/>
        <n v="-1698.403376372433"/>
        <n v="-6092.789726867025"/>
        <n v="3396.806752744865"/>
        <n v="-773.7222990193292"/>
        <n v="2022.099111577808"/>
        <n v="2240.452730950893"/>
        <n v="-6869.145090382327"/>
        <n v="-2093.085520564954"/>
        <n v="1832.122504903275"/>
        <n v="-1216.45645345771"/>
        <n v="-1449.394859138013"/>
        <n v="1241.98477214733"/>
        <n v="-3058.696018023709"/>
        <n v="4035.43555911924"/>
        <n v="-2268.746739235675"/>
        <n v="2093.085520564954"/>
        <n v="-6525.70431757776"/>
        <n v="2463.090691505085"/>
        <n v="-1973.630937165968"/>
        <n v="-5981.371818301588"/>
        <n v="4868.970642125707"/>
        <n v="-11572.47138544936"/>
        <n v="2927.695736583274"/>
        <n v="6585.614985335131"/>
        <n v="-8644.775648866089"/>
        <n v="-6115.086433490606"/>
        <n v="5788.216150180805"/>
        <n v="5299.320915809787"/>
        <n v="-2446.034573396242"/>
        <n v="1157.643230036161"/>
        <n v="2252.889754884714"/>
        <n v="-3457.4236377011"/>
        <n v="-9257.184925377042"/>
        <n v="10598.64183161957"/>
        <n v="2139.0714587839"/>
        <n v="2221.208826525875"/>
        <n v="-13131.05157006093"/>
        <n v="7875.261156113996"/>
        <n v="-8994.656658058067"/>
        <n v="1859.370383744237"/>
        <n v="-3597.862663223227"/>
        <n v="-1557.471099738161"/>
        <n v="1327.097148623427"/>
        <n v="-5937.624934491387"/>
        <n v="5937.624934491387"/>
        <n v="-9157.31086786442"/>
        <n v="-5679.820859321271"/>
        <n v="1164.04881248437"/>
        <n v="20025.33757015239"/>
        <n v="12556.39135008457"/>
        <n v="-9723.950016828003"/>
        <n v="-27494.2837902202"/>
        <n v="10125.81779138988"/>
        <n v="-29924.85734891488"/>
        <n v="36700.96089418007"/>
        <n v="-19447.90003365601"/>
        <n v="15695.48918760571"/>
        <n v="7340.192178836014"/>
        <n v="-31300.75534759348"/>
        <n v="-9282.991225168265"/>
        <n v="-13924.4868377524"/>
        <n v="7702.294843627365"/>
        <n v="-16149.24260902349"/>
        <n v="9638.349611846897"/>
        <n v="-25040.60427807479"/>
        <n v="6447.588746148129"/>
        <n v="3723.864527716448"/>
        <m/>
      </sharedItems>
    </cacheField>
    <cacheField name="Und -20%, ImpVol 2%" uniqueList="1" numFmtId="0" sqlType="0" hierarchy="0" level="0" databaseField="1">
      <sharedItems count="0" containsBlank="1" containsNumber="1" containsString="0" minValue="-32070.4938741811" maxValue="38066.62931411734"/>
    </cacheField>
    <cacheField name="Und -20%, ImpVol 5%" uniqueList="1" numFmtId="0" sqlType="0" hierarchy="0" level="0" databaseField="1">
      <sharedItems count="0" containsBlank="1" containsNumber="1" containsString="0" minValue="-33284.23502847056" maxValue="40119.65763937246"/>
    </cacheField>
    <cacheField name="Und -20%, ImpVol 10%" uniqueList="1" numFmtId="0" sqlType="0" hierarchy="0" level="0" databaseField="1">
      <sharedItems count="0" containsBlank="1" containsNumber="1" containsString="0" minValue="-35436.62849658883" maxValue="43550.78818110569"/>
    </cacheField>
    <cacheField name="Und -20%, ImpVol 20%" uniqueList="1" numFmtId="0" sqlType="0" hierarchy="0" level="0" databaseField="1">
      <sharedItems count="0" containsBlank="1" containsNumber="1" containsString="0" minValue="-40087.68403263875" maxValue="50434.86327050618"/>
    </cacheField>
    <cacheField name="Und -10%, ImpVol -5%" uniqueList="1" numFmtId="0" sqlType="0" hierarchy="0" level="0" databaseField="1">
      <sharedItems count="0" containsBlank="1" containsNumber="1" containsString="0" minValue="-11831.6572627964" maxValue="12187.56525710852"/>
    </cacheField>
    <cacheField name="Und -10%, ImpVol -2%" uniqueList="1" numFmtId="0" sqlType="0" hierarchy="0" level="0" databaseField="1">
      <sharedItems count="0" containsBlank="1" containsNumber="1" containsString="0" minValue="-12515.91504212689" maxValue="12438.78079389531"/>
    </cacheField>
    <cacheField name="Und -10%, ImpVol 0%" uniqueList="1" numFmtId="0" sqlType="0" hierarchy="0" level="0" databaseField="1">
      <sharedItems count="0" containsBlank="1" containsNumber="1" containsString="0" minValue="-13478.11318423239" maxValue="13890.15122780443"/>
    </cacheField>
    <cacheField name="Und -10%, ImpVol 2%" uniqueList="1" numFmtId="0" sqlType="0" hierarchy="0" level="0" databaseField="1">
      <sharedItems count="0" containsBlank="1" containsNumber="1" containsString="0" minValue="-14607.58431576905" maxValue="15344.14272623801"/>
    </cacheField>
    <cacheField name="Und -10%, ImpVol 5%" uniqueList="1" numFmtId="0" sqlType="0" hierarchy="0" level="0" databaseField="1">
      <sharedItems count="0" containsBlank="1" containsNumber="1" containsString="0" minValue="-16319.35967031163" maxValue="17529.24174623361"/>
    </cacheField>
    <cacheField name="Und -10%, ImpVol 10%" uniqueList="1" numFmtId="0" sqlType="0" hierarchy="0" level="0" databaseField="1">
      <sharedItems count="0" containsBlank="1" containsNumber="1" containsString="0" minValue="-19207.94397169298" maxValue="21179.50491945364"/>
    </cacheField>
    <cacheField name="Und -10%, ImpVol 20%" uniqueList="1" numFmtId="0" sqlType="0" hierarchy="0" level="0" databaseField="1">
      <sharedItems count="0" containsBlank="1" containsNumber="1" containsString="0" minValue="-25067.75457710028" maxValue="28498.72331811587"/>
    </cacheField>
    <cacheField name="Und -5%, ImpVol -5%" uniqueList="1" numFmtId="0" sqlType="0" hierarchy="0" level="0" databaseField="1">
      <sharedItems count="0" containsBlank="1" containsNumber="1" containsString="0" minValue="-4435.318531091198" maxValue="7978.960261413942"/>
    </cacheField>
    <cacheField name="Und -5%, ImpVol -2%" uniqueList="1" numFmtId="0" sqlType="0" hierarchy="0" level="0" databaseField="1">
      <sharedItems count="0" containsBlank="1" containsNumber="1" containsString="0" minValue="-5327.733855206261" maxValue="6784.347812158705"/>
    </cacheField>
    <cacheField name="Und -5%, ImpVol 0%" uniqueList="1" numFmtId="0" sqlType="0" hierarchy="0" level="0" databaseField="1">
      <sharedItems count="0" containsBlank="1" containsNumber="1" containsString="0" minValue="-6191.455503150951" maxValue="5992.122783119862"/>
    </cacheField>
    <cacheField name="Und -5%, ImpVol 2%" uniqueList="1" numFmtId="0" sqlType="0" hierarchy="0" level="0" databaseField="1">
      <sharedItems count="0" containsBlank="1" containsNumber="1" containsString="0" minValue="-7437.338427116106" maxValue="7367.644842533878"/>
    </cacheField>
    <cacheField name="Und -5%, ImpVol 5%" uniqueList="1" numFmtId="0" sqlType="0" hierarchy="0" level="0" databaseField="1">
      <sharedItems count="0" containsBlank="1" containsNumber="1" containsString="0" minValue="-9309.245960545672" maxValue="9449.473249984454"/>
    </cacheField>
    <cacheField name="Und -5%, ImpVol 10%" uniqueList="1" numFmtId="0" sqlType="0" hierarchy="0" level="0" databaseField="1">
      <sharedItems count="0" containsBlank="1" containsNumber="1" containsString="0" minValue="-12433.94959433103" maxValue="12960.4928430191"/>
    </cacheField>
    <cacheField name="Und -5%, ImpVol 20%" uniqueList="1" numFmtId="0" sqlType="0" hierarchy="0" level="0" databaseField="1">
      <sharedItems count="0" containsBlank="1" containsNumber="1" containsString="0" minValue="-18685.82947363197" maxValue="20096.03389721212"/>
    </cacheField>
    <cacheField name="Und 0%, ImpVol -5%" uniqueList="1" numFmtId="0" sqlType="0" hierarchy="0" level="0" databaseField="1">
      <sharedItems count="0" containsBlank="1" containsNumber="1" containsString="0" minValue="-3003.691001636264" maxValue="3271.311416923345"/>
    </cacheField>
    <cacheField name="Und 0%, ImpVol -2%" uniqueList="1" numFmtId="0" sqlType="0" hierarchy="0" level="0" databaseField="1">
      <sharedItems count="0" containsBlank="1" containsNumber="1" containsString="0" minValue="-1220.281804027627" maxValue="1307.804971205451"/>
    </cacheField>
    <cacheField name="Und 0%, ImpVol 0%" uniqueList="1" numFmtId="0" sqlType="0" hierarchy="0" level="0" databaseField="1">
      <sharedItems count="0" containsBlank="1" containsInteger="1" containsNumber="1" containsString="0" minValue="0" maxValue="0"/>
    </cacheField>
    <cacheField name="Und 0%, ImpVol 2%" uniqueList="1" numFmtId="0" sqlType="0" hierarchy="0" level="0" databaseField="1">
      <sharedItems count="0" containsBlank="1" containsNumber="1" containsString="0" minValue="-1306.779914438994" maxValue="1242.599242709161"/>
    </cacheField>
    <cacheField name="Und 0%, ImpVol 5%" uniqueList="1" numFmtId="0" sqlType="0" hierarchy="0" level="0" databaseField="1">
      <sharedItems count="0" containsBlank="1" containsNumber="1" containsString="0" minValue="-3264.905176689945" maxValue="3143.86609965884"/>
    </cacheField>
    <cacheField name="Und 0%, ImpVol 10%" uniqueList="1" numFmtId="0" sqlType="0" hierarchy="0" level="0" databaseField="1">
      <sharedItems count="0" containsBlank="1" containsNumber="1" containsString="0" minValue="-6522.529636200056" maxValue="6397.840388858822"/>
    </cacheField>
    <cacheField name="Und 0%, ImpVol 20%" uniqueList="1" numFmtId="0" sqlType="0" hierarchy="0" level="0" databaseField="1">
      <sharedItems count="0" containsBlank="1" containsNumber="1" containsString="0" minValue="-13012.46873802006" maxValue="13150.03563754112"/>
    </cacheField>
    <cacheField name="Und 5%, ImpVol -5%" uniqueList="1" numFmtId="0" sqlType="0" hierarchy="0" level="0" databaseField="1">
      <sharedItems count="0" containsBlank="1" containsNumber="1" containsString="0" minValue="-6990.471607319205" maxValue="8423.484946618873"/>
    </cacheField>
    <cacheField name="Und 5%, ImpVol -2%" uniqueList="1" numFmtId="0" sqlType="0" hierarchy="0" level="0" databaseField="1">
      <sharedItems count="0" containsBlank="1" containsNumber="1" containsString="0" minValue="-6534.825032311824" maxValue="6462.975760810912"/>
    </cacheField>
    <cacheField name="Und 5%, ImpVol 0%" uniqueList="1" numFmtId="0" sqlType="0" hierarchy="0" level="0" databaseField="1">
      <sharedItems count="0" containsBlank="1" containsNumber="1" containsString="0" minValue="-7380.41945270661" maxValue="5152.457710112276"/>
    </cacheField>
    <cacheField name="Und 5%, ImpVol 2%" uniqueList="1" numFmtId="0" sqlType="0" hierarchy="0" level="0" databaseField="1">
      <sharedItems count="0" containsBlank="1" containsNumber="1" containsString="0" minValue="-8228.838349912236" maxValue="4070.665031443277"/>
    </cacheField>
    <cacheField name="Und 5%, ImpVol 5%" uniqueList="1" numFmtId="0" sqlType="0" hierarchy="0" level="0" databaseField="1">
      <sharedItems count="0" containsBlank="1" containsNumber="1" containsString="0" minValue="-9505.845123654057" maxValue="3593.377385187136"/>
    </cacheField>
    <cacheField name="Und 5%, ImpVol 10%" uniqueList="1" numFmtId="0" sqlType="0" hierarchy="0" level="0" databaseField="1">
      <sharedItems count="0" containsBlank="1" containsNumber="1" containsString="0" minValue="-11643.14203614035" maxValue="4866.298210729121"/>
    </cacheField>
    <cacheField name="Und 5%, ImpVol 20%" uniqueList="1" numFmtId="0" sqlType="0" hierarchy="0" level="0" databaseField="1">
      <sharedItems count="0" containsBlank="1" containsNumber="1" containsString="0" minValue="-15938.54782192925" maxValue="7462.704404262581"/>
    </cacheField>
    <cacheField name="Und 10%, ImpVol -5%" uniqueList="1" numFmtId="0" sqlType="0" hierarchy="0" level="0" databaseField="1">
      <sharedItems count="0" containsBlank="1" containsNumber="1" containsString="0" minValue="-14103.8261371612" maxValue="12483.42003773242"/>
    </cacheField>
    <cacheField name="Und 10%, ImpVol -2%" uniqueList="1" numFmtId="0" sqlType="0" hierarchy="0" level="0" databaseField="1">
      <sharedItems count="0" containsBlank="1" containsNumber="1" containsString="0" minValue="-15240.15071960721" maxValue="10618.02133603449"/>
    </cacheField>
    <cacheField name="Und 10%, ImpVol 0%" uniqueList="1" numFmtId="0" sqlType="0" hierarchy="0" level="0" databaseField="1">
      <sharedItems count="0" containsBlank="1" containsNumber="1" containsString="0" minValue="-16013.54852137074" maxValue="9358.384310209351"/>
    </cacheField>
    <cacheField name="Und 10%, ImpVol 2%" uniqueList="1" numFmtId="0" sqlType="0" hierarchy="0" level="0" databaseField="1">
      <sharedItems count="0" containsBlank="1" containsNumber="1" containsString="0" minValue="-16797.69234182097" maxValue="8088.399068978674"/>
    </cacheField>
    <cacheField name="Und 10%, ImpVol 5%" uniqueList="1" numFmtId="0" sqlType="0" hierarchy="0" level="0" databaseField="1">
      <sharedItems count="0" containsBlank="1" containsNumber="1" containsString="0" minValue="-17991.12379761041" maxValue="6837.63887880375"/>
    </cacheField>
    <cacheField name="Und 10%, ImpVol 10%" uniqueList="1" numFmtId="0" sqlType="0" hierarchy="0" level="0" databaseField="1">
      <sharedItems count="0" containsBlank="1" containsNumber="1" containsString="0" minValue="-20017.25808081828" maxValue="8207.581368702859"/>
    </cacheField>
    <cacheField name="Und 10%, ImpVol 20%" uniqueList="1" numFmtId="0" sqlType="0" hierarchy="0" level="0" databaseField="1">
      <sharedItems count="0" containsBlank="1" containsNumber="1" containsString="0" minValue="-24166.81444182218" maxValue="10945.76022185636"/>
    </cacheField>
    <cacheField name="Und 20%, ImpVol -5%" uniqueList="1" numFmtId="0" sqlType="0" hierarchy="0" level="0" databaseField="1">
      <sharedItems count="0" containsBlank="1" containsNumber="1" containsString="0" minValue="-34933.08424948636" maxValue="17940.70514091315"/>
    </cacheField>
    <cacheField name="Und 20%, ImpVol -2%" uniqueList="1" numFmtId="0" sqlType="0" hierarchy="0" level="0" databaseField="1">
      <sharedItems count="0" containsBlank="1" containsNumber="1" containsString="0" minValue="-35681.29062275702" maxValue="16442.7824467728"/>
    </cacheField>
    <cacheField name="Und 20%, ImpVol 0%" uniqueList="1" numFmtId="0" sqlType="0" hierarchy="0" level="0" databaseField="1">
      <sharedItems count="0" containsBlank="1" containsNumber="1" containsString="0" minValue="-36219.8811364196" maxValue="15393.77476599511"/>
    </cacheField>
    <cacheField name="Und 20%, ImpVol 2%" uniqueList="1" numFmtId="0" sqlType="0" hierarchy="0" level="0" databaseField="1">
      <sharedItems count="0" containsBlank="1" containsNumber="1" containsString="0" minValue="-36786.92777471895" maxValue="14589.47190310944"/>
    </cacheField>
    <cacheField name="Und 20%, ImpVol 5%" uniqueList="1" numFmtId="0" sqlType="0" hierarchy="0" level="0" databaseField="1">
      <sharedItems count="0" containsBlank="1" containsNumber="1" containsString="0" minValue="-37685.18939341945" maxValue="15390.67913890127"/>
    </cacheField>
    <cacheField name="Und 20%, ImpVol 10%" uniqueList="1" numFmtId="0" sqlType="0" hierarchy="0" level="0" databaseField="1">
      <sharedItems count="0" containsBlank="1" containsNumber="1" containsString="0" minValue="-39290.80952514036" maxValue="16741.56126677386"/>
    </cacheField>
    <cacheField name="Und 20%, ImpVol 20%" uniqueList="1" numFmtId="0" sqlType="0" hierarchy="0" level="0" databaseField="1">
      <sharedItems count="0" containsBlank="1" containsNumber="1" containsString="0" minValue="-42810.93677917397" maxValue="19482.15458599842"/>
    </cacheField>
    <cacheField name="Days (Maturity)" uniqueList="1" numFmtId="0" sqlType="0" hierarchy="0" level="0" databaseField="0">
      <fieldGroup base="8">
        <rangePr autoStart="1" autoEnd="1" groupBy="days" startDate="2010-03-19T00:00:00" endDate="2010-09-18T00:00:00" groupInterval="1"/>
        <groupItems count="368">
          <s v="&lt;3/19/2010"/>
          <s v="1-Jan"/>
          <s v="2-Jan"/>
          <s v="3-Jan"/>
          <s v="4-Jan"/>
          <s v="5-Jan"/>
          <s v="6-Jan"/>
          <s v="7-Jan"/>
          <s v="8-Jan"/>
          <s v="9-Jan"/>
          <s v="10-Jan"/>
          <s v="11-Jan"/>
          <s v="12-Jan"/>
          <s v="13-Jan"/>
          <s v="14-Jan"/>
          <s v="15-Jan"/>
          <s v="16-Jan"/>
          <s v="17-Jan"/>
          <s v="18-Jan"/>
          <s v="19-Jan"/>
          <s v="20-Jan"/>
          <s v="21-Jan"/>
          <s v="22-Jan"/>
          <s v="23-Jan"/>
          <s v="24-Jan"/>
          <s v="25-Jan"/>
          <s v="26-Jan"/>
          <s v="27-Jan"/>
          <s v="28-Jan"/>
          <s v="29-Jan"/>
          <s v="30-Jan"/>
          <s v="31-Jan"/>
          <s v="1-Feb"/>
          <s v="2-Feb"/>
          <s v="3-Feb"/>
          <s v="4-Feb"/>
          <s v="5-Feb"/>
          <s v="6-Feb"/>
          <s v="7-Feb"/>
          <s v="8-Feb"/>
          <s v="9-Feb"/>
          <s v="10-Feb"/>
          <s v="11-Feb"/>
          <s v="12-Feb"/>
          <s v="13-Feb"/>
          <s v="14-Feb"/>
          <s v="15-Feb"/>
          <s v="16-Feb"/>
          <s v="17-Feb"/>
          <s v="18-Feb"/>
          <s v="19-Feb"/>
          <s v="20-Feb"/>
          <s v="21-Feb"/>
          <s v="22-Feb"/>
          <s v="23-Feb"/>
          <s v="24-Feb"/>
          <s v="25-Feb"/>
          <s v="26-Feb"/>
          <s v="27-Feb"/>
          <s v="28-Feb"/>
          <s v="29-Feb"/>
          <s v="1-Mar"/>
          <s v="2-Mar"/>
          <s v="3-Mar"/>
          <s v="4-Mar"/>
          <s v="5-Mar"/>
          <s v="6-Mar"/>
          <s v="7-Mar"/>
          <s v="8-Mar"/>
          <s v="9-Mar"/>
          <s v="10-Mar"/>
          <s v="11-Mar"/>
          <s v="12-Mar"/>
          <s v="13-Mar"/>
          <s v="14-Mar"/>
          <s v="15-Mar"/>
          <s v="16-Mar"/>
          <s v="17-Mar"/>
          <s v="18-Mar"/>
          <s v="19-Mar"/>
          <s v="20-Mar"/>
          <s v="21-Mar"/>
          <s v="22-Mar"/>
          <s v="23-Mar"/>
          <s v="24-Mar"/>
          <s v="25-Mar"/>
          <s v="26-Mar"/>
          <s v="27-Mar"/>
          <s v="28-Mar"/>
          <s v="29-Mar"/>
          <s v="30-Mar"/>
          <s v="31-Mar"/>
          <s v="1-Apr"/>
          <s v="2-Apr"/>
          <s v="3-Apr"/>
          <s v="4-Apr"/>
          <s v="5-Apr"/>
          <s v="6-Apr"/>
          <s v="7-Apr"/>
          <s v="8-Apr"/>
          <s v="9-Apr"/>
          <s v="10-Apr"/>
          <s v="11-Apr"/>
          <s v="12-Apr"/>
          <s v="13-Apr"/>
          <s v="14-Apr"/>
          <s v="15-Apr"/>
          <s v="16-Apr"/>
          <s v="17-Apr"/>
          <s v="18-Apr"/>
          <s v="19-Apr"/>
          <s v="20-Apr"/>
          <s v="21-Apr"/>
          <s v="22-Apr"/>
          <s v="23-Apr"/>
          <s v="24-Apr"/>
          <s v="25-Apr"/>
          <s v="26-Apr"/>
          <s v="27-Apr"/>
          <s v="28-Apr"/>
          <s v="29-Apr"/>
          <s v="30-Apr"/>
          <s v="1-May"/>
          <s v="2-May"/>
          <s v="3-May"/>
          <s v="4-May"/>
          <s v="5-May"/>
          <s v="6-May"/>
          <s v="7-May"/>
          <s v="8-May"/>
          <s v="9-May"/>
          <s v="10-May"/>
          <s v="11-May"/>
          <s v="12-May"/>
          <s v="13-May"/>
          <s v="14-May"/>
          <s v="15-May"/>
          <s v="16-May"/>
          <s v="17-May"/>
          <s v="18-May"/>
          <s v="19-May"/>
          <s v="20-May"/>
          <s v="21-May"/>
          <s v="22-May"/>
          <s v="23-May"/>
          <s v="24-May"/>
          <s v="25-May"/>
          <s v="26-May"/>
          <s v="27-May"/>
          <s v="28-May"/>
          <s v="29-May"/>
          <s v="30-May"/>
          <s v="31-May"/>
          <s v="1-Jun"/>
          <s v="2-Jun"/>
          <s v="3-Jun"/>
          <s v="4-Jun"/>
          <s v="5-Jun"/>
          <s v="6-Jun"/>
          <s v="7-Jun"/>
          <s v="8-Jun"/>
          <s v="9-Jun"/>
          <s v="10-Jun"/>
          <s v="11-Jun"/>
          <s v="12-Jun"/>
          <s v="13-Jun"/>
          <s v="14-Jun"/>
          <s v="15-Jun"/>
          <s v="16-Jun"/>
          <s v="17-Jun"/>
          <s v="18-Jun"/>
          <s v="19-Jun"/>
          <s v="20-Jun"/>
          <s v="21-Jun"/>
          <s v="22-Jun"/>
          <s v="23-Jun"/>
          <s v="24-Jun"/>
          <s v="25-Jun"/>
          <s v="26-Jun"/>
          <s v="27-Jun"/>
          <s v="28-Jun"/>
          <s v="29-Jun"/>
          <s v="30-Jun"/>
          <s v="1-Jul"/>
          <s v="2-Jul"/>
          <s v="3-Jul"/>
          <s v="4-Jul"/>
          <s v="5-Jul"/>
          <s v="6-Jul"/>
          <s v="7-Jul"/>
          <s v="8-Jul"/>
          <s v="9-Jul"/>
          <s v="10-Jul"/>
          <s v="11-Jul"/>
          <s v="12-Jul"/>
          <s v="13-Jul"/>
          <s v="14-Jul"/>
          <s v="15-Jul"/>
          <s v="16-Jul"/>
          <s v="17-Jul"/>
          <s v="18-Jul"/>
          <s v="19-Jul"/>
          <s v="20-Jul"/>
          <s v="21-Jul"/>
          <s v="22-Jul"/>
          <s v="23-Jul"/>
          <s v="24-Jul"/>
          <s v="25-Jul"/>
          <s v="26-Jul"/>
          <s v="27-Jul"/>
          <s v="28-Jul"/>
          <s v="29-Jul"/>
          <s v="30-Jul"/>
          <s v="31-Jul"/>
          <s v="1-Aug"/>
          <s v="2-Aug"/>
          <s v="3-Aug"/>
          <s v="4-Aug"/>
          <s v="5-Aug"/>
          <s v="6-Aug"/>
          <s v="7-Aug"/>
          <s v="8-Aug"/>
          <s v="9-Aug"/>
          <s v="10-Aug"/>
          <s v="11-Aug"/>
          <s v="12-Aug"/>
          <s v="13-Aug"/>
          <s v="14-Aug"/>
          <s v="15-Aug"/>
          <s v="16-Aug"/>
          <s v="17-Aug"/>
          <s v="18-Aug"/>
          <s v="19-Aug"/>
          <s v="20-Aug"/>
          <s v="21-Aug"/>
          <s v="22-Aug"/>
          <s v="23-Aug"/>
          <s v="24-Aug"/>
          <s v="25-Aug"/>
          <s v="26-Aug"/>
          <s v="27-Aug"/>
          <s v="28-Aug"/>
          <s v="29-Aug"/>
          <s v="30-Aug"/>
          <s v="31-Aug"/>
          <s v="1-Sep"/>
          <s v="2-Sep"/>
          <s v="3-Sep"/>
          <s v="4-Sep"/>
          <s v="5-Sep"/>
          <s v="6-Sep"/>
          <s v="7-Sep"/>
          <s v="8-Sep"/>
          <s v="9-Sep"/>
          <s v="10-Sep"/>
          <s v="11-Sep"/>
          <s v="12-Sep"/>
          <s v="13-Sep"/>
          <s v="14-Sep"/>
          <s v="15-Sep"/>
          <s v="16-Sep"/>
          <s v="17-Sep"/>
          <s v="18-Sep"/>
          <s v="19-Sep"/>
          <s v="20-Sep"/>
          <s v="21-Sep"/>
          <s v="22-Sep"/>
          <s v="23-Sep"/>
          <s v="24-Sep"/>
          <s v="25-Sep"/>
          <s v="26-Sep"/>
          <s v="27-Sep"/>
          <s v="28-Sep"/>
          <s v="29-Sep"/>
          <s v="30-Sep"/>
          <s v="1-Oct"/>
          <s v="2-Oct"/>
          <s v="3-Oct"/>
          <s v="4-Oct"/>
          <s v="5-Oct"/>
          <s v="6-Oct"/>
          <s v="7-Oct"/>
          <s v="8-Oct"/>
          <s v="9-Oct"/>
          <s v="10-Oct"/>
          <s v="11-Oct"/>
          <s v="12-Oct"/>
          <s v="13-Oct"/>
          <s v="14-Oct"/>
          <s v="15-Oct"/>
          <s v="16-Oct"/>
          <s v="17-Oct"/>
          <s v="18-Oct"/>
          <s v="19-Oct"/>
          <s v="20-Oct"/>
          <s v="21-Oct"/>
          <s v="22-Oct"/>
          <s v="23-Oct"/>
          <s v="24-Oct"/>
          <s v="25-Oct"/>
          <s v="26-Oct"/>
          <s v="27-Oct"/>
          <s v="28-Oct"/>
          <s v="29-Oct"/>
          <s v="30-Oct"/>
          <s v="31-Oct"/>
          <s v="1-Nov"/>
          <s v="2-Nov"/>
          <s v="3-Nov"/>
          <s v="4-Nov"/>
          <s v="5-Nov"/>
          <s v="6-Nov"/>
          <s v="7-Nov"/>
          <s v="8-Nov"/>
          <s v="9-Nov"/>
          <s v="10-Nov"/>
          <s v="11-Nov"/>
          <s v="12-Nov"/>
          <s v="13-Nov"/>
          <s v="14-Nov"/>
          <s v="15-Nov"/>
          <s v="16-Nov"/>
          <s v="17-Nov"/>
          <s v="18-Nov"/>
          <s v="19-Nov"/>
          <s v="20-Nov"/>
          <s v="21-Nov"/>
          <s v="22-Nov"/>
          <s v="23-Nov"/>
          <s v="24-Nov"/>
          <s v="25-Nov"/>
          <s v="26-Nov"/>
          <s v="27-Nov"/>
          <s v="28-Nov"/>
          <s v="29-Nov"/>
          <s v="30-Nov"/>
          <s v="1-Dec"/>
          <s v="2-Dec"/>
          <s v="3-Dec"/>
          <s v="4-Dec"/>
          <s v="5-Dec"/>
          <s v="6-Dec"/>
          <s v="7-Dec"/>
          <s v="8-Dec"/>
          <s v="9-Dec"/>
          <s v="10-Dec"/>
          <s v="11-Dec"/>
          <s v="12-Dec"/>
          <s v="13-Dec"/>
          <s v="14-Dec"/>
          <s v="15-Dec"/>
          <s v="16-Dec"/>
          <s v="17-Dec"/>
          <s v="18-Dec"/>
          <s v="19-Dec"/>
          <s v="20-Dec"/>
          <s v="21-Dec"/>
          <s v="22-Dec"/>
          <s v="23-Dec"/>
          <s v="24-Dec"/>
          <s v="25-Dec"/>
          <s v="26-Dec"/>
          <s v="27-Dec"/>
          <s v="28-Dec"/>
          <s v="29-Dec"/>
          <s v="30-Dec"/>
          <s v="31-Dec"/>
          <s v="&gt;9/18/2010"/>
        </groupItems>
      </fieldGroup>
    </cacheField>
    <cacheField name="Months (Maturity)" uniqueList="1" numFmtId="0" sqlType="0" hierarchy="0" level="0" databaseField="0">
      <fieldGroup base="8">
        <rangePr autoStart="1" autoEnd="1" groupBy="months" startDate="2010-03-19T00:00:00" endDate="2010-09-18T00:00:00" groupInterval="1"/>
        <groupItems count="14">
          <s v="&lt;3/19/2010"/>
          <s v="Jan"/>
          <s v="Feb"/>
          <s v="Mar"/>
          <s v="Apr"/>
          <s v="May"/>
          <s v="Jun"/>
          <s v="Jul"/>
          <s v="Aug"/>
          <s v="Sep"/>
          <s v="Oct"/>
          <s v="Nov"/>
          <s v="Dec"/>
          <s v="&gt;9/18/2010"/>
        </groupItems>
      </fieldGroup>
    </cacheField>
  </cacheFields>
</pivotCacheDefinition>
</file>

<file path=xl/pivotCache/pivotCacheRecords1.xml><?xml version="1.0" encoding="utf-8"?>
<pivotCacheRecords xmlns="http://schemas.openxmlformats.org/spreadsheetml/2006/main" count="83">
  <r>
    <x v="0"/>
    <x v="0"/>
    <x v="0"/>
    <x v="0"/>
    <x v="0"/>
    <x v="0"/>
    <x v="0"/>
    <x v="0"/>
    <x v="0"/>
    <n v="0"/>
    <x v="0"/>
    <n v="1095.788903156733"/>
    <n v="27394.72257891833"/>
    <x v="0"/>
    <x v="0"/>
    <n v="1095.788903156733"/>
    <n v="0"/>
    <n v="0.06004322757023196"/>
    <n v="2.101512964958118"/>
    <n v="27394.72257891833"/>
    <n v="0"/>
    <n v="1.501080689255799"/>
    <n v="52.53782412395294"/>
    <n v="-5478.944515783667"/>
    <n v="-2739.472257891834"/>
    <n v="-1369.73612894592"/>
    <n v="-547.8944515783667"/>
    <n v="547.8944515783667"/>
    <n v="1369.736128945914"/>
    <n v="2739.472257891834"/>
    <n v="5478.944515783667"/>
    <n v="0"/>
    <n v="0"/>
    <n v="0"/>
    <n v="0"/>
    <n v="0"/>
    <n v="0"/>
    <n v="0"/>
    <n v="0"/>
  </r>
  <r>
    <x v="0"/>
    <x v="0"/>
    <x v="0"/>
    <x v="1"/>
    <x v="0"/>
    <x v="1"/>
    <x v="1"/>
    <x v="1"/>
    <x v="0"/>
    <n v="0.5324774237538278"/>
    <x v="1"/>
    <n v="34.15839326892504"/>
    <n v="6831.678653785008"/>
    <x v="0"/>
    <x v="0"/>
    <n v="-230.2047827201964"/>
    <n v="1.383324887036943"/>
    <n v="-0.5307820456150451"/>
    <n v="-0.5069978717599591"/>
    <n v="-46040.95654403928"/>
    <n v="276.6649774073886"/>
    <n v="-106.156409123009"/>
    <n v="-101.3995743519918"/>
    <n v="16198.97576810407"/>
    <n v="6162.765029589701"/>
    <n v="2666.166662935308"/>
    <n v="976.623636855868"/>
    <n v="-868.2326069369424"/>
    <n v="-1988.038844615312"/>
    <n v="-3441.38021643816"/>
    <n v="-5224.205183272312"/>
    <n v="-2623.365768320622"/>
    <n v="-1350.638630317417"/>
    <n v="-548.3659066701534"/>
    <n v="-275.4448152592772"/>
    <n v="277.8452327431864"/>
    <n v="557.9745616740297"/>
    <n v="1410.999409578011"/>
    <n v="2869.251643482284"/>
  </r>
  <r>
    <x v="0"/>
    <x v="0"/>
    <x v="0"/>
    <x v="1"/>
    <x v="0"/>
    <x v="2"/>
    <x v="2"/>
    <x v="1"/>
    <x v="0"/>
    <n v="0.4707529337342356"/>
    <x v="1"/>
    <n v="46.02687836772424"/>
    <n v="-2301.343918386212"/>
    <x v="0"/>
    <x v="0"/>
    <n v="-318.2314722312879"/>
    <n v="1.643732645535802"/>
    <n v="-0.5591682385653859"/>
    <n v="-0.698577658683037"/>
    <n v="15911.5736115644"/>
    <n v="-82.18663227679008"/>
    <n v="27.9584119282693"/>
    <n v="34.92888293415185"/>
    <n v="-5347.79076140372"/>
    <n v="-2097.825119573315"/>
    <n v="-916.1397822859982"/>
    <n v="-336.8803186118384"/>
    <n v="300.4744670161102"/>
    <n v="688.8602981805718"/>
    <n v="1192.624078756414"/>
    <n v="1802.525273554095"/>
    <n v="800.768944058089"/>
    <n v="406.2689933666604"/>
    <n v="163.6763448030052"/>
    <n v="82.01619604019754"/>
    <n v="-82.34990587539244"/>
    <n v="-165.0128211924908"/>
    <n v="-414.6941952280997"/>
    <n v="-835.5370565276388"/>
  </r>
  <r>
    <x v="0"/>
    <x v="0"/>
    <x v="0"/>
    <x v="1"/>
    <x v="0"/>
    <x v="0"/>
    <x v="3"/>
    <x v="1"/>
    <x v="0"/>
    <n v="0.4091774650795282"/>
    <x v="1"/>
    <n v="79.24718808555144"/>
    <n v="1981.179702138786"/>
    <x v="1"/>
    <x v="0"/>
    <n v="-512.9754372647533"/>
    <n v="1.908319569067536"/>
    <n v="-0.5680042692993313"/>
    <n v="-1.135769418480036"/>
    <n v="-12824.38593161883"/>
    <n v="47.7079892266884"/>
    <n v="-14.20010673248328"/>
    <n v="-28.39423546200091"/>
    <n v="3764.511588095539"/>
    <n v="1593.150856000275"/>
    <n v="718.5768757039114"/>
    <n v="268.7525998856387"/>
    <n v="-244.456605715817"/>
    <n v="-567.4575161659434"/>
    <n v="-998.9351147077201"/>
    <n v="-1540.556264144252"/>
    <n v="-477.5028250360776"/>
    <n v="-238.6506666604504"/>
    <n v="-95.43416709331893"/>
    <n v="-47.71257565217866"/>
    <n v="47.70332450816568"/>
    <n v="95.39716343229827"/>
    <n v="238.4194343082314"/>
    <n v="476.5785047952022"/>
  </r>
  <r>
    <x v="0"/>
    <x v="0"/>
    <x v="0"/>
    <x v="1"/>
    <x v="0"/>
    <x v="3"/>
    <x v="4"/>
    <x v="1"/>
    <x v="0"/>
    <n v="0.4459509823595961"/>
    <x v="1"/>
    <n v="54.64712329293639"/>
    <n v="-1366.17808232341"/>
    <x v="0"/>
    <x v="0"/>
    <n v="-375.3113717333711"/>
    <n v="1.763231005510364"/>
    <n v="-0.5692606384200173"/>
    <n v="-0.824577935666891"/>
    <n v="9382.784293334276"/>
    <n v="-44.08077513775909"/>
    <n v="14.23151596050043"/>
    <n v="20.61444839167227"/>
    <n v="-3037.002833287911"/>
    <n v="-1218.350181810433"/>
    <n v="-536.6514699353075"/>
    <n v="-198.1703903162838"/>
    <n v="177.5632005999256"/>
    <n v="408.1665370544599"/>
    <n v="708.9112475815789"/>
    <n v="1074.333730247243"/>
    <n v="435.2513095141688"/>
    <n v="219.2017523660724"/>
    <n v="87.9840232866556"/>
    <n v="44.0375225495842"/>
    <n v="-44.12190752252911"/>
    <n v="-88.32209304500935"/>
    <n v="-221.338123151925"/>
    <n v="-444.1466820977794"/>
  </r>
  <r>
    <x v="0"/>
    <x v="0"/>
    <x v="0"/>
    <x v="1"/>
    <x v="0"/>
    <x v="0"/>
    <x v="5"/>
    <x v="2"/>
    <x v="0"/>
    <n v="0.379359911885529"/>
    <x v="1"/>
    <n v="27.84597683072775"/>
    <n v="696.1494207681937"/>
    <x v="0"/>
    <x v="0"/>
    <n v="297.0708670258043"/>
    <n v="1.589922866296527"/>
    <n v="-0.4226593414310972"/>
    <n v="0.5163217072234344"/>
    <n v="7426.771675645108"/>
    <n v="39.74807165741318"/>
    <n v="-10.56648353577743"/>
    <n v="12.90804268058586"/>
    <n v="-662.9889905190962"/>
    <n v="-499.9725733411328"/>
    <n v="-306.5065883839907"/>
    <n v="-137.8144172910972"/>
    <n v="159.6447258176454"/>
    <n v="442.1949742975741"/>
    <n v="1032.386343338894"/>
    <n v="2648.420047107558"/>
    <n v="-365.6819222133876"/>
    <n v="-191.7661909749853"/>
    <n v="-78.45860132761828"/>
    <n v="-39.49467513805871"/>
    <n v="39.99021078309966"/>
    <n v="80.443522355651"/>
    <n v="204.2943422404534"/>
    <n v="417.5895688814734"/>
  </r>
  <r>
    <x v="0"/>
    <x v="0"/>
    <x v="0"/>
    <x v="1"/>
    <x v="0"/>
    <x v="0"/>
    <x v="3"/>
    <x v="2"/>
    <x v="0"/>
    <n v="0.4091774650795282"/>
    <x v="1"/>
    <n v="77.35419320653995"/>
    <n v="1933.854830163499"/>
    <x v="0"/>
    <x v="0"/>
    <n v="582.8134658919798"/>
    <n v="1.908319569067536"/>
    <n v="-0.5410418660534643"/>
    <n v="0.9693739476159121"/>
    <n v="14570.3366472995"/>
    <n v="47.7079892266884"/>
    <n v="-13.52604665133661"/>
    <n v="24.2343486903978"/>
    <n v="-1714.432927688126"/>
    <n v="-1146.321401891555"/>
    <n v="-651.1592532420068"/>
    <n v="-279.1418516927251"/>
    <n v="303.4378458625511"/>
    <n v="802.2786127799704"/>
    <n v="1740.537143184115"/>
    <n v="3938.38825163942"/>
    <n v="-477.5028250360762"/>
    <n v="-238.650666660449"/>
    <n v="-95.43416709331751"/>
    <n v="-47.71257565217724"/>
    <n v="47.70332450816568"/>
    <n v="95.39716343229969"/>
    <n v="238.4194343082356"/>
    <n v="476.578504795205"/>
  </r>
  <r>
    <x v="0"/>
    <x v="0"/>
    <x v="0"/>
    <x v="1"/>
    <x v="0"/>
    <x v="2"/>
    <x v="4"/>
    <x v="1"/>
    <x v="0"/>
    <n v="0.4459509823595961"/>
    <x v="1"/>
    <n v="54.64712329293639"/>
    <n v="-2732.356164646819"/>
    <x v="0"/>
    <x v="0"/>
    <n v="-375.3113717333711"/>
    <n v="1.763231005510364"/>
    <n v="-0.5692606384200173"/>
    <n v="-0.824577935666891"/>
    <n v="18765.56858666855"/>
    <n v="-88.16155027551818"/>
    <n v="28.46303192100087"/>
    <n v="41.22889678334455"/>
    <n v="-6074.005666575823"/>
    <n v="-2436.700363620866"/>
    <n v="-1073.302939870615"/>
    <n v="-396.3407806325677"/>
    <n v="355.1264011998512"/>
    <n v="816.3330741089197"/>
    <n v="1417.822495163158"/>
    <n v="2148.667460494485"/>
    <n v="870.5026190283377"/>
    <n v="438.4035047321447"/>
    <n v="175.9680465733112"/>
    <n v="88.07504509916839"/>
    <n v="-88.24381504505823"/>
    <n v="-176.6441860900187"/>
    <n v="-442.67624630385"/>
    <n v="-888.2933641955589"/>
  </r>
  <r>
    <x v="0"/>
    <x v="0"/>
    <x v="0"/>
    <x v="1"/>
    <x v="0"/>
    <x v="2"/>
    <x v="4"/>
    <x v="1"/>
    <x v="0"/>
    <n v="0.4459509823595961"/>
    <x v="1"/>
    <n v="54.64712329293639"/>
    <n v="-2732.356164646819"/>
    <x v="1"/>
    <x v="0"/>
    <n v="-375.3113717333711"/>
    <n v="1.763231005510364"/>
    <n v="-0.5692606384200173"/>
    <n v="-0.824577935666891"/>
    <n v="18765.56858666855"/>
    <n v="-88.16155027551818"/>
    <n v="28.46303192100087"/>
    <n v="41.22889678334455"/>
    <n v="-6074.005666575823"/>
    <n v="-2436.700363620866"/>
    <n v="-1073.302939870615"/>
    <n v="-396.3407806325677"/>
    <n v="355.1264011998512"/>
    <n v="816.3330741089197"/>
    <n v="1417.822495163158"/>
    <n v="2148.667460494485"/>
    <n v="870.5026190283377"/>
    <n v="438.4035047321447"/>
    <n v="175.9680465733112"/>
    <n v="88.07504509916839"/>
    <n v="-88.24381504505823"/>
    <n v="-176.6441860900187"/>
    <n v="-442.67624630385"/>
    <n v="-888.2933641955589"/>
  </r>
  <r>
    <x v="0"/>
    <x v="0"/>
    <x v="0"/>
    <x v="1"/>
    <x v="0"/>
    <x v="2"/>
    <x v="3"/>
    <x v="2"/>
    <x v="0"/>
    <n v="0.4091774650795282"/>
    <x v="1"/>
    <n v="77.35419320653995"/>
    <n v="-3867.709660326997"/>
    <x v="1"/>
    <x v="0"/>
    <n v="582.8134658919798"/>
    <n v="1.908319569067536"/>
    <n v="-0.5410418660534643"/>
    <n v="0.9693739476159121"/>
    <n v="-29140.67329459899"/>
    <n v="-95.41597845337679"/>
    <n v="27.05209330267321"/>
    <n v="-48.4686973807956"/>
    <n v="3428.865855376253"/>
    <n v="2292.64280378311"/>
    <n v="1302.318506484014"/>
    <n v="558.2837033854503"/>
    <n v="-606.8756917251022"/>
    <n v="-1604.557225559941"/>
    <n v="-3481.074286368229"/>
    <n v="-7876.776503278839"/>
    <n v="955.0056500721524"/>
    <n v="477.3013333208979"/>
    <n v="190.868334186635"/>
    <n v="95.42515130435447"/>
    <n v="-95.40664901633136"/>
    <n v="-190.7943268645994"/>
    <n v="-476.8388686164712"/>
    <n v="-953.1570095904101"/>
  </r>
  <r>
    <x v="0"/>
    <x v="0"/>
    <x v="0"/>
    <x v="1"/>
    <x v="0"/>
    <x v="4"/>
    <x v="5"/>
    <x v="2"/>
    <x v="0"/>
    <n v="0.379359911885529"/>
    <x v="1"/>
    <n v="27.84597683072775"/>
    <n v="835.3793049218325"/>
    <x v="0"/>
    <x v="0"/>
    <n v="297.0708670258043"/>
    <n v="1.589922866296527"/>
    <n v="-0.4226593414310972"/>
    <n v="0.5163217072234344"/>
    <n v="8912.126010774129"/>
    <n v="47.69768598889583"/>
    <n v="-12.67978024293292"/>
    <n v="15.48965121670303"/>
    <n v="-795.5867886229154"/>
    <n v="-599.9670880093594"/>
    <n v="-367.8079060607888"/>
    <n v="-165.3773007493166"/>
    <n v="191.5736709811745"/>
    <n v="530.6339691570889"/>
    <n v="1238.863612006672"/>
    <n v="3178.10405652907"/>
    <n v="-438.8183066560651"/>
    <n v="-230.1194291699824"/>
    <n v="-94.15032159314194"/>
    <n v="-47.39361016567045"/>
    <n v="47.98825293971959"/>
    <n v="96.5322268267812"/>
    <n v="245.153210688544"/>
    <n v="501.1074826577681"/>
  </r>
  <r>
    <x v="0"/>
    <x v="0"/>
    <x v="0"/>
    <x v="1"/>
    <x v="0"/>
    <x v="0"/>
    <x v="1"/>
    <x v="1"/>
    <x v="0"/>
    <n v="0.5324774237538278"/>
    <x v="1"/>
    <n v="34.15839326892504"/>
    <n v="853.9598317231259"/>
    <x v="0"/>
    <x v="0"/>
    <n v="-230.2047827201964"/>
    <n v="1.383324887036943"/>
    <n v="-0.5307820456150451"/>
    <n v="-0.5069978717599591"/>
    <n v="-5755.11956800491"/>
    <n v="34.58312217592357"/>
    <n v="-13.26955114037613"/>
    <n v="-12.67494679399898"/>
    <n v="2024.871971013008"/>
    <n v="770.3456286987126"/>
    <n v="333.2708328669135"/>
    <n v="122.0779546069835"/>
    <n v="-108.5290758671178"/>
    <n v="-248.504855576914"/>
    <n v="-430.1725270547699"/>
    <n v="-653.025647909039"/>
    <n v="-327.9207210400778"/>
    <n v="-168.8298287896771"/>
    <n v="-68.54573833376918"/>
    <n v="-34.43060190740965"/>
    <n v="34.73065409289831"/>
    <n v="69.74682020925371"/>
    <n v="176.3749261972514"/>
    <n v="358.6564554352855"/>
  </r>
  <r>
    <x v="0"/>
    <x v="0"/>
    <x v="0"/>
    <x v="1"/>
    <x v="0"/>
    <x v="5"/>
    <x v="2"/>
    <x v="2"/>
    <x v="0"/>
    <n v="0.4707529337342356"/>
    <x v="1"/>
    <n v="142.9252543119297"/>
    <n v="-2858.505086238595"/>
    <x v="2"/>
    <x v="0"/>
    <n v="777.5574309254451"/>
    <n v="1.643732645535802"/>
    <n v="-0.5292285611303261"/>
    <n v="1.217102804464276"/>
    <n v="-15551.1486185089"/>
    <n v="-32.87465291071604"/>
    <n v="10.58457122260652"/>
    <n v="-24.34205608928552"/>
    <n v="2244.039308065443"/>
    <n v="1352.44775848414"/>
    <n v="729.3329902423352"/>
    <n v="303.5634338179557"/>
    <n v="-318.1257744562504"/>
    <n v="-820.2447838845046"/>
    <n v="-1714.528174810903"/>
    <n v="-3662.145503205297"/>
    <n v="320.3075776232345"/>
    <n v="162.5075973466619"/>
    <n v="65.47053792120096"/>
    <n v="32.80647841607788"/>
    <n v="-32.93996235015811"/>
    <n v="-66.00512847699974"/>
    <n v="-165.8776780912399"/>
    <n v="-334.2148226110567"/>
  </r>
  <r>
    <x v="0"/>
    <x v="0"/>
    <x v="0"/>
    <x v="1"/>
    <x v="0"/>
    <x v="2"/>
    <x v="3"/>
    <x v="1"/>
    <x v="1"/>
    <n v="0.3589510978465105"/>
    <x v="2"/>
    <n v="104.7759448502605"/>
    <n v="-5238.797242513027"/>
    <x v="0"/>
    <x v="0"/>
    <n v="-497.4402612530578"/>
    <n v="2.871527448255475"/>
    <n v="-0.3226133366266605"/>
    <n v="-2.656350936510528"/>
    <n v="24872.01306265289"/>
    <n v="-143.5763724127738"/>
    <n v="16.13066683133302"/>
    <n v="132.8175468255264"/>
    <n v="-6855.141638984822"/>
    <n v="-2956.543834145515"/>
    <n v="-1359.353964850982"/>
    <n v="-515.7443169732971"/>
    <n v="479.4889766350479"/>
    <n v="1133.313060123979"/>
    <n v="2060.286528549619"/>
    <n v="3394.681906969058"/>
    <n v="1438.320661734122"/>
    <n v="718.5547177219007"/>
    <n v="287.2636006769795"/>
    <n v="143.6043519789024"/>
    <n v="-143.5478629535794"/>
    <n v="-287.0376496702846"/>
    <n v="-717.1427494943742"/>
    <n v="-1432.676176771983"/>
  </r>
  <r>
    <x v="0"/>
    <x v="0"/>
    <x v="0"/>
    <x v="1"/>
    <x v="0"/>
    <x v="6"/>
    <x v="4"/>
    <x v="2"/>
    <x v="1"/>
    <n v="0.3956107821031494"/>
    <x v="2"/>
    <n v="145.0637636331924"/>
    <n v="2901.275272663847"/>
    <x v="0"/>
    <x v="0"/>
    <n v="697.8230908756541"/>
    <n v="2.70915382462463"/>
    <n v="-0.3173272250433948"/>
    <n v="2.438198676329763"/>
    <n v="13956.46181751308"/>
    <n v="54.18307649249259"/>
    <n v="-6.346544500867896"/>
    <n v="48.76397352659527"/>
    <n v="-2095.91875912354"/>
    <n v="-1229.310004276493"/>
    <n v="-657.5431737249517"/>
    <n v="-272.8227845252422"/>
    <n v="285.2401046989212"/>
    <n v="735.0621248053767"/>
    <n v="1538.083497783655"/>
    <n v="3308.71854277611"/>
    <n v="-538.204670172745"/>
    <n v="-270.189066329558"/>
    <n v="-108.2638993615933"/>
    <n v="-54.15856839098296"/>
    <n v="54.20561240159941"/>
    <n v="108.4526031371956"/>
    <n v="271.3918918088234"/>
    <n v="543.3711875931431"/>
  </r>
  <r>
    <x v="0"/>
    <x v="0"/>
    <x v="0"/>
    <x v="1"/>
    <x v="0"/>
    <x v="0"/>
    <x v="6"/>
    <x v="1"/>
    <x v="1"/>
    <n v="0.5183581634691705"/>
    <x v="2"/>
    <n v="59.77348106043328"/>
    <n v="1494.337026510832"/>
    <x v="1"/>
    <x v="0"/>
    <n v="-249.6786401546188"/>
    <n v="2.193458172418087"/>
    <n v="-0.3540684537438659"/>
    <n v="-1.364980589469134"/>
    <n v="-6241.966003865469"/>
    <n v="54.83645431045217"/>
    <n v="-8.851711343596646"/>
    <n v="-34.12451473672834"/>
    <n v="1832.956016451997"/>
    <n v="757.1030407057229"/>
    <n v="343.6806669051656"/>
    <n v="129.7375896293055"/>
    <n v="-120.1428316385325"/>
    <n v="-283.6648032842589"/>
    <n v="-516.3663331983422"/>
    <n v="-860.5709341434463"/>
    <n v="-529.0347768096879"/>
    <n v="-269.8534300989998"/>
    <n v="-109.0223124334535"/>
    <n v="-54.67708023120039"/>
    <n v="54.98958696090455"/>
    <n v="110.2735357241748"/>
    <n v="277.7262085839005"/>
    <n v="561.2946720981064"/>
  </r>
  <r>
    <x v="0"/>
    <x v="0"/>
    <x v="0"/>
    <x v="1"/>
    <x v="0"/>
    <x v="0"/>
    <x v="6"/>
    <x v="1"/>
    <x v="1"/>
    <n v="0.5183581634691705"/>
    <x v="2"/>
    <n v="59.77348106043328"/>
    <n v="1494.337026510832"/>
    <x v="0"/>
    <x v="0"/>
    <n v="-249.6786401546188"/>
    <n v="2.193458172418087"/>
    <n v="-0.3540684537438659"/>
    <n v="-1.364980589469134"/>
    <n v="-6241.966003865469"/>
    <n v="54.83645431045217"/>
    <n v="-8.851711343596646"/>
    <n v="-34.12451473672834"/>
    <n v="1832.956016451997"/>
    <n v="757.1030407057229"/>
    <n v="343.6806669051656"/>
    <n v="129.7375896293055"/>
    <n v="-120.1428316385325"/>
    <n v="-283.6648032842589"/>
    <n v="-516.3663331983422"/>
    <n v="-860.5709341434463"/>
    <n v="-529.0347768096879"/>
    <n v="-269.8534300989998"/>
    <n v="-109.0223124334535"/>
    <n v="-54.67708023120039"/>
    <n v="54.98958696090455"/>
    <n v="110.2735357241748"/>
    <n v="277.7262085839005"/>
    <n v="561.2946720981064"/>
  </r>
  <r>
    <x v="0"/>
    <x v="0"/>
    <x v="0"/>
    <x v="1"/>
    <x v="0"/>
    <x v="7"/>
    <x v="7"/>
    <x v="2"/>
    <x v="1"/>
    <n v="0.3296965043050946"/>
    <x v="2"/>
    <n v="27.25662556687024"/>
    <n v="1362.831278343512"/>
    <x v="0"/>
    <x v="0"/>
    <n v="240.2186814046144"/>
    <n v="2.145922457034433"/>
    <n v="-0.2153106675838806"/>
    <n v="0.9393668764349812"/>
    <n v="12010.93407023072"/>
    <n v="107.2961228517216"/>
    <n v="-10.76553337919403"/>
    <n v="46.96834382174906"/>
    <n v="-1233.350553466066"/>
    <n v="-867.7440453481154"/>
    <n v="-512.5052616977357"/>
    <n v="-225.7189897037833"/>
    <n v="255.214129109217"/>
    <n v="696.3043264795772"/>
    <n v="1595.322529037813"/>
    <n v="4031.880188957186"/>
    <n v="-913.8035375807625"/>
    <n v="-501.4479553003952"/>
    <n v="-209.3828129948619"/>
    <n v="-106.0243396311321"/>
    <n v="108.5101306141851"/>
    <n v="219.3391298627418"/>
    <n v="564.2492020442631"/>
    <n v="1173.087351953149"/>
  </r>
  <r>
    <x v="0"/>
    <x v="0"/>
    <x v="0"/>
    <x v="1"/>
    <x v="0"/>
    <x v="7"/>
    <x v="8"/>
    <x v="2"/>
    <x v="1"/>
    <n v="0.3283081874014362"/>
    <x v="2"/>
    <n v="32.68830311692281"/>
    <n v="1634.415155846141"/>
    <x v="0"/>
    <x v="0"/>
    <n v="277.5694022465324"/>
    <n v="2.323268067113874"/>
    <n v="-0.2317325629961187"/>
    <n v="1.080160464653894"/>
    <n v="13878.47011232662"/>
    <n v="116.1634033556937"/>
    <n v="-11.58662814980594"/>
    <n v="54.00802323269471"/>
    <n v="-1467.006077286103"/>
    <n v="-1019.635084065894"/>
    <n v="-597.4234888200683"/>
    <n v="-261.753289721868"/>
    <n v="293.818969192337"/>
    <n v="797.1735166514791"/>
    <n v="1809.41027071248"/>
    <n v="4490.675187441049"/>
    <n v="-1026.112793072679"/>
    <n v="-551.5239544553481"/>
    <n v="-228.0060583325678"/>
    <n v="-115.1110697197211"/>
    <n v="117.1635994096832"/>
    <n v="236.2299369789937"/>
    <n v="603.5284012491716"/>
    <n v="1242.927899499885"/>
  </r>
  <r>
    <x v="0"/>
    <x v="0"/>
    <x v="0"/>
    <x v="1"/>
    <x v="0"/>
    <x v="8"/>
    <x v="5"/>
    <x v="2"/>
    <x v="1"/>
    <n v="0.3293213367633642"/>
    <x v="2"/>
    <n v="47.6618300998731"/>
    <n v="-1429.854902996193"/>
    <x v="0"/>
    <x v="0"/>
    <n v="368.1581996282611"/>
    <n v="2.646297677651333"/>
    <n v="-0.2636447051472841"/>
    <n v="1.413696314906041"/>
    <n v="-11044.74598884783"/>
    <n v="-79.38893032953999"/>
    <n v="7.909341154418524"/>
    <n v="-42.41088944718122"/>
    <n v="1252.884624748891"/>
    <n v="844.2455560058767"/>
    <n v="485.2618423408435"/>
    <n v="210.038824245251"/>
    <n v="-231.8843987103725"/>
    <n v="-621.2980476051678"/>
    <n v="-1381.408823408102"/>
    <n v="-3298.219360694529"/>
    <n v="748.8831704760114"/>
    <n v="387.5326257256847"/>
    <n v="157.4101209120948"/>
    <n v="79.05727755759074"/>
    <n v="-79.70159358643912"/>
    <n v="-159.9933767232091"/>
    <n v="-403.9440940867649"/>
    <n v="-818.5682531874636"/>
  </r>
  <r>
    <x v="0"/>
    <x v="0"/>
    <x v="0"/>
    <x v="1"/>
    <x v="0"/>
    <x v="8"/>
    <x v="2"/>
    <x v="1"/>
    <x v="1"/>
    <n v="0.4203620087394941"/>
    <x v="2"/>
    <n v="73.94641992027641"/>
    <n v="-2218.392597608292"/>
    <x v="2"/>
    <x v="0"/>
    <n v="-348.2059934890927"/>
    <n v="2.587449935252132"/>
    <n v="-0.3395154152138755"/>
    <n v="-1.862096946819409"/>
    <n v="10446.17980467278"/>
    <n v="-77.62349805756395"/>
    <n v="10.18546245641627"/>
    <n v="55.86290840458227"/>
    <n v="-3055.500405437306"/>
    <n v="-1271.767201893771"/>
    <n v="-576.934230997789"/>
    <n v="-217.4450725864091"/>
    <n v="200.7012806115915"/>
    <n v="472.3406657530256"/>
    <n v="854.2261906758552"/>
    <n v="1401.312778778269"/>
    <n v="764.8294275534067"/>
    <n v="385.7084360051425"/>
    <n v="154.8963121022285"/>
    <n v="77.53846914675819"/>
    <n v="-77.70357500379816"/>
    <n v="-155.558007384368"/>
    <n v="-389.9003471301012"/>
    <n v="-782.4418521525075"/>
  </r>
  <r>
    <x v="0"/>
    <x v="0"/>
    <x v="0"/>
    <x v="1"/>
    <x v="0"/>
    <x v="2"/>
    <x v="3"/>
    <x v="2"/>
    <x v="1"/>
    <n v="0.3589510978465105"/>
    <x v="2"/>
    <n v="102.3685718099392"/>
    <n v="-5118.428590496961"/>
    <x v="0"/>
    <x v="0"/>
    <n v="592.8983079912356"/>
    <n v="2.871527448255475"/>
    <n v="-0.3077761249811354"/>
    <n v="2.163706507539417"/>
    <n v="-29644.91539956178"/>
    <n v="-143.5763724127738"/>
    <n v="15.38880624905677"/>
    <n v="-108.1853253769709"/>
    <n v="4048.244053458123"/>
    <n v="2495.149012075956"/>
    <n v="1366.492458259759"/>
    <n v="574.5942522709981"/>
    <n v="-610.849592609236"/>
    <n v="-1592.533362986751"/>
    <n v="-3391.40631767184"/>
    <n v="-7508.703785473876"/>
    <n v="1438.320661734122"/>
    <n v="718.5547177219036"/>
    <n v="287.2636006769852"/>
    <n v="143.6043519789052"/>
    <n v="-143.5478629535766"/>
    <n v="-287.0376496702789"/>
    <n v="-717.1427494943799"/>
    <n v="-1432.676176771986"/>
  </r>
  <r>
    <x v="0"/>
    <x v="0"/>
    <x v="0"/>
    <x v="1"/>
    <x v="0"/>
    <x v="5"/>
    <x v="4"/>
    <x v="1"/>
    <x v="1"/>
    <n v="0.3956107821031494"/>
    <x v="2"/>
    <n v="81.90638013643689"/>
    <n v="-1638.127602728738"/>
    <x v="0"/>
    <x v="0"/>
    <n v="-392.5154783686393"/>
    <n v="2.70915382462463"/>
    <n v="-0.3348588787383888"/>
    <n v="-2.092655321077186"/>
    <n v="7850.309567372786"/>
    <n v="-54.18307649249259"/>
    <n v="6.697177574767776"/>
    <n v="41.85310642154371"/>
    <n v="-2265.435517853635"/>
    <n v="-951.3671342120927"/>
    <n v="-432.7953955193414"/>
    <n v="-163.3126431724759"/>
    <n v="150.8953229987924"/>
    <n v="355.2764444389163"/>
    <n v="642.5936407049312"/>
    <n v="1052.635734201062"/>
    <n v="538.2046701727484"/>
    <n v="270.189066329558"/>
    <n v="108.2638993615933"/>
    <n v="54.15856839098296"/>
    <n v="-54.20561240159941"/>
    <n v="-108.4526031371934"/>
    <n v="-271.3918918088223"/>
    <n v="-543.3711875931431"/>
  </r>
  <r>
    <x v="0"/>
    <x v="0"/>
    <x v="0"/>
    <x v="1"/>
    <x v="0"/>
    <x v="5"/>
    <x v="4"/>
    <x v="2"/>
    <x v="1"/>
    <n v="0.3956107821031494"/>
    <x v="2"/>
    <n v="145.0637636331924"/>
    <n v="-2901.275272663847"/>
    <x v="3"/>
    <x v="0"/>
    <n v="697.8230908756541"/>
    <n v="2.70915382462463"/>
    <n v="-0.3173272250433948"/>
    <n v="2.438198676329763"/>
    <n v="-13956.46181751308"/>
    <n v="-54.18307649249259"/>
    <n v="6.346544500867896"/>
    <n v="-48.76397352659527"/>
    <n v="2095.91875912354"/>
    <n v="1229.310004276493"/>
    <n v="657.5431737249517"/>
    <n v="272.8227845252422"/>
    <n v="-285.2401046989212"/>
    <n v="-735.0621248053767"/>
    <n v="-1538.083497783655"/>
    <n v="-3308.71854277611"/>
    <n v="538.204670172745"/>
    <n v="270.189066329558"/>
    <n v="108.2638993615933"/>
    <n v="54.15856839098296"/>
    <n v="-54.20561240159941"/>
    <n v="-108.4526031371956"/>
    <n v="-271.3918918088234"/>
    <n v="-543.3711875931431"/>
  </r>
  <r>
    <x v="0"/>
    <x v="0"/>
    <x v="0"/>
    <x v="1"/>
    <x v="0"/>
    <x v="2"/>
    <x v="3"/>
    <x v="1"/>
    <x v="2"/>
    <n v="0.3291774650795283"/>
    <x v="3"/>
    <n v="119.0565342707733"/>
    <n v="-5952.826713538664"/>
    <x v="0"/>
    <x v="0"/>
    <n v="-486.1571239085741"/>
    <n v="3.565862866956633"/>
    <n v="-0.2305188158877784"/>
    <n v="-4.178461420854673"/>
    <n v="24307.8561954287"/>
    <n v="-178.2931433478316"/>
    <n v="11.52594079438892"/>
    <n v="208.9230710427337"/>
    <n v="-6516.766495236973"/>
    <n v="-2838.609511426691"/>
    <n v="-1315.653947733924"/>
    <n v="-501.9964942874111"/>
    <n v="470.6263675361271"/>
    <n v="1119.924151748125"/>
    <n v="2060.466032709633"/>
    <n v="3480.999454284594"/>
    <n v="1787.475574709771"/>
    <n v="892.6657457004296"/>
    <n v="356.7843985776932"/>
    <n v="178.3431789076474"/>
    <n v="-178.2420945395756"/>
    <n v="-356.3800687403187"/>
    <n v="-890.1390206327505"/>
    <n v="-1777.373630588292"/>
  </r>
  <r>
    <x v="0"/>
    <x v="0"/>
    <x v="0"/>
    <x v="1"/>
    <x v="0"/>
    <x v="2"/>
    <x v="5"/>
    <x v="2"/>
    <x v="2"/>
    <n v="0.299359911885529"/>
    <x v="3"/>
    <n v="59.68218208165382"/>
    <n v="-2984.109104082691"/>
    <x v="2"/>
    <x v="0"/>
    <n v="398.8308035706539"/>
    <n v="3.396455344156573"/>
    <n v="-0.1961454133486093"/>
    <n v="2.341519249732275"/>
    <n v="-19941.5401785327"/>
    <n v="-169.8227672078287"/>
    <n v="9.807270667430465"/>
    <n v="-117.0759624866138"/>
    <n v="2474.885283455837"/>
    <n v="1593.984090538335"/>
    <n v="895.340588072969"/>
    <n v="382.4459453915182"/>
    <n v="-415.2945819301522"/>
    <n v="-1100.057705460918"/>
    <n v="-2404.582663015572"/>
    <n v="-5591.922872264675"/>
    <n v="1614.286400993751"/>
    <n v="832.1777726390252"/>
    <n v="337.2276813811396"/>
    <n v="169.2396749065267"/>
    <n v="-170.3667932439657"/>
    <n v="-341.7500373536001"/>
    <n v="-861.0624028161112"/>
    <n v="-1739.449494691138"/>
  </r>
  <r>
    <x v="0"/>
    <x v="0"/>
    <x v="0"/>
    <x v="1"/>
    <x v="0"/>
    <x v="5"/>
    <x v="2"/>
    <x v="1"/>
    <x v="2"/>
    <n v="0.3907529337342356"/>
    <x v="3"/>
    <n v="91.1067158000829"/>
    <n v="-1822.134316001658"/>
    <x v="0"/>
    <x v="0"/>
    <n v="-355.0475720400593"/>
    <n v="3.253683838983344"/>
    <n v="-0.2503229297625993"/>
    <n v="-3.080298096868928"/>
    <n v="7100.951440801186"/>
    <n v="-65.07367677966688"/>
    <n v="5.006458595251986"/>
    <n v="61.60596193737855"/>
    <n v="-1972.071451965252"/>
    <n v="-839.9803053686082"/>
    <n v="-386.3808154202911"/>
    <n v="-146.9194448977885"/>
    <n v="137.2715108552586"/>
    <n v="326.0969268697852"/>
    <n v="599.0867927175259"/>
    <n v="1013.433576249857"/>
    <n v="643.7020194481374"/>
    <n v="323.9568521690444"/>
    <n v="129.9484001337976"/>
    <n v="65.025971540814"/>
    <n v="-65.11758295548702"/>
    <n v="-130.3158646501674"/>
    <n v="-326.298726159938"/>
    <n v="-653.7546459241537"/>
  </r>
  <r>
    <x v="0"/>
    <x v="0"/>
    <x v="0"/>
    <x v="1"/>
    <x v="0"/>
    <x v="2"/>
    <x v="9"/>
    <x v="1"/>
    <x v="2"/>
    <n v="0.3454346844247569"/>
    <x v="3"/>
    <n v="107.293390034258"/>
    <n v="-5364.669501712899"/>
    <x v="0"/>
    <x v="0"/>
    <n v="-438.0484602927332"/>
    <n v="3.491177886159346"/>
    <n v="-0.2371366702277448"/>
    <n v="-3.765099898147994"/>
    <n v="21902.42301463666"/>
    <n v="-174.5588943079673"/>
    <n v="11.85683351138724"/>
    <n v="188.2549949073997"/>
    <n v="-5974.100775480383"/>
    <n v="-2576.134387125501"/>
    <n v="-1189.284012108564"/>
    <n v="-452.8639254875628"/>
    <n v="423.5935145729457"/>
    <n v="1006.564741623967"/>
    <n v="1848.446060436984"/>
    <n v="3116.238977082202"/>
    <n v="1746.72735620384"/>
    <n v="873.2926944230229"/>
    <n v="349.2144363373484"/>
    <n v="174.584357746923"/>
    <n v="-174.5309647724923"/>
    <n v="-349.0013826405658"/>
    <n v="-871.9842358467645"/>
    <n v="-1741.852270774891"/>
  </r>
  <r>
    <x v="0"/>
    <x v="0"/>
    <x v="0"/>
    <x v="1"/>
    <x v="0"/>
    <x v="2"/>
    <x v="9"/>
    <x v="2"/>
    <x v="2"/>
    <n v="0.3454346844247569"/>
    <x v="3"/>
    <n v="138.0228660807181"/>
    <n v="-6901.143304035903"/>
    <x v="3"/>
    <x v="0"/>
    <n v="646.8668844026771"/>
    <n v="3.491177886159346"/>
    <n v="-0.2282324121659597"/>
    <n v="3.513114866222841"/>
    <n v="-32343.34422013385"/>
    <n v="-174.5588943079673"/>
    <n v="11.41162060829798"/>
    <n v="-175.6557433111421"/>
    <n v="4875.052671473718"/>
    <n v="2848.442336351545"/>
    <n v="1523.004349629957"/>
    <n v="632.0514192078463"/>
    <n v="-661.3218301224691"/>
    <n v="-1705.723620114557"/>
    <n v="-3576.130663040064"/>
    <n v="-7732.914469871909"/>
    <n v="1746.727356203834"/>
    <n v="873.2926944230172"/>
    <n v="349.2144363373455"/>
    <n v="174.5843577469202"/>
    <n v="-174.5309647724952"/>
    <n v="-349.0013826405658"/>
    <n v="-871.9842358467702"/>
    <n v="-1741.852270774899"/>
  </r>
  <r>
    <x v="1"/>
    <x v="1"/>
    <x v="1"/>
    <x v="0"/>
    <x v="1"/>
    <x v="6"/>
    <x v="0"/>
    <x v="0"/>
    <x v="0"/>
    <n v="0"/>
    <x v="0"/>
    <n v="2892.769107970997"/>
    <n v="57855.38215941993"/>
    <x v="0"/>
    <x v="0"/>
    <n v="2892.769107970997"/>
    <n v="0"/>
    <n v="0.1743586859598957"/>
    <n v="5.547776371451227"/>
    <n v="57855.38215941993"/>
    <n v="0"/>
    <n v="3.487173719197914"/>
    <n v="110.9555274290245"/>
    <n v="-11571.07643188398"/>
    <n v="-5785.538215941997"/>
    <n v="-2892.769107970998"/>
    <n v="-1157.107643188401"/>
    <n v="1157.107643188392"/>
    <n v="2892.769107970998"/>
    <n v="5785.538215941997"/>
    <n v="11571.07643188398"/>
    <n v="0"/>
    <n v="0"/>
    <n v="0"/>
    <n v="0"/>
    <n v="0"/>
    <n v="0"/>
    <n v="0"/>
    <n v="0"/>
  </r>
  <r>
    <x v="1"/>
    <x v="1"/>
    <x v="1"/>
    <x v="1"/>
    <x v="1"/>
    <x v="5"/>
    <x v="10"/>
    <x v="2"/>
    <x v="0"/>
    <n v="0.397567985636796"/>
    <x v="4"/>
    <n v="163.2721510824517"/>
    <n v="-3265.443021649035"/>
    <x v="1"/>
    <x v="0"/>
    <n v="1351.359799689"/>
    <n v="5.036755186288929"/>
    <n v="-1.420482234237848"/>
    <n v="2.2785242576016"/>
    <n v="-27027.19599378001"/>
    <n v="-100.7351037257786"/>
    <n v="28.40964468475695"/>
    <n v="-45.57048515203199"/>
    <n v="2966.993076283131"/>
    <n v="2049.335299587099"/>
    <n v="1185.912799293556"/>
    <n v="514.0562717112107"/>
    <n v="-566.847109837372"/>
    <n v="-1514.009320600167"/>
    <n v="-3336.00919873033"/>
    <n v="-7741.64278562941"/>
    <n v="1003.380030731714"/>
    <n v="502.8656973476109"/>
    <n v="201.3547311612456"/>
    <n v="100.7072978006045"/>
    <n v="-100.7609262865526"/>
    <n v="-201.5697898377766"/>
    <n v="-504.2340018831874"/>
    <n v="-1009.220415491368"/>
  </r>
  <r>
    <x v="1"/>
    <x v="1"/>
    <x v="1"/>
    <x v="1"/>
    <x v="1"/>
    <x v="8"/>
    <x v="11"/>
    <x v="2"/>
    <x v="0"/>
    <n v="0.4264333531544322"/>
    <x v="4"/>
    <n v="258.0918594055265"/>
    <n v="-7742.755782165796"/>
    <x v="0"/>
    <x v="0"/>
    <n v="1738.840409950007"/>
    <n v="4.890734023296609"/>
    <n v="-1.474138141866373"/>
    <n v="2.839791740770236"/>
    <n v="-52165.2122985002"/>
    <n v="-146.7220206988983"/>
    <n v="44.22414425599118"/>
    <n v="-85.19375222310708"/>
    <n v="6627.301013296097"/>
    <n v="4267.669875888141"/>
    <n v="2376.220549393786"/>
    <n v="1006.881455102402"/>
    <n v="-1078.594729150689"/>
    <n v="-2822.806811831465"/>
    <n v="-6030.924675963595"/>
    <n v="-13319.58345712919"/>
    <n v="1462.655676308555"/>
    <n v="732.6796518232845"/>
    <n v="293.3117379748751"/>
    <n v="146.6902056442791"/>
    <n v="-146.7514696729631"/>
    <n v="-293.5573886866723"/>
    <n v="-734.241320022993"/>
    <n v="-1469.299154603423"/>
  </r>
  <r>
    <x v="1"/>
    <x v="1"/>
    <x v="1"/>
    <x v="1"/>
    <x v="1"/>
    <x v="5"/>
    <x v="10"/>
    <x v="1"/>
    <x v="0"/>
    <n v="0.397567985636796"/>
    <x v="4"/>
    <n v="249.9058558650599"/>
    <n v="-4998.117117301199"/>
    <x v="0"/>
    <x v="0"/>
    <n v="-1541.409308281996"/>
    <n v="5.036755186288929"/>
    <n v="-1.415260476689307"/>
    <n v="-3.43539894493956"/>
    <n v="30828.18616563993"/>
    <n v="-100.7351037257786"/>
    <n v="28.30520953378614"/>
    <n v="68.7079788987912"/>
    <n v="-8604.083355600851"/>
    <n v="-3736.2029163549"/>
    <n v="-1706.856308677443"/>
    <n v="-643.0513714771905"/>
    <n v="590.2605333510201"/>
    <n v="1378.759787370832"/>
    <n v="2449.529017211664"/>
    <n v="3829.433646254574"/>
    <n v="1003.380030731714"/>
    <n v="502.8656973476109"/>
    <n v="201.3547311612456"/>
    <n v="100.7072978006045"/>
    <n v="-100.7609262865526"/>
    <n v="-201.5697898377766"/>
    <n v="-504.2340018831874"/>
    <n v="-1009.220415491368"/>
  </r>
  <r>
    <x v="1"/>
    <x v="1"/>
    <x v="1"/>
    <x v="1"/>
    <x v="1"/>
    <x v="3"/>
    <x v="12"/>
    <x v="1"/>
    <x v="0"/>
    <n v="0.5013932770789301"/>
    <x v="4"/>
    <n v="102.9870956303946"/>
    <n v="-2574.677390759865"/>
    <x v="0"/>
    <x v="0"/>
    <n v="-706.5670107914634"/>
    <n v="3.975902152119903"/>
    <n v="-1.41771442247423"/>
    <n v="-1.552569519165207"/>
    <n v="17664.17526978658"/>
    <n v="-99.39755380299758"/>
    <n v="35.44286056185576"/>
    <n v="38.81423797913017"/>
    <n v="-6111.924969837708"/>
    <n v="-2353.27079652348"/>
    <n v="-1021.331302021824"/>
    <n v="-374.5299383310964"/>
    <n v="333.1812776737365"/>
    <n v="762.8790197140916"/>
    <n v="1319.470577297618"/>
    <n v="1996.090095624956"/>
    <n v="954.1928950076027"/>
    <n v="488.0365124216212"/>
    <n v="197.4453536292884"/>
    <n v="99.06652130011935"/>
    <n v="-99.71640558119361"/>
    <n v="-200.0473370486446"/>
    <n v="-504.4065525642594"/>
    <n v="-1021.24658207523"/>
  </r>
  <r>
    <x v="1"/>
    <x v="1"/>
    <x v="1"/>
    <x v="1"/>
    <x v="1"/>
    <x v="2"/>
    <x v="13"/>
    <x v="2"/>
    <x v="0"/>
    <n v="0.3887081478333821"/>
    <x v="4"/>
    <n v="127.1088324316245"/>
    <n v="-6355.441621581223"/>
    <x v="1"/>
    <x v="0"/>
    <n v="1153.454129131488"/>
    <n v="4.890201144516139"/>
    <n v="-1.350096523871846"/>
    <n v="1.968333445725766"/>
    <n v="-57672.70645657439"/>
    <n v="-244.5100572258069"/>
    <n v="67.50482619359229"/>
    <n v="-98.41667228628828"/>
    <n v="5891.71907732506"/>
    <n v="4202.244268133015"/>
    <n v="2480.09601909194"/>
    <n v="1088.153327862807"/>
    <n v="-1219.19972018776"/>
    <n v="-3294.195597521093"/>
    <n v="-7390.266161341833"/>
    <n v="-17675.10561525322"/>
    <n v="2398.393479320981"/>
    <n v="1212.614066726474"/>
    <n v="487.5637713637559"/>
    <n v="244.1560007949533"/>
    <n v="-244.8454612505884"/>
    <n v="-490.3269790267132"/>
    <n v="-1230.122160500252"/>
    <n v="-2472.02513579166"/>
  </r>
  <r>
    <x v="1"/>
    <x v="1"/>
    <x v="1"/>
    <x v="1"/>
    <x v="1"/>
    <x v="0"/>
    <x v="14"/>
    <x v="1"/>
    <x v="0"/>
    <n v="0.5342736088202618"/>
    <x v="4"/>
    <n v="89.55879870566866"/>
    <n v="2238.969967641717"/>
    <x v="0"/>
    <x v="0"/>
    <n v="-602.8210787168928"/>
    <n v="3.634487994435524"/>
    <n v="-1.381609804706897"/>
    <n v="-1.327851819714501"/>
    <n v="-15070.52696792232"/>
    <n v="90.8621998608881"/>
    <n v="-34.54024511767241"/>
    <n v="-33.19629549286253"/>
    <n v="5305.968568465702"/>
    <n v="2017.542985845688"/>
    <n v="872.7396052631946"/>
    <n v="319.6779757023108"/>
    <n v="-284.1996094245616"/>
    <n v="-650.7659498686394"/>
    <n v="-1126.599919137004"/>
    <n v="-1710.667526516938"/>
    <n v="-861.022148980669"/>
    <n v="-443.4447500099367"/>
    <n v="-180.0735388957037"/>
    <n v="-90.45637191183573"/>
    <n v="91.25484084162849"/>
    <n v="183.2697042721719"/>
    <n v="463.521301452559"/>
    <n v="942.7838093979716"/>
  </r>
  <r>
    <x v="1"/>
    <x v="1"/>
    <x v="1"/>
    <x v="1"/>
    <x v="1"/>
    <x v="5"/>
    <x v="10"/>
    <x v="1"/>
    <x v="0"/>
    <n v="0.397567985636796"/>
    <x v="4"/>
    <n v="249.9058558650599"/>
    <n v="-4998.117117301199"/>
    <x v="0"/>
    <x v="0"/>
    <n v="-1541.409308281996"/>
    <n v="5.036755186288929"/>
    <n v="-1.415260476689307"/>
    <n v="-3.43539894493956"/>
    <n v="30828.18616563993"/>
    <n v="-100.7351037257786"/>
    <n v="28.30520953378614"/>
    <n v="68.7079788987912"/>
    <n v="-8604.083355600851"/>
    <n v="-3736.2029163549"/>
    <n v="-1706.856308677443"/>
    <n v="-643.0513714771905"/>
    <n v="590.2605333510201"/>
    <n v="1378.759787370832"/>
    <n v="2449.529017211664"/>
    <n v="3829.433646254574"/>
    <n v="1003.380030731714"/>
    <n v="502.8656973476109"/>
    <n v="201.3547311612456"/>
    <n v="100.7072978006045"/>
    <n v="-100.7609262865526"/>
    <n v="-201.5697898377766"/>
    <n v="-504.2340018831874"/>
    <n v="-1009.220415491368"/>
  </r>
  <r>
    <x v="1"/>
    <x v="1"/>
    <x v="1"/>
    <x v="1"/>
    <x v="1"/>
    <x v="9"/>
    <x v="12"/>
    <x v="1"/>
    <x v="0"/>
    <n v="0.5013932770789301"/>
    <x v="4"/>
    <n v="102.9870956303946"/>
    <n v="-1029.870956303946"/>
    <x v="4"/>
    <x v="0"/>
    <n v="-706.5670107914634"/>
    <n v="3.975902152119903"/>
    <n v="-1.41771442247423"/>
    <n v="-1.552569519165207"/>
    <n v="7065.670107914634"/>
    <n v="-39.75902152119903"/>
    <n v="14.1771442247423"/>
    <n v="15.52569519165207"/>
    <n v="-2444.769987935083"/>
    <n v="-941.3083186093922"/>
    <n v="-408.5325208087295"/>
    <n v="-149.8119753324386"/>
    <n v="133.2725110694946"/>
    <n v="305.1516078856366"/>
    <n v="527.7882309190471"/>
    <n v="798.4360382499824"/>
    <n v="381.6771580030411"/>
    <n v="195.2146049686485"/>
    <n v="78.97814145171537"/>
    <n v="39.62660852004774"/>
    <n v="-39.88656223247744"/>
    <n v="-80.01893481945785"/>
    <n v="-201.7626210257038"/>
    <n v="-408.498632830092"/>
  </r>
  <r>
    <x v="1"/>
    <x v="1"/>
    <x v="1"/>
    <x v="1"/>
    <x v="1"/>
    <x v="9"/>
    <x v="13"/>
    <x v="2"/>
    <x v="0"/>
    <n v="0.3887081478333821"/>
    <x v="4"/>
    <n v="127.1088324316245"/>
    <n v="-1271.088324316245"/>
    <x v="0"/>
    <x v="0"/>
    <n v="1153.454129131488"/>
    <n v="4.890201144516139"/>
    <n v="-1.350096523871846"/>
    <n v="1.968333445725766"/>
    <n v="-11534.54129131488"/>
    <n v="-48.90201144516139"/>
    <n v="13.50096523871846"/>
    <n v="-19.68333445725765"/>
    <n v="1178.343815465012"/>
    <n v="840.448853626603"/>
    <n v="496.019203818388"/>
    <n v="217.6306655725614"/>
    <n v="-243.839944037552"/>
    <n v="-658.8391195042186"/>
    <n v="-1478.053232268367"/>
    <n v="-3535.021123050644"/>
    <n v="479.6786958641962"/>
    <n v="242.5228133452947"/>
    <n v="97.51275427275118"/>
    <n v="48.83120015899067"/>
    <n v="-48.96909225011768"/>
    <n v="-98.06539580534263"/>
    <n v="-246.0244321000505"/>
    <n v="-494.4050271583319"/>
  </r>
  <r>
    <x v="1"/>
    <x v="1"/>
    <x v="1"/>
    <x v="1"/>
    <x v="1"/>
    <x v="3"/>
    <x v="15"/>
    <x v="2"/>
    <x v="0"/>
    <n v="0.3828791483403539"/>
    <x v="4"/>
    <n v="97.94602408010473"/>
    <n v="-2448.650602002618"/>
    <x v="0"/>
    <x v="0"/>
    <n v="965.7821466885724"/>
    <n v="4.609043208448927"/>
    <n v="-1.254601074252918"/>
    <n v="1.664343248838158"/>
    <n v="-24144.55366721431"/>
    <n v="-115.2260802112232"/>
    <n v="31.36502685632296"/>
    <n v="-41.60858122095394"/>
    <n v="2304.438118585926"/>
    <n v="1691.703179403244"/>
    <n v="1017.555664311791"/>
    <n v="451.8690977358631"/>
    <n v="-514.5654229862657"/>
    <n v="-1407.051349785326"/>
    <n v="-3217.196260077372"/>
    <n v="-7951.632024007909"/>
    <n v="1101.309446901081"/>
    <n v="565.1388842257234"/>
    <n v="228.8294620464541"/>
    <n v="114.8306784653016"/>
    <n v="-115.6023140238375"/>
    <n v="-231.921279702874"/>
    <n v="-584.696207135832"/>
    <n v="-1183.031477382551"/>
  </r>
  <r>
    <x v="1"/>
    <x v="1"/>
    <x v="1"/>
    <x v="1"/>
    <x v="1"/>
    <x v="7"/>
    <x v="16"/>
    <x v="2"/>
    <x v="0"/>
    <n v="0.3794932506655077"/>
    <x v="4"/>
    <n v="74.71266074554023"/>
    <n v="3735.633037277012"/>
    <x v="2"/>
    <x v="0"/>
    <n v="793.7712534527068"/>
    <n v="4.222473967277715"/>
    <n v="-1.140068465199361"/>
    <n v="1.379016479164429"/>
    <n v="39688.56267263534"/>
    <n v="211.1236983638858"/>
    <n v="-57.00342325996807"/>
    <n v="68.95082395822146"/>
    <n v="-3555.657981854482"/>
    <n v="-2677.645225348971"/>
    <n v="-1639.844881250204"/>
    <n v="-736.8230148360738"/>
    <n v="852.7340459374102"/>
    <n v="2360.271475454647"/>
    <n v="5504.042881084331"/>
    <n v="14089.82042243709"/>
    <n v="-1946.966382013602"/>
    <n v="-1019.627139555848"/>
    <n v="-416.8954914685685"/>
    <n v="-209.8167952905101"/>
    <n v="212.3722233213471"/>
    <n v="427.1317268654627"/>
    <n v="1084.243588144608"/>
    <n v="2214.831085134301"/>
  </r>
  <r>
    <x v="1"/>
    <x v="1"/>
    <x v="1"/>
    <x v="1"/>
    <x v="1"/>
    <x v="5"/>
    <x v="13"/>
    <x v="1"/>
    <x v="0"/>
    <n v="0.3887081478333821"/>
    <x v="4"/>
    <n v="300.3762419968405"/>
    <n v="-6007.524839936809"/>
    <x v="0"/>
    <x v="0"/>
    <n v="-1739.314978839509"/>
    <n v="4.890201144516139"/>
    <n v="-1.339653008774764"/>
    <n v="-3.911736587905327"/>
    <n v="34786.29957679017"/>
    <n v="-97.80402289032278"/>
    <n v="26.79306017549528"/>
    <n v="78.23473175810653"/>
    <n v="-9214.388800953962"/>
    <n v="-4104.640508688794"/>
    <n v="-1900.73070033422"/>
    <n v="-721.8463120432762"/>
    <n v="669.4277551132882"/>
    <n v="1575.090868962561"/>
    <n v="2829.431751405264"/>
    <n v="4501.034185782699"/>
    <n v="959.3573917283948"/>
    <n v="485.0456266905849"/>
    <n v="195.0255085455046"/>
    <n v="97.66240031798134"/>
    <n v="-97.93818450023537"/>
    <n v="-196.1307916106853"/>
    <n v="-492.048864200101"/>
    <n v="-988.8100543166638"/>
  </r>
  <r>
    <x v="1"/>
    <x v="1"/>
    <x v="1"/>
    <x v="1"/>
    <x v="1"/>
    <x v="7"/>
    <x v="14"/>
    <x v="1"/>
    <x v="0"/>
    <n v="0.5342736088202618"/>
    <x v="4"/>
    <n v="89.55879870566866"/>
    <n v="4477.939935283433"/>
    <x v="0"/>
    <x v="0"/>
    <n v="-602.8210787168928"/>
    <n v="3.634487994435524"/>
    <n v="-1.381609804706897"/>
    <n v="-1.327851819714501"/>
    <n v="-30141.05393584464"/>
    <n v="181.7243997217762"/>
    <n v="-69.08049023534483"/>
    <n v="-66.39259098572506"/>
    <n v="10611.9371369314"/>
    <n v="4035.085971691376"/>
    <n v="1745.479210526389"/>
    <n v="639.3559514046217"/>
    <n v="-568.3992188491231"/>
    <n v="-1301.531899737279"/>
    <n v="-2253.199838274008"/>
    <n v="-3421.335053033876"/>
    <n v="-1722.044297961338"/>
    <n v="-886.8895000198734"/>
    <n v="-360.1470777914074"/>
    <n v="-180.9127438236715"/>
    <n v="182.509681683257"/>
    <n v="366.5394085443438"/>
    <n v="927.042602905118"/>
    <n v="1885.567618795943"/>
  </r>
  <r>
    <x v="1"/>
    <x v="1"/>
    <x v="1"/>
    <x v="1"/>
    <x v="1"/>
    <x v="10"/>
    <x v="14"/>
    <x v="1"/>
    <x v="1"/>
    <n v="0.4847081369456674"/>
    <x v="5"/>
    <n v="166.0285393978918"/>
    <n v="1660.285393978918"/>
    <x v="1"/>
    <x v="0"/>
    <n v="-725.6525306090011"/>
    <n v="6.100428874593145"/>
    <n v="-0.9058503088317829"/>
    <n v="-3.933168555372871"/>
    <n v="-7256.525306090011"/>
    <n v="61.00428874593145"/>
    <n v="-9.058503088317828"/>
    <n v="-39.33168555372871"/>
    <n v="2138.776965320931"/>
    <n v="883.1233929107566"/>
    <n v="400.3364168519772"/>
    <n v="150.9545310273859"/>
    <n v="-139.5402520249809"/>
    <n v="-328.9619738179306"/>
    <n v="-597.1523844902129"/>
    <n v="-989.1364362443318"/>
    <n v="-591.6268800357432"/>
    <n v="-300.9521160218037"/>
    <n v="-121.4013183906218"/>
    <n v="-60.8558642786079"/>
    <n v="61.1462854221179"/>
    <n v="122.5643659870366"/>
    <n v="308.2812284344413"/>
    <n v="621.8266931802634"/>
  </r>
  <r>
    <x v="1"/>
    <x v="1"/>
    <x v="1"/>
    <x v="1"/>
    <x v="1"/>
    <x v="5"/>
    <x v="16"/>
    <x v="2"/>
    <x v="1"/>
    <n v="0.3295311229603768"/>
    <x v="5"/>
    <n v="128.0535211463728"/>
    <n v="-2561.070422927455"/>
    <x v="0"/>
    <x v="0"/>
    <n v="983.9958224993833"/>
    <n v="7.016969014912193"/>
    <n v="-0.7127353490198628"/>
    <n v="3.775526315557115"/>
    <n v="-19679.91644998766"/>
    <n v="-140.3393802982439"/>
    <n v="14.25470698039726"/>
    <n v="-75.5105263111423"/>
    <n v="2240.826667051697"/>
    <n v="1507.404705541954"/>
    <n v="865.5648364238482"/>
    <n v="374.4125798898335"/>
    <n v="-413.0053775569468"/>
    <n v="-1105.888174600846"/>
    <n v="-2456.351458659797"/>
    <n v="-5853.777817876498"/>
    <n v="1327.388064655245"/>
    <n v="685.8248391006327"/>
    <n v="278.3738344972221"/>
    <n v="139.780592911452"/>
    <n v="-140.865964856248"/>
    <n v="-282.725535425609"/>
    <n v="-713.4767321692016"/>
    <n v="-1444.892913336423"/>
  </r>
  <r>
    <x v="1"/>
    <x v="1"/>
    <x v="1"/>
    <x v="1"/>
    <x v="1"/>
    <x v="11"/>
    <x v="11"/>
    <x v="1"/>
    <x v="1"/>
    <n v="0.3766984934447863"/>
    <x v="5"/>
    <n v="240.4831588844277"/>
    <n v="-9619.326355377107"/>
    <x v="0"/>
    <x v="0"/>
    <n v="-1156.292056565743"/>
    <n v="7.39113022146388"/>
    <n v="-0.8463453057670026"/>
    <n v="-6.161118073629519"/>
    <n v="46251.68226262971"/>
    <n v="-295.6452088585552"/>
    <n v="33.85381223068011"/>
    <n v="246.4447229451808"/>
    <n v="-13106.31349376426"/>
    <n v="-5564.674893039801"/>
    <n v="-2541.860907142909"/>
    <n v="-961.0795415462599"/>
    <n v="889.9321588105067"/>
    <n v="2097.97096416527"/>
    <n v="3800.355130875791"/>
    <n v="6232.583373697844"/>
    <n v="2953.929803832789"/>
    <n v="1477.973651951925"/>
    <n v="591.2796897068711"/>
    <n v="295.6447882256725"/>
    <n v="-295.6413732586589"/>
    <n v="-591.267042754298"/>
    <n v="-1477.939670571477"/>
    <n v="-2954.483436186347"/>
  </r>
  <r>
    <x v="1"/>
    <x v="1"/>
    <x v="1"/>
    <x v="1"/>
    <x v="1"/>
    <x v="2"/>
    <x v="13"/>
    <x v="2"/>
    <x v="1"/>
    <n v="0.3388216658274694"/>
    <x v="5"/>
    <n v="188.5464743704631"/>
    <n v="-9427.323718523156"/>
    <x v="0"/>
    <x v="0"/>
    <n v="1273.731440968315"/>
    <n v="7.544030972939468"/>
    <n v="-0.7854226835059162"/>
    <n v="4.786706291020662"/>
    <n v="-63686.57204841576"/>
    <n v="-377.2015486469734"/>
    <n v="39.27113417529581"/>
    <n v="-239.3353145510331"/>
    <n v="7920.571149782123"/>
    <n v="5113.153776485757"/>
    <n v="2868.263669416103"/>
    <n v="1223.165568290648"/>
    <n v="-1324.056131075656"/>
    <n v="-3496.711840601461"/>
    <n v="-7597.102544697759"/>
    <n v="-17404.47943172439"/>
    <n v="3726.804454572061"/>
    <n v="1876.968828995473"/>
    <n v="753.1235383333296"/>
    <n v="376.8939919932336"/>
    <n v="-377.4863854007663"/>
    <n v="-755.5004772640245"/>
    <n v="-1892.15330002753"/>
    <n v="-3792.631334355508"/>
  </r>
  <r>
    <x v="1"/>
    <x v="1"/>
    <x v="1"/>
    <x v="1"/>
    <x v="1"/>
    <x v="3"/>
    <x v="17"/>
    <x v="1"/>
    <x v="1"/>
    <n v="0.3602121151580933"/>
    <x v="5"/>
    <n v="273.2308413350711"/>
    <n v="-6830.771033376777"/>
    <x v="0"/>
    <x v="0"/>
    <n v="-1299.409530644887"/>
    <n v="7.566668831481832"/>
    <n v="-0.8256841117506103"/>
    <n v="-6.936852051747214"/>
    <n v="32485.23826612218"/>
    <n v="-189.1667207870458"/>
    <n v="20.64210279376526"/>
    <n v="173.4213012936803"/>
    <n v="-8975.528294049742"/>
    <n v="-3865.796420953438"/>
    <n v="-1776.36151159291"/>
    <n v="-673.7441770086889"/>
    <n v="626.1432769609542"/>
    <n v="1479.568659094912"/>
    <n v="2688.786211750496"/>
    <n v="4427.975674678131"/>
    <n v="1895.0793417439"/>
    <n v="946.7297054979156"/>
    <n v="378.4809422485978"/>
    <n v="189.203939228247"/>
    <n v="-189.128816456531"/>
    <n v="-378.1804538026165"/>
    <n v="-944.8517683822956"/>
    <n v="-1887.569253984742"/>
  </r>
  <r>
    <x v="1"/>
    <x v="1"/>
    <x v="1"/>
    <x v="1"/>
    <x v="1"/>
    <x v="5"/>
    <x v="18"/>
    <x v="2"/>
    <x v="1"/>
    <n v="0.3281181218661873"/>
    <x v="5"/>
    <n v="105.8983237204925"/>
    <n v="-2117.96647440985"/>
    <x v="2"/>
    <x v="0"/>
    <n v="856.7878076274118"/>
    <n v="6.621390563924795"/>
    <n v="-0.6703942678614886"/>
    <n v="3.312142655041479"/>
    <n v="-17135.75615254823"/>
    <n v="-132.4278112784959"/>
    <n v="13.40788535722977"/>
    <n v="-66.24285310082959"/>
    <n v="1878.872953180667"/>
    <n v="1285.367354425301"/>
    <n v="745.6276483252191"/>
    <n v="324.6028306457333"/>
    <n v="-361.177493974094"/>
    <n v="-973.4066876340194"/>
    <n v="-2185.122534620486"/>
    <n v="-5310.595498195394"/>
    <n v="1214.907409287573"/>
    <n v="638.9387105094738"/>
    <n v="261.4621046413367"/>
    <n v="131.6033346510017"/>
    <n v="-133.2079180756023"/>
    <n v="-267.8935735741379"/>
    <n v="-679.7166270622165"/>
    <n v="-1386.697125854323"/>
  </r>
  <r>
    <x v="1"/>
    <x v="1"/>
    <x v="1"/>
    <x v="1"/>
    <x v="1"/>
    <x v="9"/>
    <x v="17"/>
    <x v="1"/>
    <x v="1"/>
    <n v="0.3602121151580933"/>
    <x v="5"/>
    <n v="273.2308413350711"/>
    <n v="-2732.308413350711"/>
    <x v="0"/>
    <x v="0"/>
    <n v="-1299.409530644887"/>
    <n v="7.566668831481832"/>
    <n v="-0.8256841117506103"/>
    <n v="-6.936852051747214"/>
    <n v="12994.09530644887"/>
    <n v="-75.66668831481832"/>
    <n v="8.256841117506102"/>
    <n v="69.36852051747213"/>
    <n v="-3590.211317619896"/>
    <n v="-1546.318568381375"/>
    <n v="-710.544604637164"/>
    <n v="-269.4976708034756"/>
    <n v="250.4573107843817"/>
    <n v="591.8274636379647"/>
    <n v="1075.514484700199"/>
    <n v="1771.190269871253"/>
    <n v="758.0317366975601"/>
    <n v="378.6918821991662"/>
    <n v="151.3923768994391"/>
    <n v="75.6815756912988"/>
    <n v="-75.65152658261241"/>
    <n v="-151.2721815210466"/>
    <n v="-377.9407073529183"/>
    <n v="-755.0277015938968"/>
  </r>
  <r>
    <x v="1"/>
    <x v="1"/>
    <x v="1"/>
    <x v="1"/>
    <x v="1"/>
    <x v="6"/>
    <x v="19"/>
    <x v="2"/>
    <x v="1"/>
    <n v="0.32822526806959"/>
    <x v="5"/>
    <n v="87.90300500664432"/>
    <n v="1758.060100132886"/>
    <x v="0"/>
    <x v="0"/>
    <n v="743.3089995957409"/>
    <n v="6.17757992129292"/>
    <n v="-0.6261985576481844"/>
    <n v="2.890968907639577"/>
    <n v="14866.17999191482"/>
    <n v="123.5515984258584"/>
    <n v="-12.52397115296369"/>
    <n v="57.81937815279154"/>
    <n v="-1576.461637062977"/>
    <n v="-1094.212164872407"/>
    <n v="-640.555216479537"/>
    <n v="-280.4913451736138"/>
    <n v="314.6048797154845"/>
    <n v="853.0558132751185"/>
    <n v="1934.311276586357"/>
    <n v="4791.443822095063"/>
    <n v="-1095.3895614028"/>
    <n v="-587.5246226483637"/>
    <n v="-242.6473619188391"/>
    <n v="-122.4666204847017"/>
    <n v="124.5823760500593"/>
    <n v="251.1248706006563"/>
    <n v="641.1466237094282"/>
    <n v="1319.171873672808"/>
  </r>
  <r>
    <x v="1"/>
    <x v="1"/>
    <x v="1"/>
    <x v="1"/>
    <x v="1"/>
    <x v="9"/>
    <x v="15"/>
    <x v="2"/>
    <x v="1"/>
    <n v="0.3329517315006679"/>
    <x v="5"/>
    <n v="155.5355239027085"/>
    <n v="-1555.355239027085"/>
    <x v="3"/>
    <x v="0"/>
    <n v="1125.108044949679"/>
    <n v="7.336777896171201"/>
    <n v="-0.7519129558624211"/>
    <n v="4.276744544892114"/>
    <n v="-11251.08044949679"/>
    <n v="-73.36777896171201"/>
    <n v="7.519129558624211"/>
    <n v="-42.76744544892114"/>
    <n v="1336.694123277872"/>
    <n v="881.8133211325608"/>
    <n v="500.642422975809"/>
    <n v="215.0539424472765"/>
    <n v="-235.0227631215284"/>
    <n v="-624.9988318050828"/>
    <n v="-1372.938792682594"/>
    <n v="-3207.0447160141"/>
    <n v="711.794744507049"/>
    <n v="362.3414905716402"/>
    <n v="146.0877897069918"/>
    <n v="73.21114834227274"/>
    <n v="-73.514634185467"/>
    <n v="-147.3049453166743"/>
    <n v="-370.0918254673627"/>
    <n v="-744.9984024419769"/>
  </r>
  <r>
    <x v="1"/>
    <x v="1"/>
    <x v="1"/>
    <x v="1"/>
    <x v="1"/>
    <x v="5"/>
    <x v="20"/>
    <x v="1"/>
    <x v="1"/>
    <n v="0.3974198841694778"/>
    <x v="5"/>
    <n v="214.2470650336293"/>
    <n v="-4284.941300672585"/>
    <x v="0"/>
    <x v="0"/>
    <n v="-1025.821945718671"/>
    <n v="7.124540831081186"/>
    <n v="-0.8630164177004002"/>
    <n v="-5.469893444688227"/>
    <n v="20516.43891437341"/>
    <n v="-142.4908166216237"/>
    <n v="17.260328354008"/>
    <n v="109.3978688937645"/>
    <n v="-5928.437015097834"/>
    <n v="-2487.576419454713"/>
    <n v="-1131.322820616374"/>
    <n v="-426.8412664418656"/>
    <n v="394.3344899699105"/>
    <n v="928.3787580823082"/>
    <n v="1679.061806206282"/>
    <n v="2750.522454082345"/>
    <n v="1414.52007095093"/>
    <n v="710.3586439693754"/>
    <n v="284.685236697062"/>
    <n v="142.4196572187816"/>
    <n v="-142.5564819374085"/>
    <n v="-285.2340053448916"/>
    <n v="-713.8536804446039"/>
    <n v="-1429.488482502575"/>
  </r>
  <r>
    <x v="1"/>
    <x v="1"/>
    <x v="1"/>
    <x v="1"/>
    <x v="1"/>
    <x v="6"/>
    <x v="20"/>
    <x v="1"/>
    <x v="1"/>
    <n v="0.3974198841694778"/>
    <x v="5"/>
    <n v="214.2470650336293"/>
    <n v="4284.941300672585"/>
    <x v="2"/>
    <x v="0"/>
    <n v="-1025.821945718671"/>
    <n v="7.124540831081186"/>
    <n v="-0.8630164177004002"/>
    <n v="-5.469893444688227"/>
    <n v="-20516.43891437341"/>
    <n v="142.4908166216237"/>
    <n v="-17.260328354008"/>
    <n v="-109.3978688937645"/>
    <n v="5928.437015097834"/>
    <n v="2487.576419454713"/>
    <n v="1131.322820616374"/>
    <n v="426.8412664418656"/>
    <n v="-394.3344899699105"/>
    <n v="-928.3787580823082"/>
    <n v="-1679.061806206282"/>
    <n v="-2750.522454082345"/>
    <n v="-1414.52007095093"/>
    <n v="-710.3586439693754"/>
    <n v="-284.685236697062"/>
    <n v="-142.4196572187816"/>
    <n v="142.5564819374085"/>
    <n v="285.2340053448916"/>
    <n v="713.8536804446039"/>
    <n v="1429.488482502575"/>
  </r>
  <r>
    <x v="1"/>
    <x v="1"/>
    <x v="1"/>
    <x v="1"/>
    <x v="1"/>
    <x v="5"/>
    <x v="18"/>
    <x v="1"/>
    <x v="2"/>
    <n v="0.2981578468974518"/>
    <x v="6"/>
    <n v="559.5460730946502"/>
    <n v="-11190.921461893"/>
    <x v="0"/>
    <x v="0"/>
    <n v="-1909.017989266938"/>
    <n v="8.638705337253388"/>
    <n v="-0.4570355151719728"/>
    <n v="-17.04323681411289"/>
    <n v="38180.35978533876"/>
    <n v="-172.7741067450677"/>
    <n v="9.140710303439457"/>
    <n v="340.8647362822578"/>
    <n v="-9142.894114073761"/>
    <n v="-4221.522259905041"/>
    <n v="-2012.268733304836"/>
    <n v="-780.3009125475637"/>
    <n v="746.7467661298633"/>
    <n v="1803.157812758213"/>
    <n v="3393.555945687117"/>
    <n v="5958.833698511771"/>
    <n v="1604.03585659833"/>
    <n v="838.543139365438"/>
    <n v="341.9068932850359"/>
    <n v="171.8940544043289"/>
    <n v="-173.5986175528569"/>
    <n v="-348.744148382043"/>
    <n v="-882.1218995917798"/>
    <n v="-1791.301807802206"/>
  </r>
  <r>
    <x v="1"/>
    <x v="1"/>
    <x v="1"/>
    <x v="1"/>
    <x v="1"/>
    <x v="5"/>
    <x v="20"/>
    <x v="1"/>
    <x v="2"/>
    <n v="0.3685942853263595"/>
    <x v="6"/>
    <n v="256.2361415167702"/>
    <n v="-5124.722830335404"/>
    <x v="0"/>
    <x v="0"/>
    <n v="-1026.708707862466"/>
    <n v="8.884347021785732"/>
    <n v="-0.6237568183314702"/>
    <n v="-8.857591836810071"/>
    <n v="20534.17415724932"/>
    <n v="-177.6869404357146"/>
    <n v="12.47513636662941"/>
    <n v="177.1518367362014"/>
    <n v="-5673.594108014613"/>
    <n v="-2426.369637333623"/>
    <n v="-1117.078069777231"/>
    <n v="-424.8492395053199"/>
    <n v="396.9234652149703"/>
    <n v="942.6568117836837"/>
    <n v="1730.372686048622"/>
    <n v="2919.38860404241"/>
    <n v="1767.67764032307"/>
    <n v="886.7574094879978"/>
    <n v="355.1530799486136"/>
    <n v="177.6353255919457"/>
    <n v="-177.7318644712068"/>
    <n v="-355.5410589448729"/>
    <n v="-889.2634168466748"/>
    <n v="-1778.944279741286"/>
  </r>
  <r>
    <x v="1"/>
    <x v="1"/>
    <x v="1"/>
    <x v="1"/>
    <x v="1"/>
    <x v="12"/>
    <x v="12"/>
    <x v="1"/>
    <x v="2"/>
    <n v="0.4232857262844293"/>
    <x v="6"/>
    <n v="225.6264066879371"/>
    <n v="1128.132033439686"/>
    <x v="3"/>
    <x v="0"/>
    <n v="-837.3420966799464"/>
    <n v="8.172621511052853"/>
    <n v="-0.6640436409646883"/>
    <n v="-7.338851036950866"/>
    <n v="-4186.710483399732"/>
    <n v="40.86310755526426"/>
    <n v="-3.320218204823441"/>
    <n v="-36.69425518475433"/>
    <n v="1163.336181557178"/>
    <n v="494.527856631729"/>
    <n v="227.5589160469173"/>
    <n v="86.5783848433324"/>
    <n v="-80.98513576879384"/>
    <n v="-192.5953391061955"/>
    <n v="-354.6008751960238"/>
    <n v="-603.063703577732"/>
    <n v="-401.4575939093322"/>
    <n v="-202.8105985461514"/>
    <n v="-81.50825875058786"/>
    <n v="-40.81035941945856"/>
    <n v="40.91258547019322"/>
    <n v="81.91797420559681"/>
    <n v="205.4072191358853"/>
    <n v="412.3812069994165"/>
  </r>
  <r>
    <x v="2"/>
    <x v="2"/>
    <x v="2"/>
    <x v="0"/>
    <x v="2"/>
    <x v="9"/>
    <x v="0"/>
    <x v="0"/>
    <x v="0"/>
    <m/>
    <x v="0"/>
    <n v="10012.39446914123"/>
    <n v="-100123.9446914123"/>
    <x v="0"/>
    <x v="0"/>
    <n v="10012.39446914123"/>
    <n v="0"/>
    <n v="0.137156088618373"/>
    <n v="19.20185240657222"/>
    <n v="-100123.9446914123"/>
    <n v="0"/>
    <n v="-1.37156088618373"/>
    <n v="-192.0185240657222"/>
    <n v="20024.78893828247"/>
    <n v="10012.39446914122"/>
    <n v="5006.197234570627"/>
    <n v="2002.478893828265"/>
    <n v="-2002.478893828247"/>
    <n v="-5006.197234570609"/>
    <n v="-10012.39446914124"/>
    <n v="-20024.78893828244"/>
    <n v="0"/>
    <n v="0"/>
    <n v="0"/>
    <n v="0"/>
    <n v="0"/>
    <n v="0"/>
    <n v="0"/>
    <n v="0"/>
  </r>
  <r>
    <x v="2"/>
    <x v="2"/>
    <x v="2"/>
    <x v="1"/>
    <x v="2"/>
    <x v="5"/>
    <x v="21"/>
    <x v="2"/>
    <x v="0"/>
    <n v="0.41"/>
    <x v="7"/>
    <n v="716.2281775166866"/>
    <n v="-14324.56355033373"/>
    <x v="0"/>
    <x v="0"/>
    <n v="5364.311323328957"/>
    <n v="17.42209941951035"/>
    <n v="-5.0923749136734"/>
    <n v="8.91413206046189"/>
    <n v="-107286.2264665791"/>
    <n v="-348.441988390207"/>
    <n v="101.847498273468"/>
    <n v="-178.2826412092378"/>
    <n v="12677.6322587628"/>
    <n v="8459.412428282449"/>
    <n v="4799.922048917088"/>
    <n v="2056.293243094569"/>
    <n v="-2233.388432832307"/>
    <n v="-5901.505617206967"/>
    <n v="-12791.80274024318"/>
    <n v="-28903.00822870573"/>
    <n v="3487.568058092802"/>
    <n v="1743.031581856776"/>
    <n v="697.0187568076653"/>
    <n v="348.4759597097946"/>
    <n v="-348.4074646884255"/>
    <n v="-696.7447777048801"/>
    <n v="-1741.319255450617"/>
    <n v="-3480.719366505109"/>
  </r>
  <r>
    <x v="2"/>
    <x v="2"/>
    <x v="2"/>
    <x v="1"/>
    <x v="2"/>
    <x v="9"/>
    <x v="22"/>
    <x v="1"/>
    <x v="0"/>
    <n v="0.4721677408355954"/>
    <x v="7"/>
    <n v="416.9481752374145"/>
    <n v="-4169.481752374145"/>
    <x v="0"/>
    <x v="0"/>
    <n v="-2882.670092416011"/>
    <n v="14.95804045062122"/>
    <n v="-5.039077071802041"/>
    <n v="-6.328035033855886"/>
    <n v="28826.70092416011"/>
    <n v="-149.5804045062122"/>
    <n v="50.39077071802041"/>
    <n v="63.28035033855886"/>
    <n v="-9705.042749881562"/>
    <n v="-3803.073735124449"/>
    <n v="-1660.21071729378"/>
    <n v="-610.3798312263325"/>
    <n v="544.3185800742003"/>
    <n v="1247.76779091414"/>
    <n v="2160.037160235593"/>
    <n v="3264.539147739647"/>
    <n v="1456.331878605092"/>
    <n v="739.1673111415685"/>
    <n v="297.8550215387577"/>
    <n v="149.2610159950527"/>
    <n v="-149.8864621545954"/>
    <n v="-300.359835649665"/>
    <n v="-754.9560379984587"/>
    <n v="-1521.460564764157"/>
  </r>
  <r>
    <x v="2"/>
    <x v="2"/>
    <x v="2"/>
    <x v="1"/>
    <x v="2"/>
    <x v="5"/>
    <x v="21"/>
    <x v="1"/>
    <x v="0"/>
    <n v="0.41"/>
    <x v="7"/>
    <n v="716.2281775166866"/>
    <n v="-14324.56355033373"/>
    <x v="1"/>
    <x v="0"/>
    <n v="-4648.083145812271"/>
    <n v="17.42209941951035"/>
    <n v="-5.0923749136734"/>
    <n v="-10.28772034611033"/>
    <n v="92961.66291624542"/>
    <n v="-348.441988390207"/>
    <n v="101.847498273468"/>
    <n v="205.7544069222066"/>
    <n v="-27371.94561780214"/>
    <n v="-11565.37650999997"/>
    <n v="-5212.472420224185"/>
    <n v="-1948.664544561962"/>
    <n v="1771.569354824187"/>
    <n v="4110.888851934251"/>
    <n v="7232.986198039289"/>
    <n v="11146.56964785912"/>
    <n v="3487.568058092802"/>
    <n v="1743.031581856776"/>
    <n v="697.0187568076653"/>
    <n v="348.4759597097946"/>
    <n v="-348.4074646884255"/>
    <n v="-696.7447777048801"/>
    <n v="-1741.319255450617"/>
    <n v="-3480.719366505109"/>
  </r>
  <r>
    <x v="2"/>
    <x v="2"/>
    <x v="2"/>
    <x v="1"/>
    <x v="2"/>
    <x v="5"/>
    <x v="23"/>
    <x v="2"/>
    <x v="0"/>
    <n v="0.3975378258395253"/>
    <x v="7"/>
    <n v="564.7201907797671"/>
    <n v="-11294.40381559534"/>
    <x v="0"/>
    <x v="0"/>
    <n v="4675.322559846607"/>
    <n v="17.43240031044587"/>
    <n v="-4.942291620246277"/>
    <n v="7.883347009169285"/>
    <n v="-93506.45119693215"/>
    <n v="-348.6480062089175"/>
    <n v="98.84583240492553"/>
    <n v="-157.6669401833857"/>
    <n v="10262.80930594969"/>
    <n v="7089.315662177837"/>
    <n v="4102.689286442401"/>
    <n v="1778.449107630258"/>
    <n v="-1961.173991470205"/>
    <n v="-5238.327372297481"/>
    <n v="-11542.84271358527"/>
    <n v="-26788.84991322529"/>
    <n v="3472.63741846733"/>
    <n v="1740.416021928067"/>
    <n v="696.8932223281809"/>
    <n v="348.5510083130066"/>
    <n v="-348.7381024523347"/>
    <n v="-697.6434953281932"/>
    <n v="-1745.189436016062"/>
    <n v="-3493.009331705489"/>
  </r>
  <r>
    <x v="2"/>
    <x v="2"/>
    <x v="2"/>
    <x v="1"/>
    <x v="2"/>
    <x v="5"/>
    <x v="23"/>
    <x v="1"/>
    <x v="0"/>
    <n v="0.3975378258395253"/>
    <x v="7"/>
    <n v="865.4316989828703"/>
    <n v="-17308.63397965741"/>
    <x v="0"/>
    <x v="0"/>
    <n v="-5337.071909294621"/>
    <n v="17.43240031044587"/>
    <n v="-4.938172284517467"/>
    <n v="-11.89521239943628"/>
    <n v="106741.4381858924"/>
    <n v="-348.6480062089175"/>
    <n v="98.76344569034934"/>
    <n v="237.9042479887256"/>
    <n v="-29786.76857061524"/>
    <n v="-12935.4732761046"/>
    <n v="-5909.705182698854"/>
    <n v="-2226.508680026272"/>
    <n v="2043.78379618629"/>
    <n v="4774.067096843737"/>
    <n v="8481.946224697194"/>
    <n v="13260.72796333958"/>
    <n v="3472.63741846733"/>
    <n v="1740.416021928067"/>
    <n v="696.8932223281809"/>
    <n v="348.5510083130066"/>
    <n v="-348.7381024523347"/>
    <n v="-697.6434953281932"/>
    <n v="-1745.189436016062"/>
    <n v="-3493.009331705489"/>
  </r>
  <r>
    <x v="2"/>
    <x v="2"/>
    <x v="2"/>
    <x v="1"/>
    <x v="2"/>
    <x v="7"/>
    <x v="24"/>
    <x v="1"/>
    <x v="0"/>
    <n v="0.534139247868658"/>
    <x v="7"/>
    <n v="310.1372003311562"/>
    <n v="15506.86001655781"/>
    <x v="0"/>
    <x v="0"/>
    <n v="-2087.730599329114"/>
    <n v="12.58409064207193"/>
    <n v="-4.796934909963312"/>
    <n v="-4.598650574690931"/>
    <n v="-104386.5299664557"/>
    <n v="629.2045321035964"/>
    <n v="-239.8467454981656"/>
    <n v="-229.9325287345465"/>
    <n v="36750.15618256698"/>
    <n v="13974.43562978649"/>
    <n v="6045.0485564171"/>
    <n v="2214.260259157481"/>
    <n v="-1968.517255299605"/>
    <n v="-4507.540044239477"/>
    <n v="-7803.360366967683"/>
    <n v="-11848.66422593246"/>
    <n v="-5962.704039901007"/>
    <n v="-3070.843504217623"/>
    <n v="-1246.987743154375"/>
    <n v="-626.3968746861792"/>
    <n v="631.9209131972912"/>
    <n v="1269.099755091588"/>
    <n v="3209.739759335707"/>
    <n v="6528.369803912392"/>
  </r>
  <r>
    <x v="2"/>
    <x v="2"/>
    <x v="2"/>
    <x v="1"/>
    <x v="2"/>
    <x v="5"/>
    <x v="22"/>
    <x v="1"/>
    <x v="0"/>
    <n v="0.4721677408355954"/>
    <x v="7"/>
    <n v="416.9481752374145"/>
    <n v="-8338.96350474829"/>
    <x v="1"/>
    <x v="0"/>
    <n v="-2882.670092416011"/>
    <n v="14.95804045062122"/>
    <n v="-5.039077071802041"/>
    <n v="-6.328035033855886"/>
    <n v="57653.40184832022"/>
    <n v="-299.1608090124244"/>
    <n v="100.7815414360408"/>
    <n v="126.5607006771177"/>
    <n v="-19410.08549976312"/>
    <n v="-7606.147470248898"/>
    <n v="-3320.421434587561"/>
    <n v="-1220.759662452665"/>
    <n v="1088.637160148401"/>
    <n v="2495.535581828281"/>
    <n v="4320.074320471185"/>
    <n v="6529.078295479294"/>
    <n v="2912.663757210184"/>
    <n v="1478.334622283137"/>
    <n v="595.7100430775154"/>
    <n v="298.5220319901055"/>
    <n v="-299.7729243091908"/>
    <n v="-600.71967129933"/>
    <n v="-1509.912075996917"/>
    <n v="-3042.921129528313"/>
  </r>
  <r>
    <x v="2"/>
    <x v="2"/>
    <x v="2"/>
    <x v="1"/>
    <x v="2"/>
    <x v="5"/>
    <x v="22"/>
    <x v="1"/>
    <x v="0"/>
    <n v="0.4721677408355954"/>
    <x v="7"/>
    <n v="416.9481752374145"/>
    <n v="-8338.96350474829"/>
    <x v="0"/>
    <x v="0"/>
    <n v="-2882.670092416011"/>
    <n v="14.95804045062122"/>
    <n v="-5.039077071802041"/>
    <n v="-6.328035033855886"/>
    <n v="57653.40184832022"/>
    <n v="-299.1608090124244"/>
    <n v="100.7815414360408"/>
    <n v="126.5607006771177"/>
    <n v="-19410.08549976312"/>
    <n v="-7606.147470248898"/>
    <n v="-3320.421434587561"/>
    <n v="-1220.759662452665"/>
    <n v="1088.637160148401"/>
    <n v="2495.535581828281"/>
    <n v="4320.074320471185"/>
    <n v="6529.078295479294"/>
    <n v="2912.663757210184"/>
    <n v="1478.334622283137"/>
    <n v="595.7100430775154"/>
    <n v="298.5220319901055"/>
    <n v="-299.7729243091908"/>
    <n v="-600.71967129933"/>
    <n v="-1509.912075996917"/>
    <n v="-3042.921129528313"/>
  </r>
  <r>
    <x v="2"/>
    <x v="2"/>
    <x v="2"/>
    <x v="1"/>
    <x v="2"/>
    <x v="3"/>
    <x v="21"/>
    <x v="2"/>
    <x v="0"/>
    <n v="0.41"/>
    <x v="7"/>
    <n v="716.2281775166866"/>
    <n v="-17905.70443791716"/>
    <x v="0"/>
    <x v="0"/>
    <n v="5364.311323328957"/>
    <n v="17.42209941951035"/>
    <n v="-5.0923749136734"/>
    <n v="8.91413206046189"/>
    <n v="-134107.7830832239"/>
    <n v="-435.5524854877588"/>
    <n v="127.309372841835"/>
    <n v="-222.8533015115472"/>
    <n v="15847.0403234535"/>
    <n v="10574.26553535306"/>
    <n v="5999.902561146359"/>
    <n v="2570.366553868212"/>
    <n v="-2791.735541040384"/>
    <n v="-7376.882021508709"/>
    <n v="-15989.75342530398"/>
    <n v="-36128.76028588216"/>
    <n v="4359.460072616002"/>
    <n v="2178.78947732097"/>
    <n v="871.2734460095817"/>
    <n v="435.5949496372432"/>
    <n v="-435.5093308605319"/>
    <n v="-870.9309721311001"/>
    <n v="-2176.649069313271"/>
    <n v="-4350.899208131386"/>
  </r>
  <r>
    <x v="2"/>
    <x v="2"/>
    <x v="2"/>
    <x v="1"/>
    <x v="2"/>
    <x v="10"/>
    <x v="24"/>
    <x v="1"/>
    <x v="0"/>
    <n v="0.534139247868658"/>
    <x v="7"/>
    <n v="310.1372003311562"/>
    <n v="3101.372003311562"/>
    <x v="2"/>
    <x v="0"/>
    <n v="-2087.730599329114"/>
    <n v="12.58409064207193"/>
    <n v="-4.796934909963312"/>
    <n v="-4.598650574690931"/>
    <n v="-20877.30599329114"/>
    <n v="125.8409064207193"/>
    <n v="-47.96934909963312"/>
    <n v="-45.9865057469093"/>
    <n v="7350.031236513396"/>
    <n v="2794.887125957298"/>
    <n v="1209.00971128342"/>
    <n v="442.8520518314963"/>
    <n v="-393.703451059921"/>
    <n v="-901.5080088478953"/>
    <n v="-1560.672073393537"/>
    <n v="-2369.732845186491"/>
    <n v="-1192.540807980201"/>
    <n v="-614.1687008435247"/>
    <n v="-249.397548630875"/>
    <n v="-125.2793749372358"/>
    <n v="126.3841826394582"/>
    <n v="253.8199510183176"/>
    <n v="641.9479518671415"/>
    <n v="1305.673960782478"/>
  </r>
  <r>
    <x v="2"/>
    <x v="2"/>
    <x v="2"/>
    <x v="1"/>
    <x v="2"/>
    <x v="3"/>
    <x v="21"/>
    <x v="1"/>
    <x v="1"/>
    <n v="0.36"/>
    <x v="7"/>
    <n v="951.5731397348372"/>
    <n v="-23789.32849337093"/>
    <x v="0"/>
    <x v="0"/>
    <n v="-4524.173950745607"/>
    <n v="26.30690649682385"/>
    <n v="-2.928109577242342"/>
    <n v="-24.15329538540689"/>
    <n v="113104.3487686402"/>
    <n v="-657.6726624205963"/>
    <n v="73.20273943105853"/>
    <n v="603.8323846351723"/>
    <n v="-31237.50388590156"/>
    <n v="-13457.14661588513"/>
    <n v="-6184.259171235203"/>
    <n v="-2345.70922957837"/>
    <n v="2180.118778526798"/>
    <n v="5151.807634255521"/>
    <n v="9362.81622944491"/>
    <n v="15420.26389651571"/>
    <n v="6588.58612759459"/>
    <n v="3291.477749593105"/>
    <n v="1315.857961555093"/>
    <n v="657.8020141216257"/>
    <n v="-657.5409278002098"/>
    <n v="-1314.81362486561"/>
    <n v="-3284.951021346524"/>
    <n v="-6562.484585995026"/>
  </r>
  <r>
    <x v="2"/>
    <x v="2"/>
    <x v="2"/>
    <x v="1"/>
    <x v="2"/>
    <x v="9"/>
    <x v="22"/>
    <x v="1"/>
    <x v="1"/>
    <n v="0.4221677408355954"/>
    <x v="7"/>
    <n v="673.9545098205945"/>
    <n v="-6739.545098205945"/>
    <x v="0"/>
    <x v="0"/>
    <n v="-3168.341174870959"/>
    <n v="23.65137022418355"/>
    <n v="-3.09165145302772"/>
    <n v="-16.94820836261206"/>
    <n v="31683.41174870959"/>
    <n v="-236.5137022418355"/>
    <n v="30.9165145302772"/>
    <n v="169.4820836261206"/>
    <n v="-9273.49529592092"/>
    <n v="-3858.001259532966"/>
    <n v="-1749.953632820207"/>
    <n v="-659.5247988130086"/>
    <n v="608.7253994215735"/>
    <n v="1432.612213681705"/>
    <n v="2590.986830922425"/>
    <n v="4251.162321044238"/>
    <n v="2329.081868568883"/>
    <n v="1174.936835505659"/>
    <n v="471.915099629914"/>
    <n v="236.2438960817553"/>
    <n v="-236.7680033417128"/>
    <n v="-474.0154923268483"/>
    <n v="-1188.239764342557"/>
    <n v="-2384.923976928876"/>
  </r>
  <r>
    <x v="2"/>
    <x v="2"/>
    <x v="2"/>
    <x v="1"/>
    <x v="2"/>
    <x v="13"/>
    <x v="22"/>
    <x v="1"/>
    <x v="1"/>
    <n v="0.4221677408355954"/>
    <x v="7"/>
    <n v="673.9545098205945"/>
    <n v="-10109.31764730892"/>
    <x v="1"/>
    <x v="0"/>
    <n v="-3168.341174870959"/>
    <n v="23.65137022418355"/>
    <n v="-3.09165145302772"/>
    <n v="-16.94820836261206"/>
    <n v="47525.11762306438"/>
    <n v="-354.7705533627533"/>
    <n v="46.3747717954158"/>
    <n v="254.2231254391808"/>
    <n v="-13910.24294388138"/>
    <n v="-5787.001889299449"/>
    <n v="-2624.93044923031"/>
    <n v="-989.2871982195129"/>
    <n v="913.0880991323602"/>
    <n v="2148.918320522557"/>
    <n v="3886.480246383637"/>
    <n v="6376.743481566356"/>
    <n v="3493.622802853324"/>
    <n v="1762.405253258489"/>
    <n v="707.8726494448711"/>
    <n v="354.365844122633"/>
    <n v="-355.1520050125691"/>
    <n v="-711.0232384902724"/>
    <n v="-1782.359646513835"/>
    <n v="-3577.385965393314"/>
  </r>
  <r>
    <x v="2"/>
    <x v="2"/>
    <x v="2"/>
    <x v="1"/>
    <x v="2"/>
    <x v="5"/>
    <x v="25"/>
    <x v="2"/>
    <x v="1"/>
    <n v="0.3295010100547117"/>
    <x v="7"/>
    <n v="443.9842244954998"/>
    <n v="-8879.684489909996"/>
    <x v="0"/>
    <x v="0"/>
    <n v="3414.166847603307"/>
    <n v="24.37366780622899"/>
    <n v="-2.488063415902868"/>
    <n v="13.10135348822896"/>
    <n v="-68283.33695206615"/>
    <n v="-487.4733561245797"/>
    <n v="49.76126831805735"/>
    <n v="-262.0270697645792"/>
    <n v="7770.927123316031"/>
    <n v="5228.740118562155"/>
    <n v="3002.808926813732"/>
    <n v="1299.021786220419"/>
    <n v="-1433.087370783533"/>
    <n v="-3837.656410157851"/>
    <n v="-8525.245040432728"/>
    <n v="-20321.93946311243"/>
    <n v="4609.025098070852"/>
    <n v="2381.868590770955"/>
    <n v="966.8865514246954"/>
    <n v="485.5192600393639"/>
    <n v="-489.3149395509954"/>
    <n v="-982.1049281690375"/>
    <n v="-2478.567663043314"/>
    <n v="-5019.897042182956"/>
  </r>
  <r>
    <x v="2"/>
    <x v="2"/>
    <x v="2"/>
    <x v="1"/>
    <x v="2"/>
    <x v="9"/>
    <x v="25"/>
    <x v="1"/>
    <x v="1"/>
    <n v="0.3295010100547117"/>
    <x v="7"/>
    <n v="1644.333956344925"/>
    <n v="-16443.33956344926"/>
    <x v="4"/>
    <x v="0"/>
    <n v="-6585.754193622744"/>
    <n v="24.37366780622899"/>
    <n v="-2.471620268891232"/>
    <n v="-36.30258060670671"/>
    <n v="65857.54193622744"/>
    <n v="-243.7366780622899"/>
    <n v="24.71620268891232"/>
    <n v="363.025806067067"/>
    <n v="-16114.37852079407"/>
    <n v="-7385.550981944962"/>
    <n v="-3498.55605720616"/>
    <n v="-1350.473315135005"/>
    <n v="1283.440522853443"/>
    <n v="3081.132315534105"/>
    <n v="5737.298521009707"/>
    <n v="9838.872350895876"/>
    <n v="2304.512549035435"/>
    <n v="1190.934295385478"/>
    <n v="483.4432757123523"/>
    <n v="242.7596300197001"/>
    <n v="-244.6574697754932"/>
    <n v="-491.0524640845142"/>
    <n v="-1239.283831521643"/>
    <n v="-2509.948521091474"/>
  </r>
  <r>
    <x v="2"/>
    <x v="2"/>
    <x v="2"/>
    <x v="1"/>
    <x v="2"/>
    <x v="13"/>
    <x v="23"/>
    <x v="2"/>
    <x v="1"/>
    <n v="0.3475378258395254"/>
    <x v="7"/>
    <n v="790.0288254408497"/>
    <n v="-11850.43238161275"/>
    <x v="0"/>
    <x v="0"/>
    <n v="4948.916114605233"/>
    <n v="26.49339354262278"/>
    <n v="-2.848636193817772"/>
    <n v="18.34468091932783"/>
    <n v="-74233.74171907849"/>
    <n v="-397.4009031393417"/>
    <n v="42.72954290726658"/>
    <n v="-275.1702137899175"/>
    <n v="9681.682756504488"/>
    <n v="6106.701509964364"/>
    <n v="3383.752292187644"/>
    <n v="1432.531306869105"/>
    <n v="-1536.166827876891"/>
    <n v="-4029.558800515233"/>
    <n v="-8662.80368035848"/>
    <n v="-19488.0794511341"/>
    <n v="3967.708793577747"/>
    <n v="1986.073223733679"/>
    <n v="794.7017328743277"/>
    <n v="397.3795677506996"/>
    <n v="-397.4153665133372"/>
    <n v="-794.8467972273329"/>
    <n v="-1987.063282410136"/>
    <n v="-3972.961454172882"/>
  </r>
  <r>
    <x v="2"/>
    <x v="2"/>
    <x v="2"/>
    <x v="1"/>
    <x v="2"/>
    <x v="5"/>
    <x v="21"/>
    <x v="1"/>
    <x v="1"/>
    <n v="0.36"/>
    <x v="7"/>
    <n v="951.5731397348372"/>
    <n v="-19031.46279469674"/>
    <x v="0"/>
    <x v="0"/>
    <n v="-4524.173950745607"/>
    <n v="26.30690649682385"/>
    <n v="-2.928109577242342"/>
    <n v="-24.15329538540689"/>
    <n v="90483.47901491214"/>
    <n v="-526.1381299364771"/>
    <n v="58.56219154484683"/>
    <n v="483.0659077081378"/>
    <n v="-24990.00310872125"/>
    <n v="-10765.7172927081"/>
    <n v="-4947.407336988163"/>
    <n v="-1876.567383662696"/>
    <n v="1744.095022821439"/>
    <n v="4121.446107404417"/>
    <n v="7490.252983555929"/>
    <n v="12336.21111721257"/>
    <n v="5270.868902075672"/>
    <n v="2633.182199674484"/>
    <n v="1052.686369244075"/>
    <n v="526.2416112973006"/>
    <n v="-526.0327422401679"/>
    <n v="-1051.850899892488"/>
    <n v="-2627.960817077219"/>
    <n v="-5249.98766879602"/>
  </r>
  <r>
    <x v="2"/>
    <x v="2"/>
    <x v="2"/>
    <x v="1"/>
    <x v="2"/>
    <x v="5"/>
    <x v="26"/>
    <x v="2"/>
    <x v="1"/>
    <n v="0.3281105732045441"/>
    <x v="7"/>
    <n v="367.1853465664444"/>
    <n v="-7343.706931328888"/>
    <x v="2"/>
    <x v="0"/>
    <n v="2972.624371451507"/>
    <n v="22.99586302839094"/>
    <n v="-2.338195467341483"/>
    <n v="11.49248446593137"/>
    <n v="-59452.48742903014"/>
    <n v="-459.9172605678187"/>
    <n v="46.76390934682965"/>
    <n v="-229.8496893186274"/>
    <n v="6515.721240479328"/>
    <n v="4458.419534935219"/>
    <n v="2586.606946882366"/>
    <n v="1126.147991247935"/>
    <n v="-1253.173522749985"/>
    <n v="-3377.696073500774"/>
    <n v="-7583.344300228346"/>
    <n v="-18434.79218737064"/>
    <n v="4217.531523799257"/>
    <n v="2218.613123595469"/>
    <n v="907.989427886896"/>
    <n v="457.0393389199035"/>
    <n v="-462.6404468388046"/>
    <n v="-930.4396164015634"/>
    <n v="-2360.951423052111"/>
    <n v="-4817.10479119115"/>
  </r>
  <r>
    <x v="2"/>
    <x v="2"/>
    <x v="2"/>
    <x v="1"/>
    <x v="2"/>
    <x v="12"/>
    <x v="24"/>
    <x v="1"/>
    <x v="1"/>
    <n v="0.4841392478686579"/>
    <x v="7"/>
    <n v="577.6800949336603"/>
    <n v="2888.400474668301"/>
    <x v="0"/>
    <x v="0"/>
    <n v="-2526.721450392835"/>
    <n v="21.22402510093606"/>
    <n v="-3.183199477493153"/>
    <n v="-13.69338763828947"/>
    <n v="-12633.60725196418"/>
    <n v="106.1201255046803"/>
    <n v="-15.91599738746576"/>
    <n v="-68.46693819144737"/>
    <n v="3723.730534621948"/>
    <n v="1537.586861920331"/>
    <n v="697.0054278684552"/>
    <n v="262.8151058425306"/>
    <n v="-242.9360677304589"/>
    <n v="-572.7009254922496"/>
    <n v="-1039.55604229221"/>
    <n v="-1721.76945216947"/>
    <n v="-1029.27304600579"/>
    <n v="-523.5473881867756"/>
    <n v="-211.1878533853087"/>
    <n v="-105.8629128603502"/>
    <n v="106.3661783024804"/>
    <n v="213.2032857270133"/>
    <n v="536.2483088397516"/>
    <n v="1081.613330960988"/>
  </r>
  <r>
    <x v="2"/>
    <x v="2"/>
    <x v="2"/>
    <x v="1"/>
    <x v="2"/>
    <x v="5"/>
    <x v="26"/>
    <x v="2"/>
    <x v="1"/>
    <n v="0.3281105732045441"/>
    <x v="7"/>
    <n v="367.1853465664444"/>
    <n v="-7343.706931328888"/>
    <x v="0"/>
    <x v="0"/>
    <n v="2972.624371451507"/>
    <n v="22.99586302839094"/>
    <n v="-2.338195467341483"/>
    <n v="11.49248446593137"/>
    <n v="-59452.48742903014"/>
    <n v="-459.9172605678187"/>
    <n v="46.76390934682965"/>
    <n v="-229.8496893186274"/>
    <n v="6515.721240479328"/>
    <n v="4458.419534935219"/>
    <n v="2586.606946882366"/>
    <n v="1126.147991247935"/>
    <n v="-1253.173522749985"/>
    <n v="-3377.696073500774"/>
    <n v="-7583.344300228346"/>
    <n v="-18434.79218737064"/>
    <n v="4217.531523799257"/>
    <n v="2218.613123595469"/>
    <n v="907.989427886896"/>
    <n v="457.0393389199035"/>
    <n v="-462.6404468388046"/>
    <n v="-930.4396164015634"/>
    <n v="-2360.951423052111"/>
    <n v="-4817.10479119115"/>
  </r>
  <r>
    <x v="2"/>
    <x v="2"/>
    <x v="2"/>
    <x v="1"/>
    <x v="2"/>
    <x v="9"/>
    <x v="27"/>
    <x v="1"/>
    <x v="2"/>
    <n v="0.3475286850241339"/>
    <x v="8"/>
    <n v="977.0321988634782"/>
    <n v="-9770.321988634783"/>
    <x v="3"/>
    <x v="0"/>
    <n v="-3984.899427815304"/>
    <n v="32.03999019226192"/>
    <n v="-2.161918985586027"/>
    <n v="-34.25771972391927"/>
    <n v="39848.99427815303"/>
    <n v="-320.3999019226192"/>
    <n v="21.61918985586027"/>
    <n v="342.5771972391926"/>
    <n v="-10886.8482057772"/>
    <n v="-4689.953263089051"/>
    <n v="-2164.358832822622"/>
    <n v="-824.0165602190473"/>
    <n v="770.6143557444693"/>
    <n v="1830.979034839715"/>
    <n v="3361.986303833046"/>
    <n v="5667.480867983782"/>
    <n v="3204.629515545021"/>
    <n v="1602.610935804328"/>
    <n v="640.9332484879997"/>
    <n v="320.4359871285033"/>
    <n v="-320.3586740623859"/>
    <n v="-640.6251525193602"/>
    <n v="-1600.736927432558"/>
    <n v="-3197.932867858531"/>
  </r>
  <r>
    <x v="2"/>
    <x v="2"/>
    <x v="2"/>
    <x v="1"/>
    <x v="2"/>
    <x v="14"/>
    <x v="28"/>
    <x v="1"/>
    <x v="2"/>
    <n v="0.5752990411633006"/>
    <x v="8"/>
    <n v="716.3257316289155"/>
    <n v="-3581.628658144577"/>
    <x v="0"/>
    <x v="0"/>
    <n v="-2068.033829118133"/>
    <n v="23.71910477890897"/>
    <n v="-2.678572362166383"/>
    <n v="-19.22352354269196"/>
    <n v="10340.16914559067"/>
    <n v="-118.5955238945449"/>
    <n v="13.39286181083192"/>
    <n v="96.11761771345979"/>
    <n v="-2783.765224965648"/>
    <n v="-1197.482862488464"/>
    <n v="-556.0601331809607"/>
    <n v="-212.8840206285622"/>
    <n v="200.9383928766215"/>
    <n v="481.3260840925875"/>
    <n v="897.498955665593"/>
    <n v="1567.561901156724"/>
    <n v="1150.639753515219"/>
    <n v="585.0638035647182"/>
    <n v="236.0026257215873"/>
    <n v="118.3045343167169"/>
    <n v="-118.8747859034493"/>
    <n v="-238.285594212889"/>
    <n v="-599.4185807152849"/>
    <n v="-1209.312578095908"/>
  </r>
  <r>
    <x v="2"/>
    <x v="2"/>
    <x v="2"/>
    <x v="1"/>
    <x v="2"/>
    <x v="9"/>
    <x v="27"/>
    <x v="1"/>
    <x v="2"/>
    <n v="0.3475286850241339"/>
    <x v="8"/>
    <n v="977.0321988634782"/>
    <n v="-9770.321988634783"/>
    <x v="2"/>
    <x v="0"/>
    <n v="-3984.899427815304"/>
    <n v="32.03999019226192"/>
    <n v="-2.161918985586027"/>
    <n v="-34.25771972391927"/>
    <n v="39848.99427815303"/>
    <n v="-320.3999019226192"/>
    <n v="21.61918985586027"/>
    <n v="342.5771972391926"/>
    <n v="-10886.8482057772"/>
    <n v="-4689.953263089051"/>
    <n v="-2164.358832822622"/>
    <n v="-824.0165602190473"/>
    <n v="770.6143557444693"/>
    <n v="1830.979034839715"/>
    <n v="3361.986303833046"/>
    <n v="5667.480867983782"/>
    <n v="3204.629515545021"/>
    <n v="1602.610935804328"/>
    <n v="640.9332484879997"/>
    <n v="320.4359871285033"/>
    <n v="-320.3586740623859"/>
    <n v="-640.6251525193602"/>
    <n v="-1600.736927432558"/>
    <n v="-3197.932867858531"/>
  </r>
  <r>
    <x v="2"/>
    <x v="2"/>
    <x v="2"/>
    <x v="1"/>
    <x v="2"/>
    <x v="9"/>
    <x v="29"/>
    <x v="1"/>
    <x v="2"/>
    <n v="0.4228637600047526"/>
    <x v="8"/>
    <n v="788.0883682012923"/>
    <n v="-7880.883682012923"/>
    <x v="0"/>
    <x v="0"/>
    <n v="-2926.702718583054"/>
    <n v="28.5451028020423"/>
    <n v="-2.358738569876377"/>
    <n v="-25.6473247635522"/>
    <n v="29267.02718583054"/>
    <n v="-285.451028020423"/>
    <n v="23.58738569876377"/>
    <n v="256.473247635522"/>
    <n v="-8132.488662659894"/>
    <n v="-3457.093672391429"/>
    <n v="-1590.77464922013"/>
    <n v="-605.228249448819"/>
    <n v="566.1174080865021"/>
    <n v="1346.292661309722"/>
    <n v="2478.673631029869"/>
    <n v="4215.123062082401"/>
    <n v="2804.612634804489"/>
    <n v="1416.7910622401"/>
    <n v="569.3869093688227"/>
    <n v="285.0843708858565"/>
    <n v="-285.7949025973221"/>
    <n v="-572.2346943215734"/>
    <n v="-1434.840105487719"/>
    <n v="-2880.555698041271"/>
  </r>
  <r>
    <x v="2"/>
    <x v="2"/>
    <x v="2"/>
    <x v="1"/>
    <x v="2"/>
    <x v="9"/>
    <x v="29"/>
    <x v="1"/>
    <x v="2"/>
    <n v="0.4228637600047526"/>
    <x v="8"/>
    <n v="788.0883682012923"/>
    <n v="-7880.883682012923"/>
    <x v="0"/>
    <x v="0"/>
    <n v="-2926.702718583054"/>
    <n v="28.5451028020423"/>
    <n v="-2.358738569876377"/>
    <n v="-25.6473247635522"/>
    <n v="29267.02718583054"/>
    <n v="-285.451028020423"/>
    <n v="23.58738569876377"/>
    <n v="256.473247635522"/>
    <n v="-8132.488662659894"/>
    <n v="-3457.093672391429"/>
    <n v="-1590.77464922013"/>
    <n v="-605.228249448819"/>
    <n v="566.1174080865021"/>
    <n v="1346.292661309722"/>
    <n v="2478.673631029869"/>
    <n v="4215.123062082401"/>
    <n v="2804.612634804489"/>
    <n v="1416.7910622401"/>
    <n v="569.3869093688227"/>
    <n v="285.0843708858565"/>
    <n v="-285.7949025973221"/>
    <n v="-572.2346943215734"/>
    <n v="-1434.840105487719"/>
    <n v="-2880.555698041271"/>
  </r>
</pivotCacheRecords>
</file>

<file path=xl/pivotCache/pivotCacheRecords2.xml><?xml version="1.0" encoding="utf-8"?>
<pivotCacheRecords xmlns="http://schemas.openxmlformats.org/spreadsheetml/2006/main" count="83">
  <r>
    <x v="0"/>
    <x v="0"/>
    <x v="0"/>
    <x v="0"/>
    <x v="0"/>
    <x v="0"/>
    <x v="0"/>
    <x v="0"/>
    <x v="0"/>
    <n v="0"/>
    <x v="0"/>
    <n v="1095.788903156733"/>
    <n v="27394.72257891833"/>
    <x v="0"/>
    <x v="0"/>
    <n v="1095.788903156733"/>
    <n v="0"/>
    <n v="0.06004322757023196"/>
    <n v="2.101512964958118"/>
    <n v="27394.72257891833"/>
    <n v="0"/>
    <n v="1.501080689255799"/>
    <n v="52.53782412395294"/>
    <n v="-5478.944515783667"/>
    <n v="-2739.472257891834"/>
    <n v="-1369.73612894592"/>
    <n v="-547.8944515783667"/>
    <n v="547.8944515783667"/>
    <n v="1369.736128945914"/>
    <n v="2739.472257891834"/>
    <n v="5478.944515783667"/>
    <n v="0"/>
    <n v="0"/>
    <n v="0"/>
    <n v="0"/>
    <n v="0"/>
    <n v="0"/>
    <n v="0"/>
    <n v="0"/>
  </r>
  <r>
    <x v="0"/>
    <x v="0"/>
    <x v="0"/>
    <x v="1"/>
    <x v="0"/>
    <x v="1"/>
    <x v="1"/>
    <x v="1"/>
    <x v="0"/>
    <n v="0.5324774237538278"/>
    <x v="1"/>
    <n v="34.15839326892504"/>
    <n v="6831.678653785008"/>
    <x v="0"/>
    <x v="0"/>
    <n v="-230.2047827201964"/>
    <n v="1.383324887036943"/>
    <n v="-0.5307820456150451"/>
    <n v="-0.5069978717599591"/>
    <n v="-46040.95654403928"/>
    <n v="276.6649774073886"/>
    <n v="-106.156409123009"/>
    <n v="-101.3995743519918"/>
    <n v="16198.97576810407"/>
    <n v="6162.765029589701"/>
    <n v="2666.166662935308"/>
    <n v="976.623636855868"/>
    <n v="-868.2326069369424"/>
    <n v="-1988.038844615312"/>
    <n v="-3441.38021643816"/>
    <n v="-5224.205183272312"/>
    <n v="-2623.365768320622"/>
    <n v="-1350.638630317417"/>
    <n v="-548.3659066701534"/>
    <n v="-275.4448152592772"/>
    <n v="277.8452327431864"/>
    <n v="557.9745616740297"/>
    <n v="1410.999409578011"/>
    <n v="2869.251643482284"/>
  </r>
  <r>
    <x v="0"/>
    <x v="0"/>
    <x v="0"/>
    <x v="1"/>
    <x v="0"/>
    <x v="2"/>
    <x v="2"/>
    <x v="1"/>
    <x v="0"/>
    <n v="0.4707529337342356"/>
    <x v="1"/>
    <n v="46.02687836772424"/>
    <n v="-2301.343918386212"/>
    <x v="0"/>
    <x v="0"/>
    <n v="-318.2314722312879"/>
    <n v="1.643732645535802"/>
    <n v="-0.5591682385653859"/>
    <n v="-0.698577658683037"/>
    <n v="15911.5736115644"/>
    <n v="-82.18663227679008"/>
    <n v="27.9584119282693"/>
    <n v="34.92888293415185"/>
    <n v="-5347.79076140372"/>
    <n v="-2097.825119573315"/>
    <n v="-916.1397822859982"/>
    <n v="-336.8803186118384"/>
    <n v="300.4744670161102"/>
    <n v="688.8602981805718"/>
    <n v="1192.624078756414"/>
    <n v="1802.525273554095"/>
    <n v="800.768944058089"/>
    <n v="406.2689933666604"/>
    <n v="163.6763448030052"/>
    <n v="82.01619604019754"/>
    <n v="-82.34990587539244"/>
    <n v="-165.0128211924908"/>
    <n v="-414.6941952280997"/>
    <n v="-835.5370565276388"/>
  </r>
  <r>
    <x v="0"/>
    <x v="0"/>
    <x v="0"/>
    <x v="1"/>
    <x v="0"/>
    <x v="0"/>
    <x v="3"/>
    <x v="1"/>
    <x v="0"/>
    <n v="0.4091774650795282"/>
    <x v="1"/>
    <n v="79.24718808555144"/>
    <n v="1981.179702138786"/>
    <x v="1"/>
    <x v="0"/>
    <n v="-512.9754372647533"/>
    <n v="1.908319569067536"/>
    <n v="-0.5680042692993313"/>
    <n v="-1.135769418480036"/>
    <n v="-12824.38593161883"/>
    <n v="47.7079892266884"/>
    <n v="-14.20010673248328"/>
    <n v="-28.39423546200091"/>
    <n v="3764.511588095539"/>
    <n v="1593.150856000275"/>
    <n v="718.5768757039114"/>
    <n v="268.7525998856387"/>
    <n v="-244.456605715817"/>
    <n v="-567.4575161659434"/>
    <n v="-998.9351147077201"/>
    <n v="-1540.556264144252"/>
    <n v="-477.5028250360776"/>
    <n v="-238.6506666604504"/>
    <n v="-95.43416709331893"/>
    <n v="-47.71257565217866"/>
    <n v="47.70332450816568"/>
    <n v="95.39716343229827"/>
    <n v="238.4194343082314"/>
    <n v="476.5785047952022"/>
  </r>
  <r>
    <x v="0"/>
    <x v="0"/>
    <x v="0"/>
    <x v="1"/>
    <x v="0"/>
    <x v="3"/>
    <x v="4"/>
    <x v="1"/>
    <x v="0"/>
    <n v="0.4459509823595961"/>
    <x v="1"/>
    <n v="54.64712329293639"/>
    <n v="-1366.17808232341"/>
    <x v="0"/>
    <x v="0"/>
    <n v="-375.3113717333711"/>
    <n v="1.763231005510364"/>
    <n v="-0.5692606384200173"/>
    <n v="-0.824577935666891"/>
    <n v="9382.784293334276"/>
    <n v="-44.08077513775909"/>
    <n v="14.23151596050043"/>
    <n v="20.61444839167227"/>
    <n v="-3037.002833287911"/>
    <n v="-1218.350181810433"/>
    <n v="-536.6514699353075"/>
    <n v="-198.1703903162838"/>
    <n v="177.5632005999256"/>
    <n v="408.1665370544599"/>
    <n v="708.9112475815789"/>
    <n v="1074.333730247243"/>
    <n v="435.2513095141688"/>
    <n v="219.2017523660724"/>
    <n v="87.9840232866556"/>
    <n v="44.0375225495842"/>
    <n v="-44.12190752252911"/>
    <n v="-88.32209304500935"/>
    <n v="-221.338123151925"/>
    <n v="-444.1466820977794"/>
  </r>
  <r>
    <x v="0"/>
    <x v="0"/>
    <x v="0"/>
    <x v="1"/>
    <x v="0"/>
    <x v="0"/>
    <x v="5"/>
    <x v="2"/>
    <x v="0"/>
    <n v="0.379359911885529"/>
    <x v="1"/>
    <n v="27.84597683072775"/>
    <n v="696.1494207681937"/>
    <x v="0"/>
    <x v="0"/>
    <n v="297.0708670258043"/>
    <n v="1.589922866296527"/>
    <n v="-0.4226593414310972"/>
    <n v="0.5163217072234344"/>
    <n v="7426.771675645108"/>
    <n v="39.74807165741318"/>
    <n v="-10.56648353577743"/>
    <n v="12.90804268058586"/>
    <n v="-662.9889905190962"/>
    <n v="-499.9725733411328"/>
    <n v="-306.5065883839907"/>
    <n v="-137.8144172910972"/>
    <n v="159.6447258176454"/>
    <n v="442.1949742975741"/>
    <n v="1032.386343338894"/>
    <n v="2648.420047107558"/>
    <n v="-365.6819222133876"/>
    <n v="-191.7661909749853"/>
    <n v="-78.45860132761828"/>
    <n v="-39.49467513805871"/>
    <n v="39.99021078309966"/>
    <n v="80.443522355651"/>
    <n v="204.2943422404534"/>
    <n v="417.5895688814734"/>
  </r>
  <r>
    <x v="0"/>
    <x v="0"/>
    <x v="0"/>
    <x v="1"/>
    <x v="0"/>
    <x v="0"/>
    <x v="3"/>
    <x v="2"/>
    <x v="0"/>
    <n v="0.4091774650795282"/>
    <x v="1"/>
    <n v="77.35419320653995"/>
    <n v="1933.854830163499"/>
    <x v="0"/>
    <x v="0"/>
    <n v="582.8134658919798"/>
    <n v="1.908319569067536"/>
    <n v="-0.5410418660534643"/>
    <n v="0.9693739476159121"/>
    <n v="14570.3366472995"/>
    <n v="47.7079892266884"/>
    <n v="-13.52604665133661"/>
    <n v="24.2343486903978"/>
    <n v="-1714.432927688126"/>
    <n v="-1146.321401891555"/>
    <n v="-651.1592532420068"/>
    <n v="-279.1418516927251"/>
    <n v="303.4378458625511"/>
    <n v="802.2786127799704"/>
    <n v="1740.537143184115"/>
    <n v="3938.38825163942"/>
    <n v="-477.5028250360762"/>
    <n v="-238.650666660449"/>
    <n v="-95.43416709331751"/>
    <n v="-47.71257565217724"/>
    <n v="47.70332450816568"/>
    <n v="95.39716343229969"/>
    <n v="238.4194343082356"/>
    <n v="476.578504795205"/>
  </r>
  <r>
    <x v="0"/>
    <x v="0"/>
    <x v="0"/>
    <x v="1"/>
    <x v="0"/>
    <x v="2"/>
    <x v="4"/>
    <x v="1"/>
    <x v="0"/>
    <n v="0.4459509823595961"/>
    <x v="1"/>
    <n v="54.64712329293639"/>
    <n v="-2732.356164646819"/>
    <x v="0"/>
    <x v="0"/>
    <n v="-375.3113717333711"/>
    <n v="1.763231005510364"/>
    <n v="-0.5692606384200173"/>
    <n v="-0.824577935666891"/>
    <n v="18765.56858666855"/>
    <n v="-88.16155027551818"/>
    <n v="28.46303192100087"/>
    <n v="41.22889678334455"/>
    <n v="-6074.005666575823"/>
    <n v="-2436.700363620866"/>
    <n v="-1073.302939870615"/>
    <n v="-396.3407806325677"/>
    <n v="355.1264011998512"/>
    <n v="816.3330741089197"/>
    <n v="1417.822495163158"/>
    <n v="2148.667460494485"/>
    <n v="870.5026190283377"/>
    <n v="438.4035047321447"/>
    <n v="175.9680465733112"/>
    <n v="88.07504509916839"/>
    <n v="-88.24381504505823"/>
    <n v="-176.6441860900187"/>
    <n v="-442.67624630385"/>
    <n v="-888.2933641955589"/>
  </r>
  <r>
    <x v="0"/>
    <x v="0"/>
    <x v="0"/>
    <x v="1"/>
    <x v="0"/>
    <x v="2"/>
    <x v="4"/>
    <x v="1"/>
    <x v="0"/>
    <n v="0.4459509823595961"/>
    <x v="1"/>
    <n v="54.64712329293639"/>
    <n v="-2732.356164646819"/>
    <x v="1"/>
    <x v="0"/>
    <n v="-375.3113717333711"/>
    <n v="1.763231005510364"/>
    <n v="-0.5692606384200173"/>
    <n v="-0.824577935666891"/>
    <n v="18765.56858666855"/>
    <n v="-88.16155027551818"/>
    <n v="28.46303192100087"/>
    <n v="41.22889678334455"/>
    <n v="-6074.005666575823"/>
    <n v="-2436.700363620866"/>
    <n v="-1073.302939870615"/>
    <n v="-396.3407806325677"/>
    <n v="355.1264011998512"/>
    <n v="816.3330741089197"/>
    <n v="1417.822495163158"/>
    <n v="2148.667460494485"/>
    <n v="870.5026190283377"/>
    <n v="438.4035047321447"/>
    <n v="175.9680465733112"/>
    <n v="88.07504509916839"/>
    <n v="-88.24381504505823"/>
    <n v="-176.6441860900187"/>
    <n v="-442.67624630385"/>
    <n v="-888.2933641955589"/>
  </r>
  <r>
    <x v="0"/>
    <x v="0"/>
    <x v="0"/>
    <x v="1"/>
    <x v="0"/>
    <x v="2"/>
    <x v="3"/>
    <x v="2"/>
    <x v="0"/>
    <n v="0.4091774650795282"/>
    <x v="1"/>
    <n v="77.35419320653995"/>
    <n v="-3867.709660326997"/>
    <x v="1"/>
    <x v="0"/>
    <n v="582.8134658919798"/>
    <n v="1.908319569067536"/>
    <n v="-0.5410418660534643"/>
    <n v="0.9693739476159121"/>
    <n v="-29140.67329459899"/>
    <n v="-95.41597845337679"/>
    <n v="27.05209330267321"/>
    <n v="-48.4686973807956"/>
    <n v="3428.865855376253"/>
    <n v="2292.64280378311"/>
    <n v="1302.318506484014"/>
    <n v="558.2837033854503"/>
    <n v="-606.8756917251022"/>
    <n v="-1604.557225559941"/>
    <n v="-3481.074286368229"/>
    <n v="-7876.776503278839"/>
    <n v="955.0056500721524"/>
    <n v="477.3013333208979"/>
    <n v="190.868334186635"/>
    <n v="95.42515130435447"/>
    <n v="-95.40664901633136"/>
    <n v="-190.7943268645994"/>
    <n v="-476.8388686164712"/>
    <n v="-953.1570095904101"/>
  </r>
  <r>
    <x v="0"/>
    <x v="0"/>
    <x v="0"/>
    <x v="1"/>
    <x v="0"/>
    <x v="4"/>
    <x v="5"/>
    <x v="2"/>
    <x v="0"/>
    <n v="0.379359911885529"/>
    <x v="1"/>
    <n v="27.84597683072775"/>
    <n v="835.3793049218325"/>
    <x v="0"/>
    <x v="0"/>
    <n v="297.0708670258043"/>
    <n v="1.589922866296527"/>
    <n v="-0.4226593414310972"/>
    <n v="0.5163217072234344"/>
    <n v="8912.126010774129"/>
    <n v="47.69768598889583"/>
    <n v="-12.67978024293292"/>
    <n v="15.48965121670303"/>
    <n v="-795.5867886229154"/>
    <n v="-599.9670880093594"/>
    <n v="-367.8079060607888"/>
    <n v="-165.3773007493166"/>
    <n v="191.5736709811745"/>
    <n v="530.6339691570889"/>
    <n v="1238.863612006672"/>
    <n v="3178.10405652907"/>
    <n v="-438.8183066560651"/>
    <n v="-230.1194291699824"/>
    <n v="-94.15032159314194"/>
    <n v="-47.39361016567045"/>
    <n v="47.98825293971959"/>
    <n v="96.5322268267812"/>
    <n v="245.153210688544"/>
    <n v="501.1074826577681"/>
  </r>
  <r>
    <x v="0"/>
    <x v="0"/>
    <x v="0"/>
    <x v="1"/>
    <x v="0"/>
    <x v="0"/>
    <x v="1"/>
    <x v="1"/>
    <x v="0"/>
    <n v="0.5324774237538278"/>
    <x v="1"/>
    <n v="34.15839326892504"/>
    <n v="853.9598317231259"/>
    <x v="0"/>
    <x v="0"/>
    <n v="-230.2047827201964"/>
    <n v="1.383324887036943"/>
    <n v="-0.5307820456150451"/>
    <n v="-0.5069978717599591"/>
    <n v="-5755.11956800491"/>
    <n v="34.58312217592357"/>
    <n v="-13.26955114037613"/>
    <n v="-12.67494679399898"/>
    <n v="2024.871971013008"/>
    <n v="770.3456286987126"/>
    <n v="333.2708328669135"/>
    <n v="122.0779546069835"/>
    <n v="-108.5290758671178"/>
    <n v="-248.504855576914"/>
    <n v="-430.1725270547699"/>
    <n v="-653.025647909039"/>
    <n v="-327.9207210400778"/>
    <n v="-168.8298287896771"/>
    <n v="-68.54573833376918"/>
    <n v="-34.43060190740965"/>
    <n v="34.73065409289831"/>
    <n v="69.74682020925371"/>
    <n v="176.3749261972514"/>
    <n v="358.6564554352855"/>
  </r>
  <r>
    <x v="0"/>
    <x v="0"/>
    <x v="0"/>
    <x v="1"/>
    <x v="0"/>
    <x v="5"/>
    <x v="2"/>
    <x v="2"/>
    <x v="0"/>
    <n v="0.4707529337342356"/>
    <x v="1"/>
    <n v="142.9252543119297"/>
    <n v="-2858.505086238595"/>
    <x v="2"/>
    <x v="0"/>
    <n v="777.5574309254451"/>
    <n v="1.643732645535802"/>
    <n v="-0.5292285611303261"/>
    <n v="1.217102804464276"/>
    <n v="-15551.1486185089"/>
    <n v="-32.87465291071604"/>
    <n v="10.58457122260652"/>
    <n v="-24.34205608928552"/>
    <n v="2244.039308065443"/>
    <n v="1352.44775848414"/>
    <n v="729.3329902423352"/>
    <n v="303.5634338179557"/>
    <n v="-318.1257744562504"/>
    <n v="-820.2447838845046"/>
    <n v="-1714.528174810903"/>
    <n v="-3662.145503205297"/>
    <n v="320.3075776232345"/>
    <n v="162.5075973466619"/>
    <n v="65.47053792120096"/>
    <n v="32.80647841607788"/>
    <n v="-32.93996235015811"/>
    <n v="-66.00512847699974"/>
    <n v="-165.8776780912399"/>
    <n v="-334.2148226110567"/>
  </r>
  <r>
    <x v="0"/>
    <x v="0"/>
    <x v="0"/>
    <x v="1"/>
    <x v="0"/>
    <x v="2"/>
    <x v="3"/>
    <x v="1"/>
    <x v="1"/>
    <n v="0.3589510978465105"/>
    <x v="2"/>
    <n v="104.7759448502605"/>
    <n v="-5238.797242513027"/>
    <x v="0"/>
    <x v="0"/>
    <n v="-497.4402612530578"/>
    <n v="2.871527448255475"/>
    <n v="-0.3226133366266605"/>
    <n v="-2.656350936510528"/>
    <n v="24872.01306265289"/>
    <n v="-143.5763724127738"/>
    <n v="16.13066683133302"/>
    <n v="132.8175468255264"/>
    <n v="-6855.141638984822"/>
    <n v="-2956.543834145515"/>
    <n v="-1359.353964850982"/>
    <n v="-515.7443169732971"/>
    <n v="479.4889766350479"/>
    <n v="1133.313060123979"/>
    <n v="2060.286528549619"/>
    <n v="3394.681906969058"/>
    <n v="1438.320661734122"/>
    <n v="718.5547177219007"/>
    <n v="287.2636006769795"/>
    <n v="143.6043519789024"/>
    <n v="-143.5478629535794"/>
    <n v="-287.0376496702846"/>
    <n v="-717.1427494943742"/>
    <n v="-1432.676176771983"/>
  </r>
  <r>
    <x v="0"/>
    <x v="0"/>
    <x v="0"/>
    <x v="1"/>
    <x v="0"/>
    <x v="6"/>
    <x v="4"/>
    <x v="2"/>
    <x v="1"/>
    <n v="0.3956107821031494"/>
    <x v="2"/>
    <n v="145.0637636331924"/>
    <n v="2901.275272663847"/>
    <x v="0"/>
    <x v="0"/>
    <n v="697.8230908756541"/>
    <n v="2.70915382462463"/>
    <n v="-0.3173272250433948"/>
    <n v="2.438198676329763"/>
    <n v="13956.46181751308"/>
    <n v="54.18307649249259"/>
    <n v="-6.346544500867896"/>
    <n v="48.76397352659527"/>
    <n v="-2095.91875912354"/>
    <n v="-1229.310004276493"/>
    <n v="-657.5431737249517"/>
    <n v="-272.8227845252422"/>
    <n v="285.2401046989212"/>
    <n v="735.0621248053767"/>
    <n v="1538.083497783655"/>
    <n v="3308.71854277611"/>
    <n v="-538.204670172745"/>
    <n v="-270.189066329558"/>
    <n v="-108.2638993615933"/>
    <n v="-54.15856839098296"/>
    <n v="54.20561240159941"/>
    <n v="108.4526031371956"/>
    <n v="271.3918918088234"/>
    <n v="543.3711875931431"/>
  </r>
  <r>
    <x v="0"/>
    <x v="0"/>
    <x v="0"/>
    <x v="1"/>
    <x v="0"/>
    <x v="0"/>
    <x v="6"/>
    <x v="1"/>
    <x v="1"/>
    <n v="0.5183581634691705"/>
    <x v="2"/>
    <n v="59.77348106043328"/>
    <n v="1494.337026510832"/>
    <x v="1"/>
    <x v="0"/>
    <n v="-249.6786401546188"/>
    <n v="2.193458172418087"/>
    <n v="-0.3540684537438659"/>
    <n v="-1.364980589469134"/>
    <n v="-6241.966003865469"/>
    <n v="54.83645431045217"/>
    <n v="-8.851711343596646"/>
    <n v="-34.12451473672834"/>
    <n v="1832.956016451997"/>
    <n v="757.1030407057229"/>
    <n v="343.6806669051656"/>
    <n v="129.7375896293055"/>
    <n v="-120.1428316385325"/>
    <n v="-283.6648032842589"/>
    <n v="-516.3663331983422"/>
    <n v="-860.5709341434463"/>
    <n v="-529.0347768096879"/>
    <n v="-269.8534300989998"/>
    <n v="-109.0223124334535"/>
    <n v="-54.67708023120039"/>
    <n v="54.98958696090455"/>
    <n v="110.2735357241748"/>
    <n v="277.7262085839005"/>
    <n v="561.2946720981064"/>
  </r>
  <r>
    <x v="0"/>
    <x v="0"/>
    <x v="0"/>
    <x v="1"/>
    <x v="0"/>
    <x v="0"/>
    <x v="6"/>
    <x v="1"/>
    <x v="1"/>
    <n v="0.5183581634691705"/>
    <x v="2"/>
    <n v="59.77348106043328"/>
    <n v="1494.337026510832"/>
    <x v="0"/>
    <x v="0"/>
    <n v="-249.6786401546188"/>
    <n v="2.193458172418087"/>
    <n v="-0.3540684537438659"/>
    <n v="-1.364980589469134"/>
    <n v="-6241.966003865469"/>
    <n v="54.83645431045217"/>
    <n v="-8.851711343596646"/>
    <n v="-34.12451473672834"/>
    <n v="1832.956016451997"/>
    <n v="757.1030407057229"/>
    <n v="343.6806669051656"/>
    <n v="129.7375896293055"/>
    <n v="-120.1428316385325"/>
    <n v="-283.6648032842589"/>
    <n v="-516.3663331983422"/>
    <n v="-860.5709341434463"/>
    <n v="-529.0347768096879"/>
    <n v="-269.8534300989998"/>
    <n v="-109.0223124334535"/>
    <n v="-54.67708023120039"/>
    <n v="54.98958696090455"/>
    <n v="110.2735357241748"/>
    <n v="277.7262085839005"/>
    <n v="561.2946720981064"/>
  </r>
  <r>
    <x v="0"/>
    <x v="0"/>
    <x v="0"/>
    <x v="1"/>
    <x v="0"/>
    <x v="7"/>
    <x v="7"/>
    <x v="2"/>
    <x v="1"/>
    <n v="0.3296965043050946"/>
    <x v="2"/>
    <n v="27.25662556687024"/>
    <n v="1362.831278343512"/>
    <x v="0"/>
    <x v="0"/>
    <n v="240.2186814046144"/>
    <n v="2.145922457034433"/>
    <n v="-0.2153106675838806"/>
    <n v="0.9393668764349812"/>
    <n v="12010.93407023072"/>
    <n v="107.2961228517216"/>
    <n v="-10.76553337919403"/>
    <n v="46.96834382174906"/>
    <n v="-1233.350553466066"/>
    <n v="-867.7440453481154"/>
    <n v="-512.5052616977357"/>
    <n v="-225.7189897037833"/>
    <n v="255.214129109217"/>
    <n v="696.3043264795772"/>
    <n v="1595.322529037813"/>
    <n v="4031.880188957186"/>
    <n v="-913.8035375807625"/>
    <n v="-501.4479553003952"/>
    <n v="-209.3828129948619"/>
    <n v="-106.0243396311321"/>
    <n v="108.5101306141851"/>
    <n v="219.3391298627418"/>
    <n v="564.2492020442631"/>
    <n v="1173.087351953149"/>
  </r>
  <r>
    <x v="0"/>
    <x v="0"/>
    <x v="0"/>
    <x v="1"/>
    <x v="0"/>
    <x v="7"/>
    <x v="8"/>
    <x v="2"/>
    <x v="1"/>
    <n v="0.3283081874014362"/>
    <x v="2"/>
    <n v="32.68830311692281"/>
    <n v="1634.415155846141"/>
    <x v="0"/>
    <x v="0"/>
    <n v="277.5694022465324"/>
    <n v="2.323268067113874"/>
    <n v="-0.2317325629961187"/>
    <n v="1.080160464653894"/>
    <n v="13878.47011232662"/>
    <n v="116.1634033556937"/>
    <n v="-11.58662814980594"/>
    <n v="54.00802323269471"/>
    <n v="-1467.006077286103"/>
    <n v="-1019.635084065894"/>
    <n v="-597.4234888200683"/>
    <n v="-261.753289721868"/>
    <n v="293.818969192337"/>
    <n v="797.1735166514791"/>
    <n v="1809.41027071248"/>
    <n v="4490.675187441049"/>
    <n v="-1026.112793072679"/>
    <n v="-551.5239544553481"/>
    <n v="-228.0060583325678"/>
    <n v="-115.1110697197211"/>
    <n v="117.1635994096832"/>
    <n v="236.2299369789937"/>
    <n v="603.5284012491716"/>
    <n v="1242.927899499885"/>
  </r>
  <r>
    <x v="0"/>
    <x v="0"/>
    <x v="0"/>
    <x v="1"/>
    <x v="0"/>
    <x v="8"/>
    <x v="5"/>
    <x v="2"/>
    <x v="1"/>
    <n v="0.3293213367633642"/>
    <x v="2"/>
    <n v="47.6618300998731"/>
    <n v="-1429.854902996193"/>
    <x v="0"/>
    <x v="0"/>
    <n v="368.1581996282611"/>
    <n v="2.646297677651333"/>
    <n v="-0.2636447051472841"/>
    <n v="1.413696314906041"/>
    <n v="-11044.74598884783"/>
    <n v="-79.38893032953999"/>
    <n v="7.909341154418524"/>
    <n v="-42.41088944718122"/>
    <n v="1252.884624748891"/>
    <n v="844.2455560058767"/>
    <n v="485.2618423408435"/>
    <n v="210.038824245251"/>
    <n v="-231.8843987103725"/>
    <n v="-621.2980476051678"/>
    <n v="-1381.408823408102"/>
    <n v="-3298.219360694529"/>
    <n v="748.8831704760114"/>
    <n v="387.5326257256847"/>
    <n v="157.4101209120948"/>
    <n v="79.05727755759074"/>
    <n v="-79.70159358643912"/>
    <n v="-159.9933767232091"/>
    <n v="-403.9440940867649"/>
    <n v="-818.5682531874636"/>
  </r>
  <r>
    <x v="0"/>
    <x v="0"/>
    <x v="0"/>
    <x v="1"/>
    <x v="0"/>
    <x v="8"/>
    <x v="2"/>
    <x v="1"/>
    <x v="1"/>
    <n v="0.4203620087394941"/>
    <x v="2"/>
    <n v="73.94641992027641"/>
    <n v="-2218.392597608292"/>
    <x v="2"/>
    <x v="0"/>
    <n v="-348.2059934890927"/>
    <n v="2.587449935252132"/>
    <n v="-0.3395154152138755"/>
    <n v="-1.862096946819409"/>
    <n v="10446.17980467278"/>
    <n v="-77.62349805756395"/>
    <n v="10.18546245641627"/>
    <n v="55.86290840458227"/>
    <n v="-3055.500405437306"/>
    <n v="-1271.767201893771"/>
    <n v="-576.934230997789"/>
    <n v="-217.4450725864091"/>
    <n v="200.7012806115915"/>
    <n v="472.3406657530256"/>
    <n v="854.2261906758552"/>
    <n v="1401.312778778269"/>
    <n v="764.8294275534067"/>
    <n v="385.7084360051425"/>
    <n v="154.8963121022285"/>
    <n v="77.53846914675819"/>
    <n v="-77.70357500379816"/>
    <n v="-155.558007384368"/>
    <n v="-389.9003471301012"/>
    <n v="-782.4418521525075"/>
  </r>
  <r>
    <x v="0"/>
    <x v="0"/>
    <x v="0"/>
    <x v="1"/>
    <x v="0"/>
    <x v="2"/>
    <x v="3"/>
    <x v="2"/>
    <x v="1"/>
    <n v="0.3589510978465105"/>
    <x v="2"/>
    <n v="102.3685718099392"/>
    <n v="-5118.428590496961"/>
    <x v="0"/>
    <x v="0"/>
    <n v="592.8983079912356"/>
    <n v="2.871527448255475"/>
    <n v="-0.3077761249811354"/>
    <n v="2.163706507539417"/>
    <n v="-29644.91539956178"/>
    <n v="-143.5763724127738"/>
    <n v="15.38880624905677"/>
    <n v="-108.1853253769709"/>
    <n v="4048.244053458123"/>
    <n v="2495.149012075956"/>
    <n v="1366.492458259759"/>
    <n v="574.5942522709981"/>
    <n v="-610.849592609236"/>
    <n v="-1592.533362986751"/>
    <n v="-3391.40631767184"/>
    <n v="-7508.703785473876"/>
    <n v="1438.320661734122"/>
    <n v="718.5547177219036"/>
    <n v="287.2636006769852"/>
    <n v="143.6043519789052"/>
    <n v="-143.5478629535766"/>
    <n v="-287.0376496702789"/>
    <n v="-717.1427494943799"/>
    <n v="-1432.676176771986"/>
  </r>
  <r>
    <x v="0"/>
    <x v="0"/>
    <x v="0"/>
    <x v="1"/>
    <x v="0"/>
    <x v="5"/>
    <x v="4"/>
    <x v="1"/>
    <x v="1"/>
    <n v="0.3956107821031494"/>
    <x v="2"/>
    <n v="81.90638013643689"/>
    <n v="-1638.127602728738"/>
    <x v="0"/>
    <x v="0"/>
    <n v="-392.5154783686393"/>
    <n v="2.70915382462463"/>
    <n v="-0.3348588787383888"/>
    <n v="-2.092655321077186"/>
    <n v="7850.309567372786"/>
    <n v="-54.18307649249259"/>
    <n v="6.697177574767776"/>
    <n v="41.85310642154371"/>
    <n v="-2265.435517853635"/>
    <n v="-951.3671342120927"/>
    <n v="-432.7953955193414"/>
    <n v="-163.3126431724759"/>
    <n v="150.8953229987924"/>
    <n v="355.2764444389163"/>
    <n v="642.5936407049312"/>
    <n v="1052.635734201062"/>
    <n v="538.2046701727484"/>
    <n v="270.189066329558"/>
    <n v="108.2638993615933"/>
    <n v="54.15856839098296"/>
    <n v="-54.20561240159941"/>
    <n v="-108.4526031371934"/>
    <n v="-271.3918918088223"/>
    <n v="-543.3711875931431"/>
  </r>
  <r>
    <x v="0"/>
    <x v="0"/>
    <x v="0"/>
    <x v="1"/>
    <x v="0"/>
    <x v="5"/>
    <x v="4"/>
    <x v="2"/>
    <x v="1"/>
    <n v="0.3956107821031494"/>
    <x v="2"/>
    <n v="145.0637636331924"/>
    <n v="-2901.275272663847"/>
    <x v="3"/>
    <x v="0"/>
    <n v="697.8230908756541"/>
    <n v="2.70915382462463"/>
    <n v="-0.3173272250433948"/>
    <n v="2.438198676329763"/>
    <n v="-13956.46181751308"/>
    <n v="-54.18307649249259"/>
    <n v="6.346544500867896"/>
    <n v="-48.76397352659527"/>
    <n v="2095.91875912354"/>
    <n v="1229.310004276493"/>
    <n v="657.5431737249517"/>
    <n v="272.8227845252422"/>
    <n v="-285.2401046989212"/>
    <n v="-735.0621248053767"/>
    <n v="-1538.083497783655"/>
    <n v="-3308.71854277611"/>
    <n v="538.204670172745"/>
    <n v="270.189066329558"/>
    <n v="108.2638993615933"/>
    <n v="54.15856839098296"/>
    <n v="-54.20561240159941"/>
    <n v="-108.4526031371956"/>
    <n v="-271.3918918088234"/>
    <n v="-543.3711875931431"/>
  </r>
  <r>
    <x v="0"/>
    <x v="0"/>
    <x v="0"/>
    <x v="1"/>
    <x v="0"/>
    <x v="2"/>
    <x v="3"/>
    <x v="1"/>
    <x v="2"/>
    <n v="0.3291774650795283"/>
    <x v="3"/>
    <n v="119.0565342707733"/>
    <n v="-5952.826713538664"/>
    <x v="0"/>
    <x v="0"/>
    <n v="-486.1571239085741"/>
    <n v="3.565862866956633"/>
    <n v="-0.2305188158877784"/>
    <n v="-4.178461420854673"/>
    <n v="24307.8561954287"/>
    <n v="-178.2931433478316"/>
    <n v="11.52594079438892"/>
    <n v="208.9230710427337"/>
    <n v="-6516.766495236973"/>
    <n v="-2838.609511426691"/>
    <n v="-1315.653947733924"/>
    <n v="-501.9964942874111"/>
    <n v="470.6263675361271"/>
    <n v="1119.924151748125"/>
    <n v="2060.466032709633"/>
    <n v="3480.999454284594"/>
    <n v="1787.475574709771"/>
    <n v="892.6657457004296"/>
    <n v="356.7843985776932"/>
    <n v="178.3431789076474"/>
    <n v="-178.2420945395756"/>
    <n v="-356.3800687403187"/>
    <n v="-890.1390206327505"/>
    <n v="-1777.373630588292"/>
  </r>
  <r>
    <x v="0"/>
    <x v="0"/>
    <x v="0"/>
    <x v="1"/>
    <x v="0"/>
    <x v="2"/>
    <x v="5"/>
    <x v="2"/>
    <x v="2"/>
    <n v="0.299359911885529"/>
    <x v="3"/>
    <n v="59.68218208165382"/>
    <n v="-2984.109104082691"/>
    <x v="2"/>
    <x v="0"/>
    <n v="398.8308035706539"/>
    <n v="3.396455344156573"/>
    <n v="-0.1961454133486093"/>
    <n v="2.341519249732275"/>
    <n v="-19941.5401785327"/>
    <n v="-169.8227672078287"/>
    <n v="9.807270667430465"/>
    <n v="-117.0759624866138"/>
    <n v="2474.885283455837"/>
    <n v="1593.984090538335"/>
    <n v="895.340588072969"/>
    <n v="382.4459453915182"/>
    <n v="-415.2945819301522"/>
    <n v="-1100.057705460918"/>
    <n v="-2404.582663015572"/>
    <n v="-5591.922872264675"/>
    <n v="1614.286400993751"/>
    <n v="832.1777726390252"/>
    <n v="337.2276813811396"/>
    <n v="169.2396749065267"/>
    <n v="-170.3667932439657"/>
    <n v="-341.7500373536001"/>
    <n v="-861.0624028161112"/>
    <n v="-1739.449494691138"/>
  </r>
  <r>
    <x v="0"/>
    <x v="0"/>
    <x v="0"/>
    <x v="1"/>
    <x v="0"/>
    <x v="5"/>
    <x v="2"/>
    <x v="1"/>
    <x v="2"/>
    <n v="0.3907529337342356"/>
    <x v="3"/>
    <n v="91.1067158000829"/>
    <n v="-1822.134316001658"/>
    <x v="0"/>
    <x v="0"/>
    <n v="-355.0475720400593"/>
    <n v="3.253683838983344"/>
    <n v="-0.2503229297625993"/>
    <n v="-3.080298096868928"/>
    <n v="7100.951440801186"/>
    <n v="-65.07367677966688"/>
    <n v="5.006458595251986"/>
    <n v="61.60596193737855"/>
    <n v="-1972.071451965252"/>
    <n v="-839.9803053686082"/>
    <n v="-386.3808154202911"/>
    <n v="-146.9194448977885"/>
    <n v="137.2715108552586"/>
    <n v="326.0969268697852"/>
    <n v="599.0867927175259"/>
    <n v="1013.433576249857"/>
    <n v="643.7020194481374"/>
    <n v="323.9568521690444"/>
    <n v="129.9484001337976"/>
    <n v="65.025971540814"/>
    <n v="-65.11758295548702"/>
    <n v="-130.3158646501674"/>
    <n v="-326.298726159938"/>
    <n v="-653.7546459241537"/>
  </r>
  <r>
    <x v="0"/>
    <x v="0"/>
    <x v="0"/>
    <x v="1"/>
    <x v="0"/>
    <x v="2"/>
    <x v="9"/>
    <x v="1"/>
    <x v="2"/>
    <n v="0.3454346844247569"/>
    <x v="3"/>
    <n v="107.293390034258"/>
    <n v="-5364.669501712899"/>
    <x v="0"/>
    <x v="0"/>
    <n v="-438.0484602927332"/>
    <n v="3.491177886159346"/>
    <n v="-0.2371366702277448"/>
    <n v="-3.765099898147994"/>
    <n v="21902.42301463666"/>
    <n v="-174.5588943079673"/>
    <n v="11.85683351138724"/>
    <n v="188.2549949073997"/>
    <n v="-5974.100775480383"/>
    <n v="-2576.134387125501"/>
    <n v="-1189.284012108564"/>
    <n v="-452.8639254875628"/>
    <n v="423.5935145729457"/>
    <n v="1006.564741623967"/>
    <n v="1848.446060436984"/>
    <n v="3116.238977082202"/>
    <n v="1746.72735620384"/>
    <n v="873.2926944230229"/>
    <n v="349.2144363373484"/>
    <n v="174.584357746923"/>
    <n v="-174.5309647724923"/>
    <n v="-349.0013826405658"/>
    <n v="-871.9842358467645"/>
    <n v="-1741.852270774891"/>
  </r>
  <r>
    <x v="0"/>
    <x v="0"/>
    <x v="0"/>
    <x v="1"/>
    <x v="0"/>
    <x v="2"/>
    <x v="9"/>
    <x v="2"/>
    <x v="2"/>
    <n v="0.3454346844247569"/>
    <x v="3"/>
    <n v="138.0228660807181"/>
    <n v="-6901.143304035903"/>
    <x v="3"/>
    <x v="0"/>
    <n v="646.8668844026771"/>
    <n v="3.491177886159346"/>
    <n v="-0.2282324121659597"/>
    <n v="3.513114866222841"/>
    <n v="-32343.34422013385"/>
    <n v="-174.5588943079673"/>
    <n v="11.41162060829798"/>
    <n v="-175.6557433111421"/>
    <n v="4875.052671473718"/>
    <n v="2848.442336351545"/>
    <n v="1523.004349629957"/>
    <n v="632.0514192078463"/>
    <n v="-661.3218301224691"/>
    <n v="-1705.723620114557"/>
    <n v="-3576.130663040064"/>
    <n v="-7732.914469871909"/>
    <n v="1746.727356203834"/>
    <n v="873.2926944230172"/>
    <n v="349.2144363373455"/>
    <n v="174.5843577469202"/>
    <n v="-174.5309647724952"/>
    <n v="-349.0013826405658"/>
    <n v="-871.9842358467702"/>
    <n v="-1741.852270774899"/>
  </r>
  <r>
    <x v="1"/>
    <x v="1"/>
    <x v="1"/>
    <x v="0"/>
    <x v="1"/>
    <x v="6"/>
    <x v="0"/>
    <x v="0"/>
    <x v="0"/>
    <n v="0"/>
    <x v="0"/>
    <n v="2892.769107970997"/>
    <n v="57855.38215941993"/>
    <x v="0"/>
    <x v="0"/>
    <n v="2892.769107970997"/>
    <n v="0"/>
    <n v="0.1743586859598957"/>
    <n v="5.547776371451227"/>
    <n v="57855.38215941993"/>
    <n v="0"/>
    <n v="3.487173719197914"/>
    <n v="110.9555274290245"/>
    <n v="-11571.07643188398"/>
    <n v="-5785.538215941997"/>
    <n v="-2892.769107970998"/>
    <n v="-1157.107643188401"/>
    <n v="1157.107643188392"/>
    <n v="2892.769107970998"/>
    <n v="5785.538215941997"/>
    <n v="11571.07643188398"/>
    <n v="0"/>
    <n v="0"/>
    <n v="0"/>
    <n v="0"/>
    <n v="0"/>
    <n v="0"/>
    <n v="0"/>
    <n v="0"/>
  </r>
  <r>
    <x v="1"/>
    <x v="1"/>
    <x v="1"/>
    <x v="1"/>
    <x v="1"/>
    <x v="5"/>
    <x v="10"/>
    <x v="2"/>
    <x v="0"/>
    <n v="0.397567985636796"/>
    <x v="4"/>
    <n v="163.2721510824517"/>
    <n v="-3265.443021649035"/>
    <x v="1"/>
    <x v="0"/>
    <n v="1351.359799689"/>
    <n v="5.036755186288929"/>
    <n v="-1.420482234237848"/>
    <n v="2.2785242576016"/>
    <n v="-27027.19599378001"/>
    <n v="-100.7351037257786"/>
    <n v="28.40964468475695"/>
    <n v="-45.57048515203199"/>
    <n v="2966.993076283131"/>
    <n v="2049.335299587099"/>
    <n v="1185.912799293556"/>
    <n v="514.0562717112107"/>
    <n v="-566.847109837372"/>
    <n v="-1514.009320600167"/>
    <n v="-3336.00919873033"/>
    <n v="-7741.64278562941"/>
    <n v="1003.380030731714"/>
    <n v="502.8656973476109"/>
    <n v="201.3547311612456"/>
    <n v="100.7072978006045"/>
    <n v="-100.7609262865526"/>
    <n v="-201.5697898377766"/>
    <n v="-504.2340018831874"/>
    <n v="-1009.220415491368"/>
  </r>
  <r>
    <x v="1"/>
    <x v="1"/>
    <x v="1"/>
    <x v="1"/>
    <x v="1"/>
    <x v="8"/>
    <x v="11"/>
    <x v="2"/>
    <x v="0"/>
    <n v="0.4264333531544322"/>
    <x v="4"/>
    <n v="258.0918594055265"/>
    <n v="-7742.755782165796"/>
    <x v="0"/>
    <x v="0"/>
    <n v="1738.840409950007"/>
    <n v="4.890734023296609"/>
    <n v="-1.474138141866373"/>
    <n v="2.839791740770236"/>
    <n v="-52165.2122985002"/>
    <n v="-146.7220206988983"/>
    <n v="44.22414425599118"/>
    <n v="-85.19375222310708"/>
    <n v="6627.301013296097"/>
    <n v="4267.669875888141"/>
    <n v="2376.220549393786"/>
    <n v="1006.881455102402"/>
    <n v="-1078.594729150689"/>
    <n v="-2822.806811831465"/>
    <n v="-6030.924675963595"/>
    <n v="-13319.58345712919"/>
    <n v="1462.655676308555"/>
    <n v="732.6796518232845"/>
    <n v="293.3117379748751"/>
    <n v="146.6902056442791"/>
    <n v="-146.7514696729631"/>
    <n v="-293.5573886866723"/>
    <n v="-734.241320022993"/>
    <n v="-1469.299154603423"/>
  </r>
  <r>
    <x v="1"/>
    <x v="1"/>
    <x v="1"/>
    <x v="1"/>
    <x v="1"/>
    <x v="5"/>
    <x v="10"/>
    <x v="1"/>
    <x v="0"/>
    <n v="0.397567985636796"/>
    <x v="4"/>
    <n v="249.9058558650599"/>
    <n v="-4998.117117301199"/>
    <x v="0"/>
    <x v="0"/>
    <n v="-1541.409308281996"/>
    <n v="5.036755186288929"/>
    <n v="-1.415260476689307"/>
    <n v="-3.43539894493956"/>
    <n v="30828.18616563993"/>
    <n v="-100.7351037257786"/>
    <n v="28.30520953378614"/>
    <n v="68.7079788987912"/>
    <n v="-8604.083355600851"/>
    <n v="-3736.2029163549"/>
    <n v="-1706.856308677443"/>
    <n v="-643.0513714771905"/>
    <n v="590.2605333510201"/>
    <n v="1378.759787370832"/>
    <n v="2449.529017211664"/>
    <n v="3829.433646254574"/>
    <n v="1003.380030731714"/>
    <n v="502.8656973476109"/>
    <n v="201.3547311612456"/>
    <n v="100.7072978006045"/>
    <n v="-100.7609262865526"/>
    <n v="-201.5697898377766"/>
    <n v="-504.2340018831874"/>
    <n v="-1009.220415491368"/>
  </r>
  <r>
    <x v="1"/>
    <x v="1"/>
    <x v="1"/>
    <x v="1"/>
    <x v="1"/>
    <x v="3"/>
    <x v="12"/>
    <x v="1"/>
    <x v="0"/>
    <n v="0.5013932770789301"/>
    <x v="4"/>
    <n v="102.9870956303946"/>
    <n v="-2574.677390759865"/>
    <x v="0"/>
    <x v="0"/>
    <n v="-706.5670107914634"/>
    <n v="3.975902152119903"/>
    <n v="-1.41771442247423"/>
    <n v="-1.552569519165207"/>
    <n v="17664.17526978658"/>
    <n v="-99.39755380299758"/>
    <n v="35.44286056185576"/>
    <n v="38.81423797913017"/>
    <n v="-6111.924969837708"/>
    <n v="-2353.27079652348"/>
    <n v="-1021.331302021824"/>
    <n v="-374.5299383310964"/>
    <n v="333.1812776737365"/>
    <n v="762.8790197140916"/>
    <n v="1319.470577297618"/>
    <n v="1996.090095624956"/>
    <n v="954.1928950076027"/>
    <n v="488.0365124216212"/>
    <n v="197.4453536292884"/>
    <n v="99.06652130011935"/>
    <n v="-99.71640558119361"/>
    <n v="-200.0473370486446"/>
    <n v="-504.4065525642594"/>
    <n v="-1021.24658207523"/>
  </r>
  <r>
    <x v="1"/>
    <x v="1"/>
    <x v="1"/>
    <x v="1"/>
    <x v="1"/>
    <x v="2"/>
    <x v="13"/>
    <x v="2"/>
    <x v="0"/>
    <n v="0.3887081478333821"/>
    <x v="4"/>
    <n v="127.1088324316245"/>
    <n v="-6355.441621581223"/>
    <x v="1"/>
    <x v="0"/>
    <n v="1153.454129131488"/>
    <n v="4.890201144516139"/>
    <n v="-1.350096523871846"/>
    <n v="1.968333445725766"/>
    <n v="-57672.70645657439"/>
    <n v="-244.5100572258069"/>
    <n v="67.50482619359229"/>
    <n v="-98.41667228628828"/>
    <n v="5891.71907732506"/>
    <n v="4202.244268133015"/>
    <n v="2480.09601909194"/>
    <n v="1088.153327862807"/>
    <n v="-1219.19972018776"/>
    <n v="-3294.195597521093"/>
    <n v="-7390.266161341833"/>
    <n v="-17675.10561525322"/>
    <n v="2398.393479320981"/>
    <n v="1212.614066726474"/>
    <n v="487.5637713637559"/>
    <n v="244.1560007949533"/>
    <n v="-244.8454612505884"/>
    <n v="-490.3269790267132"/>
    <n v="-1230.122160500252"/>
    <n v="-2472.02513579166"/>
  </r>
  <r>
    <x v="1"/>
    <x v="1"/>
    <x v="1"/>
    <x v="1"/>
    <x v="1"/>
    <x v="0"/>
    <x v="14"/>
    <x v="1"/>
    <x v="0"/>
    <n v="0.5342736088202618"/>
    <x v="4"/>
    <n v="89.55879870566866"/>
    <n v="2238.969967641717"/>
    <x v="0"/>
    <x v="0"/>
    <n v="-602.8210787168928"/>
    <n v="3.634487994435524"/>
    <n v="-1.381609804706897"/>
    <n v="-1.327851819714501"/>
    <n v="-15070.52696792232"/>
    <n v="90.8621998608881"/>
    <n v="-34.54024511767241"/>
    <n v="-33.19629549286253"/>
    <n v="5305.968568465702"/>
    <n v="2017.542985845688"/>
    <n v="872.7396052631946"/>
    <n v="319.6779757023108"/>
    <n v="-284.1996094245616"/>
    <n v="-650.7659498686394"/>
    <n v="-1126.599919137004"/>
    <n v="-1710.667526516938"/>
    <n v="-861.022148980669"/>
    <n v="-443.4447500099367"/>
    <n v="-180.0735388957037"/>
    <n v="-90.45637191183573"/>
    <n v="91.25484084162849"/>
    <n v="183.2697042721719"/>
    <n v="463.521301452559"/>
    <n v="942.7838093979716"/>
  </r>
  <r>
    <x v="1"/>
    <x v="1"/>
    <x v="1"/>
    <x v="1"/>
    <x v="1"/>
    <x v="5"/>
    <x v="10"/>
    <x v="1"/>
    <x v="0"/>
    <n v="0.397567985636796"/>
    <x v="4"/>
    <n v="249.9058558650599"/>
    <n v="-4998.117117301199"/>
    <x v="0"/>
    <x v="0"/>
    <n v="-1541.409308281996"/>
    <n v="5.036755186288929"/>
    <n v="-1.415260476689307"/>
    <n v="-3.43539894493956"/>
    <n v="30828.18616563993"/>
    <n v="-100.7351037257786"/>
    <n v="28.30520953378614"/>
    <n v="68.7079788987912"/>
    <n v="-8604.083355600851"/>
    <n v="-3736.2029163549"/>
    <n v="-1706.856308677443"/>
    <n v="-643.0513714771905"/>
    <n v="590.2605333510201"/>
    <n v="1378.759787370832"/>
    <n v="2449.529017211664"/>
    <n v="3829.433646254574"/>
    <n v="1003.380030731714"/>
    <n v="502.8656973476109"/>
    <n v="201.3547311612456"/>
    <n v="100.7072978006045"/>
    <n v="-100.7609262865526"/>
    <n v="-201.5697898377766"/>
    <n v="-504.2340018831874"/>
    <n v="-1009.220415491368"/>
  </r>
  <r>
    <x v="1"/>
    <x v="1"/>
    <x v="1"/>
    <x v="1"/>
    <x v="1"/>
    <x v="9"/>
    <x v="12"/>
    <x v="1"/>
    <x v="0"/>
    <n v="0.5013932770789301"/>
    <x v="4"/>
    <n v="102.9870956303946"/>
    <n v="-1029.870956303946"/>
    <x v="4"/>
    <x v="0"/>
    <n v="-706.5670107914634"/>
    <n v="3.975902152119903"/>
    <n v="-1.41771442247423"/>
    <n v="-1.552569519165207"/>
    <n v="7065.670107914634"/>
    <n v="-39.75902152119903"/>
    <n v="14.1771442247423"/>
    <n v="15.52569519165207"/>
    <n v="-2444.769987935083"/>
    <n v="-941.3083186093922"/>
    <n v="-408.5325208087295"/>
    <n v="-149.8119753324386"/>
    <n v="133.2725110694946"/>
    <n v="305.1516078856366"/>
    <n v="527.7882309190471"/>
    <n v="798.4360382499824"/>
    <n v="381.6771580030411"/>
    <n v="195.2146049686485"/>
    <n v="78.97814145171537"/>
    <n v="39.62660852004774"/>
    <n v="-39.88656223247744"/>
    <n v="-80.01893481945785"/>
    <n v="-201.7626210257038"/>
    <n v="-408.498632830092"/>
  </r>
  <r>
    <x v="1"/>
    <x v="1"/>
    <x v="1"/>
    <x v="1"/>
    <x v="1"/>
    <x v="9"/>
    <x v="13"/>
    <x v="2"/>
    <x v="0"/>
    <n v="0.3887081478333821"/>
    <x v="4"/>
    <n v="127.1088324316245"/>
    <n v="-1271.088324316245"/>
    <x v="0"/>
    <x v="0"/>
    <n v="1153.454129131488"/>
    <n v="4.890201144516139"/>
    <n v="-1.350096523871846"/>
    <n v="1.968333445725766"/>
    <n v="-11534.54129131488"/>
    <n v="-48.90201144516139"/>
    <n v="13.50096523871846"/>
    <n v="-19.68333445725765"/>
    <n v="1178.343815465012"/>
    <n v="840.448853626603"/>
    <n v="496.019203818388"/>
    <n v="217.6306655725614"/>
    <n v="-243.839944037552"/>
    <n v="-658.8391195042186"/>
    <n v="-1478.053232268367"/>
    <n v="-3535.021123050644"/>
    <n v="479.6786958641962"/>
    <n v="242.5228133452947"/>
    <n v="97.51275427275118"/>
    <n v="48.83120015899067"/>
    <n v="-48.96909225011768"/>
    <n v="-98.06539580534263"/>
    <n v="-246.0244321000505"/>
    <n v="-494.4050271583319"/>
  </r>
  <r>
    <x v="1"/>
    <x v="1"/>
    <x v="1"/>
    <x v="1"/>
    <x v="1"/>
    <x v="3"/>
    <x v="15"/>
    <x v="2"/>
    <x v="0"/>
    <n v="0.3828791483403539"/>
    <x v="4"/>
    <n v="97.94602408010473"/>
    <n v="-2448.650602002618"/>
    <x v="0"/>
    <x v="0"/>
    <n v="965.7821466885724"/>
    <n v="4.609043208448927"/>
    <n v="-1.254601074252918"/>
    <n v="1.664343248838158"/>
    <n v="-24144.55366721431"/>
    <n v="-115.2260802112232"/>
    <n v="31.36502685632296"/>
    <n v="-41.60858122095394"/>
    <n v="2304.438118585926"/>
    <n v="1691.703179403244"/>
    <n v="1017.555664311791"/>
    <n v="451.8690977358631"/>
    <n v="-514.5654229862657"/>
    <n v="-1407.051349785326"/>
    <n v="-3217.196260077372"/>
    <n v="-7951.632024007909"/>
    <n v="1101.309446901081"/>
    <n v="565.1388842257234"/>
    <n v="228.8294620464541"/>
    <n v="114.8306784653016"/>
    <n v="-115.6023140238375"/>
    <n v="-231.921279702874"/>
    <n v="-584.696207135832"/>
    <n v="-1183.031477382551"/>
  </r>
  <r>
    <x v="1"/>
    <x v="1"/>
    <x v="1"/>
    <x v="1"/>
    <x v="1"/>
    <x v="7"/>
    <x v="16"/>
    <x v="2"/>
    <x v="0"/>
    <n v="0.3794932506655077"/>
    <x v="4"/>
    <n v="74.71266074554023"/>
    <n v="3735.633037277012"/>
    <x v="2"/>
    <x v="0"/>
    <n v="793.7712534527068"/>
    <n v="4.222473967277715"/>
    <n v="-1.140068465199361"/>
    <n v="1.379016479164429"/>
    <n v="39688.56267263534"/>
    <n v="211.1236983638858"/>
    <n v="-57.00342325996807"/>
    <n v="68.95082395822146"/>
    <n v="-3555.657981854482"/>
    <n v="-2677.645225348971"/>
    <n v="-1639.844881250204"/>
    <n v="-736.8230148360738"/>
    <n v="852.7340459374102"/>
    <n v="2360.271475454647"/>
    <n v="5504.042881084331"/>
    <n v="14089.82042243709"/>
    <n v="-1946.966382013602"/>
    <n v="-1019.627139555848"/>
    <n v="-416.8954914685685"/>
    <n v="-209.8167952905101"/>
    <n v="212.3722233213471"/>
    <n v="427.1317268654627"/>
    <n v="1084.243588144608"/>
    <n v="2214.831085134301"/>
  </r>
  <r>
    <x v="1"/>
    <x v="1"/>
    <x v="1"/>
    <x v="1"/>
    <x v="1"/>
    <x v="5"/>
    <x v="13"/>
    <x v="1"/>
    <x v="0"/>
    <n v="0.3887081478333821"/>
    <x v="4"/>
    <n v="300.3762419968405"/>
    <n v="-6007.524839936809"/>
    <x v="0"/>
    <x v="0"/>
    <n v="-1739.314978839509"/>
    <n v="4.890201144516139"/>
    <n v="-1.339653008774764"/>
    <n v="-3.911736587905327"/>
    <n v="34786.29957679017"/>
    <n v="-97.80402289032278"/>
    <n v="26.79306017549528"/>
    <n v="78.23473175810653"/>
    <n v="-9214.388800953962"/>
    <n v="-4104.640508688794"/>
    <n v="-1900.73070033422"/>
    <n v="-721.8463120432762"/>
    <n v="669.4277551132882"/>
    <n v="1575.090868962561"/>
    <n v="2829.431751405264"/>
    <n v="4501.034185782699"/>
    <n v="959.3573917283948"/>
    <n v="485.0456266905849"/>
    <n v="195.0255085455046"/>
    <n v="97.66240031798134"/>
    <n v="-97.93818450023537"/>
    <n v="-196.1307916106853"/>
    <n v="-492.048864200101"/>
    <n v="-988.8100543166638"/>
  </r>
  <r>
    <x v="1"/>
    <x v="1"/>
    <x v="1"/>
    <x v="1"/>
    <x v="1"/>
    <x v="7"/>
    <x v="14"/>
    <x v="1"/>
    <x v="0"/>
    <n v="0.5342736088202618"/>
    <x v="4"/>
    <n v="89.55879870566866"/>
    <n v="4477.939935283433"/>
    <x v="0"/>
    <x v="0"/>
    <n v="-602.8210787168928"/>
    <n v="3.634487994435524"/>
    <n v="-1.381609804706897"/>
    <n v="-1.327851819714501"/>
    <n v="-30141.05393584464"/>
    <n v="181.7243997217762"/>
    <n v="-69.08049023534483"/>
    <n v="-66.39259098572506"/>
    <n v="10611.9371369314"/>
    <n v="4035.085971691376"/>
    <n v="1745.479210526389"/>
    <n v="639.3559514046217"/>
    <n v="-568.3992188491231"/>
    <n v="-1301.531899737279"/>
    <n v="-2253.199838274008"/>
    <n v="-3421.335053033876"/>
    <n v="-1722.044297961338"/>
    <n v="-886.8895000198734"/>
    <n v="-360.1470777914074"/>
    <n v="-180.9127438236715"/>
    <n v="182.509681683257"/>
    <n v="366.5394085443438"/>
    <n v="927.042602905118"/>
    <n v="1885.567618795943"/>
  </r>
  <r>
    <x v="1"/>
    <x v="1"/>
    <x v="1"/>
    <x v="1"/>
    <x v="1"/>
    <x v="10"/>
    <x v="14"/>
    <x v="1"/>
    <x v="1"/>
    <n v="0.4847081369456674"/>
    <x v="5"/>
    <n v="166.0285393978918"/>
    <n v="1660.285393978918"/>
    <x v="1"/>
    <x v="0"/>
    <n v="-725.6525306090011"/>
    <n v="6.100428874593145"/>
    <n v="-0.9058503088317829"/>
    <n v="-3.933168555372871"/>
    <n v="-7256.525306090011"/>
    <n v="61.00428874593145"/>
    <n v="-9.058503088317828"/>
    <n v="-39.33168555372871"/>
    <n v="2138.776965320931"/>
    <n v="883.1233929107566"/>
    <n v="400.3364168519772"/>
    <n v="150.9545310273859"/>
    <n v="-139.5402520249809"/>
    <n v="-328.9619738179306"/>
    <n v="-597.1523844902129"/>
    <n v="-989.1364362443318"/>
    <n v="-591.6268800357432"/>
    <n v="-300.9521160218037"/>
    <n v="-121.4013183906218"/>
    <n v="-60.8558642786079"/>
    <n v="61.1462854221179"/>
    <n v="122.5643659870366"/>
    <n v="308.2812284344413"/>
    <n v="621.8266931802634"/>
  </r>
  <r>
    <x v="1"/>
    <x v="1"/>
    <x v="1"/>
    <x v="1"/>
    <x v="1"/>
    <x v="5"/>
    <x v="16"/>
    <x v="2"/>
    <x v="1"/>
    <n v="0.3295311229603768"/>
    <x v="5"/>
    <n v="128.0535211463728"/>
    <n v="-2561.070422927455"/>
    <x v="0"/>
    <x v="0"/>
    <n v="983.9958224993833"/>
    <n v="7.016969014912193"/>
    <n v="-0.7127353490198628"/>
    <n v="3.775526315557115"/>
    <n v="-19679.91644998766"/>
    <n v="-140.3393802982439"/>
    <n v="14.25470698039726"/>
    <n v="-75.5105263111423"/>
    <n v="2240.826667051697"/>
    <n v="1507.404705541954"/>
    <n v="865.5648364238482"/>
    <n v="374.4125798898335"/>
    <n v="-413.0053775569468"/>
    <n v="-1105.888174600846"/>
    <n v="-2456.351458659797"/>
    <n v="-5853.777817876498"/>
    <n v="1327.388064655245"/>
    <n v="685.8248391006327"/>
    <n v="278.3738344972221"/>
    <n v="139.780592911452"/>
    <n v="-140.865964856248"/>
    <n v="-282.725535425609"/>
    <n v="-713.4767321692016"/>
    <n v="-1444.892913336423"/>
  </r>
  <r>
    <x v="1"/>
    <x v="1"/>
    <x v="1"/>
    <x v="1"/>
    <x v="1"/>
    <x v="11"/>
    <x v="11"/>
    <x v="1"/>
    <x v="1"/>
    <n v="0.3766984934447863"/>
    <x v="5"/>
    <n v="240.4831588844277"/>
    <n v="-9619.326355377107"/>
    <x v="0"/>
    <x v="0"/>
    <n v="-1156.292056565743"/>
    <n v="7.39113022146388"/>
    <n v="-0.8463453057670026"/>
    <n v="-6.161118073629519"/>
    <n v="46251.68226262971"/>
    <n v="-295.6452088585552"/>
    <n v="33.85381223068011"/>
    <n v="246.4447229451808"/>
    <n v="-13106.31349376426"/>
    <n v="-5564.674893039801"/>
    <n v="-2541.860907142909"/>
    <n v="-961.0795415462599"/>
    <n v="889.9321588105067"/>
    <n v="2097.97096416527"/>
    <n v="3800.355130875791"/>
    <n v="6232.583373697844"/>
    <n v="2953.929803832789"/>
    <n v="1477.973651951925"/>
    <n v="591.2796897068711"/>
    <n v="295.6447882256725"/>
    <n v="-295.6413732586589"/>
    <n v="-591.267042754298"/>
    <n v="-1477.939670571477"/>
    <n v="-2954.483436186347"/>
  </r>
  <r>
    <x v="1"/>
    <x v="1"/>
    <x v="1"/>
    <x v="1"/>
    <x v="1"/>
    <x v="2"/>
    <x v="13"/>
    <x v="2"/>
    <x v="1"/>
    <n v="0.3388216658274694"/>
    <x v="5"/>
    <n v="188.5464743704631"/>
    <n v="-9427.323718523156"/>
    <x v="0"/>
    <x v="0"/>
    <n v="1273.731440968315"/>
    <n v="7.544030972939468"/>
    <n v="-0.7854226835059162"/>
    <n v="4.786706291020662"/>
    <n v="-63686.57204841576"/>
    <n v="-377.2015486469734"/>
    <n v="39.27113417529581"/>
    <n v="-239.3353145510331"/>
    <n v="7920.571149782123"/>
    <n v="5113.153776485757"/>
    <n v="2868.263669416103"/>
    <n v="1223.165568290648"/>
    <n v="-1324.056131075656"/>
    <n v="-3496.711840601461"/>
    <n v="-7597.102544697759"/>
    <n v="-17404.47943172439"/>
    <n v="3726.804454572061"/>
    <n v="1876.968828995473"/>
    <n v="753.1235383333296"/>
    <n v="376.8939919932336"/>
    <n v="-377.4863854007663"/>
    <n v="-755.5004772640245"/>
    <n v="-1892.15330002753"/>
    <n v="-3792.631334355508"/>
  </r>
  <r>
    <x v="1"/>
    <x v="1"/>
    <x v="1"/>
    <x v="1"/>
    <x v="1"/>
    <x v="3"/>
    <x v="17"/>
    <x v="1"/>
    <x v="1"/>
    <n v="0.3602121151580933"/>
    <x v="5"/>
    <n v="273.2308413350711"/>
    <n v="-6830.771033376777"/>
    <x v="0"/>
    <x v="0"/>
    <n v="-1299.409530644887"/>
    <n v="7.566668831481832"/>
    <n v="-0.8256841117506103"/>
    <n v="-6.936852051747214"/>
    <n v="32485.23826612218"/>
    <n v="-189.1667207870458"/>
    <n v="20.64210279376526"/>
    <n v="173.4213012936803"/>
    <n v="-8975.528294049742"/>
    <n v="-3865.796420953438"/>
    <n v="-1776.36151159291"/>
    <n v="-673.7441770086889"/>
    <n v="626.1432769609542"/>
    <n v="1479.568659094912"/>
    <n v="2688.786211750496"/>
    <n v="4427.975674678131"/>
    <n v="1895.0793417439"/>
    <n v="946.7297054979156"/>
    <n v="378.4809422485978"/>
    <n v="189.203939228247"/>
    <n v="-189.128816456531"/>
    <n v="-378.1804538026165"/>
    <n v="-944.8517683822956"/>
    <n v="-1887.569253984742"/>
  </r>
  <r>
    <x v="1"/>
    <x v="1"/>
    <x v="1"/>
    <x v="1"/>
    <x v="1"/>
    <x v="5"/>
    <x v="18"/>
    <x v="2"/>
    <x v="1"/>
    <n v="0.3281181218661873"/>
    <x v="5"/>
    <n v="105.8983237204925"/>
    <n v="-2117.96647440985"/>
    <x v="2"/>
    <x v="0"/>
    <n v="856.7878076274118"/>
    <n v="6.621390563924795"/>
    <n v="-0.6703942678614886"/>
    <n v="3.312142655041479"/>
    <n v="-17135.75615254823"/>
    <n v="-132.4278112784959"/>
    <n v="13.40788535722977"/>
    <n v="-66.24285310082959"/>
    <n v="1878.872953180667"/>
    <n v="1285.367354425301"/>
    <n v="745.6276483252191"/>
    <n v="324.6028306457333"/>
    <n v="-361.177493974094"/>
    <n v="-973.4066876340194"/>
    <n v="-2185.122534620486"/>
    <n v="-5310.595498195394"/>
    <n v="1214.907409287573"/>
    <n v="638.9387105094738"/>
    <n v="261.4621046413367"/>
    <n v="131.6033346510017"/>
    <n v="-133.2079180756023"/>
    <n v="-267.8935735741379"/>
    <n v="-679.7166270622165"/>
    <n v="-1386.697125854323"/>
  </r>
  <r>
    <x v="1"/>
    <x v="1"/>
    <x v="1"/>
    <x v="1"/>
    <x v="1"/>
    <x v="9"/>
    <x v="17"/>
    <x v="1"/>
    <x v="1"/>
    <n v="0.3602121151580933"/>
    <x v="5"/>
    <n v="273.2308413350711"/>
    <n v="-2732.308413350711"/>
    <x v="0"/>
    <x v="0"/>
    <n v="-1299.409530644887"/>
    <n v="7.566668831481832"/>
    <n v="-0.8256841117506103"/>
    <n v="-6.936852051747214"/>
    <n v="12994.09530644887"/>
    <n v="-75.66668831481832"/>
    <n v="8.256841117506102"/>
    <n v="69.36852051747213"/>
    <n v="-3590.211317619896"/>
    <n v="-1546.318568381375"/>
    <n v="-710.544604637164"/>
    <n v="-269.4976708034756"/>
    <n v="250.4573107843817"/>
    <n v="591.8274636379647"/>
    <n v="1075.514484700199"/>
    <n v="1771.190269871253"/>
    <n v="758.0317366975601"/>
    <n v="378.6918821991662"/>
    <n v="151.3923768994391"/>
    <n v="75.6815756912988"/>
    <n v="-75.65152658261241"/>
    <n v="-151.2721815210466"/>
    <n v="-377.9407073529183"/>
    <n v="-755.0277015938968"/>
  </r>
  <r>
    <x v="1"/>
    <x v="1"/>
    <x v="1"/>
    <x v="1"/>
    <x v="1"/>
    <x v="6"/>
    <x v="19"/>
    <x v="2"/>
    <x v="1"/>
    <n v="0.32822526806959"/>
    <x v="5"/>
    <n v="87.90300500664432"/>
    <n v="1758.060100132886"/>
    <x v="0"/>
    <x v="0"/>
    <n v="743.3089995957409"/>
    <n v="6.17757992129292"/>
    <n v="-0.6261985576481844"/>
    <n v="2.890968907639577"/>
    <n v="14866.17999191482"/>
    <n v="123.5515984258584"/>
    <n v="-12.52397115296369"/>
    <n v="57.81937815279154"/>
    <n v="-1576.461637062977"/>
    <n v="-1094.212164872407"/>
    <n v="-640.555216479537"/>
    <n v="-280.4913451736138"/>
    <n v="314.6048797154845"/>
    <n v="853.0558132751185"/>
    <n v="1934.311276586357"/>
    <n v="4791.443822095063"/>
    <n v="-1095.3895614028"/>
    <n v="-587.5246226483637"/>
    <n v="-242.6473619188391"/>
    <n v="-122.4666204847017"/>
    <n v="124.5823760500593"/>
    <n v="251.1248706006563"/>
    <n v="641.1466237094282"/>
    <n v="1319.171873672808"/>
  </r>
  <r>
    <x v="1"/>
    <x v="1"/>
    <x v="1"/>
    <x v="1"/>
    <x v="1"/>
    <x v="9"/>
    <x v="15"/>
    <x v="2"/>
    <x v="1"/>
    <n v="0.3329517315006679"/>
    <x v="5"/>
    <n v="155.5355239027085"/>
    <n v="-1555.355239027085"/>
    <x v="3"/>
    <x v="0"/>
    <n v="1125.108044949679"/>
    <n v="7.336777896171201"/>
    <n v="-0.7519129558624211"/>
    <n v="4.276744544892114"/>
    <n v="-11251.08044949679"/>
    <n v="-73.36777896171201"/>
    <n v="7.519129558624211"/>
    <n v="-42.76744544892114"/>
    <n v="1336.694123277872"/>
    <n v="881.8133211325608"/>
    <n v="500.642422975809"/>
    <n v="215.0539424472765"/>
    <n v="-235.0227631215284"/>
    <n v="-624.9988318050828"/>
    <n v="-1372.938792682594"/>
    <n v="-3207.0447160141"/>
    <n v="711.794744507049"/>
    <n v="362.3414905716402"/>
    <n v="146.0877897069918"/>
    <n v="73.21114834227274"/>
    <n v="-73.514634185467"/>
    <n v="-147.3049453166743"/>
    <n v="-370.0918254673627"/>
    <n v="-744.9984024419769"/>
  </r>
  <r>
    <x v="1"/>
    <x v="1"/>
    <x v="1"/>
    <x v="1"/>
    <x v="1"/>
    <x v="5"/>
    <x v="20"/>
    <x v="1"/>
    <x v="1"/>
    <n v="0.3974198841694778"/>
    <x v="5"/>
    <n v="214.2470650336293"/>
    <n v="-4284.941300672585"/>
    <x v="0"/>
    <x v="0"/>
    <n v="-1025.821945718671"/>
    <n v="7.124540831081186"/>
    <n v="-0.8630164177004002"/>
    <n v="-5.469893444688227"/>
    <n v="20516.43891437341"/>
    <n v="-142.4908166216237"/>
    <n v="17.260328354008"/>
    <n v="109.3978688937645"/>
    <n v="-5928.437015097834"/>
    <n v="-2487.576419454713"/>
    <n v="-1131.322820616374"/>
    <n v="-426.8412664418656"/>
    <n v="394.3344899699105"/>
    <n v="928.3787580823082"/>
    <n v="1679.061806206282"/>
    <n v="2750.522454082345"/>
    <n v="1414.52007095093"/>
    <n v="710.3586439693754"/>
    <n v="284.685236697062"/>
    <n v="142.4196572187816"/>
    <n v="-142.5564819374085"/>
    <n v="-285.2340053448916"/>
    <n v="-713.8536804446039"/>
    <n v="-1429.488482502575"/>
  </r>
  <r>
    <x v="1"/>
    <x v="1"/>
    <x v="1"/>
    <x v="1"/>
    <x v="1"/>
    <x v="6"/>
    <x v="20"/>
    <x v="1"/>
    <x v="1"/>
    <n v="0.3974198841694778"/>
    <x v="5"/>
    <n v="214.2470650336293"/>
    <n v="4284.941300672585"/>
    <x v="2"/>
    <x v="0"/>
    <n v="-1025.821945718671"/>
    <n v="7.124540831081186"/>
    <n v="-0.8630164177004002"/>
    <n v="-5.469893444688227"/>
    <n v="-20516.43891437341"/>
    <n v="142.4908166216237"/>
    <n v="-17.260328354008"/>
    <n v="-109.3978688937645"/>
    <n v="5928.437015097834"/>
    <n v="2487.576419454713"/>
    <n v="1131.322820616374"/>
    <n v="426.8412664418656"/>
    <n v="-394.3344899699105"/>
    <n v="-928.3787580823082"/>
    <n v="-1679.061806206282"/>
    <n v="-2750.522454082345"/>
    <n v="-1414.52007095093"/>
    <n v="-710.3586439693754"/>
    <n v="-284.685236697062"/>
    <n v="-142.4196572187816"/>
    <n v="142.5564819374085"/>
    <n v="285.2340053448916"/>
    <n v="713.8536804446039"/>
    <n v="1429.488482502575"/>
  </r>
  <r>
    <x v="1"/>
    <x v="1"/>
    <x v="1"/>
    <x v="1"/>
    <x v="1"/>
    <x v="5"/>
    <x v="18"/>
    <x v="1"/>
    <x v="2"/>
    <n v="0.2981578468974518"/>
    <x v="6"/>
    <n v="559.5460730946502"/>
    <n v="-11190.921461893"/>
    <x v="0"/>
    <x v="0"/>
    <n v="-1909.017989266938"/>
    <n v="8.638705337253388"/>
    <n v="-0.4570355151719728"/>
    <n v="-17.04323681411289"/>
    <n v="38180.35978533876"/>
    <n v="-172.7741067450677"/>
    <n v="9.140710303439457"/>
    <n v="340.8647362822578"/>
    <n v="-9142.894114073761"/>
    <n v="-4221.522259905041"/>
    <n v="-2012.268733304836"/>
    <n v="-780.3009125475637"/>
    <n v="746.7467661298633"/>
    <n v="1803.157812758213"/>
    <n v="3393.555945687117"/>
    <n v="5958.833698511771"/>
    <n v="1604.03585659833"/>
    <n v="838.543139365438"/>
    <n v="341.9068932850359"/>
    <n v="171.8940544043289"/>
    <n v="-173.5986175528569"/>
    <n v="-348.744148382043"/>
    <n v="-882.1218995917798"/>
    <n v="-1791.301807802206"/>
  </r>
  <r>
    <x v="1"/>
    <x v="1"/>
    <x v="1"/>
    <x v="1"/>
    <x v="1"/>
    <x v="5"/>
    <x v="20"/>
    <x v="1"/>
    <x v="2"/>
    <n v="0.3685942853263595"/>
    <x v="6"/>
    <n v="256.2361415167702"/>
    <n v="-5124.722830335404"/>
    <x v="0"/>
    <x v="0"/>
    <n v="-1026.708707862466"/>
    <n v="8.884347021785732"/>
    <n v="-0.6237568183314702"/>
    <n v="-8.857591836810071"/>
    <n v="20534.17415724932"/>
    <n v="-177.6869404357146"/>
    <n v="12.47513636662941"/>
    <n v="177.1518367362014"/>
    <n v="-5673.594108014613"/>
    <n v="-2426.369637333623"/>
    <n v="-1117.078069777231"/>
    <n v="-424.8492395053199"/>
    <n v="396.9234652149703"/>
    <n v="942.6568117836837"/>
    <n v="1730.372686048622"/>
    <n v="2919.38860404241"/>
    <n v="1767.67764032307"/>
    <n v="886.7574094879978"/>
    <n v="355.1530799486136"/>
    <n v="177.6353255919457"/>
    <n v="-177.7318644712068"/>
    <n v="-355.5410589448729"/>
    <n v="-889.2634168466748"/>
    <n v="-1778.944279741286"/>
  </r>
  <r>
    <x v="1"/>
    <x v="1"/>
    <x v="1"/>
    <x v="1"/>
    <x v="1"/>
    <x v="12"/>
    <x v="12"/>
    <x v="1"/>
    <x v="2"/>
    <n v="0.4232857262844293"/>
    <x v="6"/>
    <n v="225.6264066879371"/>
    <n v="1128.132033439686"/>
    <x v="3"/>
    <x v="0"/>
    <n v="-837.3420966799464"/>
    <n v="8.172621511052853"/>
    <n v="-0.6640436409646883"/>
    <n v="-7.338851036950866"/>
    <n v="-4186.710483399732"/>
    <n v="40.86310755526426"/>
    <n v="-3.320218204823441"/>
    <n v="-36.69425518475433"/>
    <n v="1163.336181557178"/>
    <n v="494.527856631729"/>
    <n v="227.5589160469173"/>
    <n v="86.5783848433324"/>
    <n v="-80.98513576879384"/>
    <n v="-192.5953391061955"/>
    <n v="-354.6008751960238"/>
    <n v="-603.063703577732"/>
    <n v="-401.4575939093322"/>
    <n v="-202.8105985461514"/>
    <n v="-81.50825875058786"/>
    <n v="-40.81035941945856"/>
    <n v="40.91258547019322"/>
    <n v="81.91797420559681"/>
    <n v="205.4072191358853"/>
    <n v="412.3812069994165"/>
  </r>
  <r>
    <x v="2"/>
    <x v="2"/>
    <x v="2"/>
    <x v="0"/>
    <x v="2"/>
    <x v="9"/>
    <x v="0"/>
    <x v="0"/>
    <x v="0"/>
    <m/>
    <x v="0"/>
    <n v="10012.39446914123"/>
    <n v="-100123.9446914123"/>
    <x v="0"/>
    <x v="0"/>
    <n v="10012.39446914123"/>
    <n v="0"/>
    <n v="0.137156088618373"/>
    <n v="19.20185240657222"/>
    <n v="-100123.9446914123"/>
    <n v="0"/>
    <n v="-1.37156088618373"/>
    <n v="-192.0185240657222"/>
    <n v="20024.78893828247"/>
    <n v="10012.39446914122"/>
    <n v="5006.197234570627"/>
    <n v="2002.478893828265"/>
    <n v="-2002.478893828247"/>
    <n v="-5006.197234570609"/>
    <n v="-10012.39446914124"/>
    <n v="-20024.78893828244"/>
    <n v="0"/>
    <n v="0"/>
    <n v="0"/>
    <n v="0"/>
    <n v="0"/>
    <n v="0"/>
    <n v="0"/>
    <n v="0"/>
  </r>
  <r>
    <x v="2"/>
    <x v="2"/>
    <x v="2"/>
    <x v="1"/>
    <x v="2"/>
    <x v="5"/>
    <x v="21"/>
    <x v="2"/>
    <x v="0"/>
    <n v="0.41"/>
    <x v="7"/>
    <n v="716.2281775166866"/>
    <n v="-14324.56355033373"/>
    <x v="0"/>
    <x v="0"/>
    <n v="5364.311323328957"/>
    <n v="17.42209941951035"/>
    <n v="-5.0923749136734"/>
    <n v="8.91413206046189"/>
    <n v="-107286.2264665791"/>
    <n v="-348.441988390207"/>
    <n v="101.847498273468"/>
    <n v="-178.2826412092378"/>
    <n v="12677.6322587628"/>
    <n v="8459.412428282449"/>
    <n v="4799.922048917088"/>
    <n v="2056.293243094569"/>
    <n v="-2233.388432832307"/>
    <n v="-5901.505617206967"/>
    <n v="-12791.80274024318"/>
    <n v="-28903.00822870573"/>
    <n v="3487.568058092802"/>
    <n v="1743.031581856776"/>
    <n v="697.0187568076653"/>
    <n v="348.4759597097946"/>
    <n v="-348.4074646884255"/>
    <n v="-696.7447777048801"/>
    <n v="-1741.319255450617"/>
    <n v="-3480.719366505109"/>
  </r>
  <r>
    <x v="2"/>
    <x v="2"/>
    <x v="2"/>
    <x v="1"/>
    <x v="2"/>
    <x v="9"/>
    <x v="22"/>
    <x v="1"/>
    <x v="0"/>
    <n v="0.4721677408355954"/>
    <x v="7"/>
    <n v="416.9481752374145"/>
    <n v="-4169.481752374145"/>
    <x v="0"/>
    <x v="0"/>
    <n v="-2882.670092416011"/>
    <n v="14.95804045062122"/>
    <n v="-5.039077071802041"/>
    <n v="-6.328035033855886"/>
    <n v="28826.70092416011"/>
    <n v="-149.5804045062122"/>
    <n v="50.39077071802041"/>
    <n v="63.28035033855886"/>
    <n v="-9705.042749881562"/>
    <n v="-3803.073735124449"/>
    <n v="-1660.21071729378"/>
    <n v="-610.3798312263325"/>
    <n v="544.3185800742003"/>
    <n v="1247.76779091414"/>
    <n v="2160.037160235593"/>
    <n v="3264.539147739647"/>
    <n v="1456.331878605092"/>
    <n v="739.1673111415685"/>
    <n v="297.8550215387577"/>
    <n v="149.2610159950527"/>
    <n v="-149.8864621545954"/>
    <n v="-300.359835649665"/>
    <n v="-754.9560379984587"/>
    <n v="-1521.460564764157"/>
  </r>
  <r>
    <x v="2"/>
    <x v="2"/>
    <x v="2"/>
    <x v="1"/>
    <x v="2"/>
    <x v="5"/>
    <x v="21"/>
    <x v="1"/>
    <x v="0"/>
    <n v="0.41"/>
    <x v="7"/>
    <n v="716.2281775166866"/>
    <n v="-14324.56355033373"/>
    <x v="1"/>
    <x v="0"/>
    <n v="-4648.083145812271"/>
    <n v="17.42209941951035"/>
    <n v="-5.0923749136734"/>
    <n v="-10.28772034611033"/>
    <n v="92961.66291624542"/>
    <n v="-348.441988390207"/>
    <n v="101.847498273468"/>
    <n v="205.7544069222066"/>
    <n v="-27371.94561780214"/>
    <n v="-11565.37650999997"/>
    <n v="-5212.472420224185"/>
    <n v="-1948.664544561962"/>
    <n v="1771.569354824187"/>
    <n v="4110.888851934251"/>
    <n v="7232.986198039289"/>
    <n v="11146.56964785912"/>
    <n v="3487.568058092802"/>
    <n v="1743.031581856776"/>
    <n v="697.0187568076653"/>
    <n v="348.4759597097946"/>
    <n v="-348.4074646884255"/>
    <n v="-696.7447777048801"/>
    <n v="-1741.319255450617"/>
    <n v="-3480.719366505109"/>
  </r>
  <r>
    <x v="2"/>
    <x v="2"/>
    <x v="2"/>
    <x v="1"/>
    <x v="2"/>
    <x v="5"/>
    <x v="23"/>
    <x v="2"/>
    <x v="0"/>
    <n v="0.3975378258395253"/>
    <x v="7"/>
    <n v="564.7201907797671"/>
    <n v="-11294.40381559534"/>
    <x v="0"/>
    <x v="0"/>
    <n v="4675.322559846607"/>
    <n v="17.43240031044587"/>
    <n v="-4.942291620246277"/>
    <n v="7.883347009169285"/>
    <n v="-93506.45119693215"/>
    <n v="-348.6480062089175"/>
    <n v="98.84583240492553"/>
    <n v="-157.6669401833857"/>
    <n v="10262.80930594969"/>
    <n v="7089.315662177837"/>
    <n v="4102.689286442401"/>
    <n v="1778.449107630258"/>
    <n v="-1961.173991470205"/>
    <n v="-5238.327372297481"/>
    <n v="-11542.84271358527"/>
    <n v="-26788.84991322529"/>
    <n v="3472.63741846733"/>
    <n v="1740.416021928067"/>
    <n v="696.8932223281809"/>
    <n v="348.5510083130066"/>
    <n v="-348.7381024523347"/>
    <n v="-697.6434953281932"/>
    <n v="-1745.189436016062"/>
    <n v="-3493.009331705489"/>
  </r>
  <r>
    <x v="2"/>
    <x v="2"/>
    <x v="2"/>
    <x v="1"/>
    <x v="2"/>
    <x v="5"/>
    <x v="23"/>
    <x v="1"/>
    <x v="0"/>
    <n v="0.3975378258395253"/>
    <x v="7"/>
    <n v="865.4316989828703"/>
    <n v="-17308.63397965741"/>
    <x v="0"/>
    <x v="0"/>
    <n v="-5337.071909294621"/>
    <n v="17.43240031044587"/>
    <n v="-4.938172284517467"/>
    <n v="-11.89521239943628"/>
    <n v="106741.4381858924"/>
    <n v="-348.6480062089175"/>
    <n v="98.76344569034934"/>
    <n v="237.9042479887256"/>
    <n v="-29786.76857061524"/>
    <n v="-12935.4732761046"/>
    <n v="-5909.705182698854"/>
    <n v="-2226.508680026272"/>
    <n v="2043.78379618629"/>
    <n v="4774.067096843737"/>
    <n v="8481.946224697194"/>
    <n v="13260.72796333958"/>
    <n v="3472.63741846733"/>
    <n v="1740.416021928067"/>
    <n v="696.8932223281809"/>
    <n v="348.5510083130066"/>
    <n v="-348.7381024523347"/>
    <n v="-697.6434953281932"/>
    <n v="-1745.189436016062"/>
    <n v="-3493.009331705489"/>
  </r>
  <r>
    <x v="2"/>
    <x v="2"/>
    <x v="2"/>
    <x v="1"/>
    <x v="2"/>
    <x v="7"/>
    <x v="24"/>
    <x v="1"/>
    <x v="0"/>
    <n v="0.534139247868658"/>
    <x v="7"/>
    <n v="310.1372003311562"/>
    <n v="15506.86001655781"/>
    <x v="0"/>
    <x v="0"/>
    <n v="-2087.730599329114"/>
    <n v="12.58409064207193"/>
    <n v="-4.796934909963312"/>
    <n v="-4.598650574690931"/>
    <n v="-104386.5299664557"/>
    <n v="629.2045321035964"/>
    <n v="-239.8467454981656"/>
    <n v="-229.9325287345465"/>
    <n v="36750.15618256698"/>
    <n v="13974.43562978649"/>
    <n v="6045.0485564171"/>
    <n v="2214.260259157481"/>
    <n v="-1968.517255299605"/>
    <n v="-4507.540044239477"/>
    <n v="-7803.360366967683"/>
    <n v="-11848.66422593246"/>
    <n v="-5962.704039901007"/>
    <n v="-3070.843504217623"/>
    <n v="-1246.987743154375"/>
    <n v="-626.3968746861792"/>
    <n v="631.9209131972912"/>
    <n v="1269.099755091588"/>
    <n v="3209.739759335707"/>
    <n v="6528.369803912392"/>
  </r>
  <r>
    <x v="2"/>
    <x v="2"/>
    <x v="2"/>
    <x v="1"/>
    <x v="2"/>
    <x v="5"/>
    <x v="22"/>
    <x v="1"/>
    <x v="0"/>
    <n v="0.4721677408355954"/>
    <x v="7"/>
    <n v="416.9481752374145"/>
    <n v="-8338.96350474829"/>
    <x v="1"/>
    <x v="0"/>
    <n v="-2882.670092416011"/>
    <n v="14.95804045062122"/>
    <n v="-5.039077071802041"/>
    <n v="-6.328035033855886"/>
    <n v="57653.40184832022"/>
    <n v="-299.1608090124244"/>
    <n v="100.7815414360408"/>
    <n v="126.5607006771177"/>
    <n v="-19410.08549976312"/>
    <n v="-7606.147470248898"/>
    <n v="-3320.421434587561"/>
    <n v="-1220.759662452665"/>
    <n v="1088.637160148401"/>
    <n v="2495.535581828281"/>
    <n v="4320.074320471185"/>
    <n v="6529.078295479294"/>
    <n v="2912.663757210184"/>
    <n v="1478.334622283137"/>
    <n v="595.7100430775154"/>
    <n v="298.5220319901055"/>
    <n v="-299.7729243091908"/>
    <n v="-600.71967129933"/>
    <n v="-1509.912075996917"/>
    <n v="-3042.921129528313"/>
  </r>
  <r>
    <x v="2"/>
    <x v="2"/>
    <x v="2"/>
    <x v="1"/>
    <x v="2"/>
    <x v="5"/>
    <x v="22"/>
    <x v="1"/>
    <x v="0"/>
    <n v="0.4721677408355954"/>
    <x v="7"/>
    <n v="416.9481752374145"/>
    <n v="-8338.96350474829"/>
    <x v="0"/>
    <x v="0"/>
    <n v="-2882.670092416011"/>
    <n v="14.95804045062122"/>
    <n v="-5.039077071802041"/>
    <n v="-6.328035033855886"/>
    <n v="57653.40184832022"/>
    <n v="-299.1608090124244"/>
    <n v="100.7815414360408"/>
    <n v="126.5607006771177"/>
    <n v="-19410.08549976312"/>
    <n v="-7606.147470248898"/>
    <n v="-3320.421434587561"/>
    <n v="-1220.759662452665"/>
    <n v="1088.637160148401"/>
    <n v="2495.535581828281"/>
    <n v="4320.074320471185"/>
    <n v="6529.078295479294"/>
    <n v="2912.663757210184"/>
    <n v="1478.334622283137"/>
    <n v="595.7100430775154"/>
    <n v="298.5220319901055"/>
    <n v="-299.7729243091908"/>
    <n v="-600.71967129933"/>
    <n v="-1509.912075996917"/>
    <n v="-3042.921129528313"/>
  </r>
  <r>
    <x v="2"/>
    <x v="2"/>
    <x v="2"/>
    <x v="1"/>
    <x v="2"/>
    <x v="3"/>
    <x v="21"/>
    <x v="2"/>
    <x v="0"/>
    <n v="0.41"/>
    <x v="7"/>
    <n v="716.2281775166866"/>
    <n v="-17905.70443791716"/>
    <x v="0"/>
    <x v="0"/>
    <n v="5364.311323328957"/>
    <n v="17.42209941951035"/>
    <n v="-5.0923749136734"/>
    <n v="8.91413206046189"/>
    <n v="-134107.7830832239"/>
    <n v="-435.5524854877588"/>
    <n v="127.309372841835"/>
    <n v="-222.8533015115472"/>
    <n v="15847.0403234535"/>
    <n v="10574.26553535306"/>
    <n v="5999.902561146359"/>
    <n v="2570.366553868212"/>
    <n v="-2791.735541040384"/>
    <n v="-7376.882021508709"/>
    <n v="-15989.75342530398"/>
    <n v="-36128.76028588216"/>
    <n v="4359.460072616002"/>
    <n v="2178.78947732097"/>
    <n v="871.2734460095817"/>
    <n v="435.5949496372432"/>
    <n v="-435.5093308605319"/>
    <n v="-870.9309721311001"/>
    <n v="-2176.649069313271"/>
    <n v="-4350.899208131386"/>
  </r>
  <r>
    <x v="2"/>
    <x v="2"/>
    <x v="2"/>
    <x v="1"/>
    <x v="2"/>
    <x v="10"/>
    <x v="24"/>
    <x v="1"/>
    <x v="0"/>
    <n v="0.534139247868658"/>
    <x v="7"/>
    <n v="310.1372003311562"/>
    <n v="3101.372003311562"/>
    <x v="2"/>
    <x v="0"/>
    <n v="-2087.730599329114"/>
    <n v="12.58409064207193"/>
    <n v="-4.796934909963312"/>
    <n v="-4.598650574690931"/>
    <n v="-20877.30599329114"/>
    <n v="125.8409064207193"/>
    <n v="-47.96934909963312"/>
    <n v="-45.9865057469093"/>
    <n v="7350.031236513396"/>
    <n v="2794.887125957298"/>
    <n v="1209.00971128342"/>
    <n v="442.8520518314963"/>
    <n v="-393.703451059921"/>
    <n v="-901.5080088478953"/>
    <n v="-1560.672073393537"/>
    <n v="-2369.732845186491"/>
    <n v="-1192.540807980201"/>
    <n v="-614.1687008435247"/>
    <n v="-249.397548630875"/>
    <n v="-125.2793749372358"/>
    <n v="126.3841826394582"/>
    <n v="253.8199510183176"/>
    <n v="641.9479518671415"/>
    <n v="1305.673960782478"/>
  </r>
  <r>
    <x v="2"/>
    <x v="2"/>
    <x v="2"/>
    <x v="1"/>
    <x v="2"/>
    <x v="3"/>
    <x v="21"/>
    <x v="1"/>
    <x v="1"/>
    <n v="0.36"/>
    <x v="7"/>
    <n v="951.5731397348372"/>
    <n v="-23789.32849337093"/>
    <x v="0"/>
    <x v="0"/>
    <n v="-4524.173950745607"/>
    <n v="26.30690649682385"/>
    <n v="-2.928109577242342"/>
    <n v="-24.15329538540689"/>
    <n v="113104.3487686402"/>
    <n v="-657.6726624205963"/>
    <n v="73.20273943105853"/>
    <n v="603.8323846351723"/>
    <n v="-31237.50388590156"/>
    <n v="-13457.14661588513"/>
    <n v="-6184.259171235203"/>
    <n v="-2345.70922957837"/>
    <n v="2180.118778526798"/>
    <n v="5151.807634255521"/>
    <n v="9362.81622944491"/>
    <n v="15420.26389651571"/>
    <n v="6588.58612759459"/>
    <n v="3291.477749593105"/>
    <n v="1315.857961555093"/>
    <n v="657.8020141216257"/>
    <n v="-657.5409278002098"/>
    <n v="-1314.81362486561"/>
    <n v="-3284.951021346524"/>
    <n v="-6562.484585995026"/>
  </r>
  <r>
    <x v="2"/>
    <x v="2"/>
    <x v="2"/>
    <x v="1"/>
    <x v="2"/>
    <x v="9"/>
    <x v="22"/>
    <x v="1"/>
    <x v="1"/>
    <n v="0.4221677408355954"/>
    <x v="7"/>
    <n v="673.9545098205945"/>
    <n v="-6739.545098205945"/>
    <x v="0"/>
    <x v="0"/>
    <n v="-3168.341174870959"/>
    <n v="23.65137022418355"/>
    <n v="-3.09165145302772"/>
    <n v="-16.94820836261206"/>
    <n v="31683.41174870959"/>
    <n v="-236.5137022418355"/>
    <n v="30.9165145302772"/>
    <n v="169.4820836261206"/>
    <n v="-9273.49529592092"/>
    <n v="-3858.001259532966"/>
    <n v="-1749.953632820207"/>
    <n v="-659.5247988130086"/>
    <n v="608.7253994215735"/>
    <n v="1432.612213681705"/>
    <n v="2590.986830922425"/>
    <n v="4251.162321044238"/>
    <n v="2329.081868568883"/>
    <n v="1174.936835505659"/>
    <n v="471.915099629914"/>
    <n v="236.2438960817553"/>
    <n v="-236.7680033417128"/>
    <n v="-474.0154923268483"/>
    <n v="-1188.239764342557"/>
    <n v="-2384.923976928876"/>
  </r>
  <r>
    <x v="2"/>
    <x v="2"/>
    <x v="2"/>
    <x v="1"/>
    <x v="2"/>
    <x v="13"/>
    <x v="22"/>
    <x v="1"/>
    <x v="1"/>
    <n v="0.4221677408355954"/>
    <x v="7"/>
    <n v="673.9545098205945"/>
    <n v="-10109.31764730892"/>
    <x v="1"/>
    <x v="0"/>
    <n v="-3168.341174870959"/>
    <n v="23.65137022418355"/>
    <n v="-3.09165145302772"/>
    <n v="-16.94820836261206"/>
    <n v="47525.11762306438"/>
    <n v="-354.7705533627533"/>
    <n v="46.3747717954158"/>
    <n v="254.2231254391808"/>
    <n v="-13910.24294388138"/>
    <n v="-5787.001889299449"/>
    <n v="-2624.93044923031"/>
    <n v="-989.2871982195129"/>
    <n v="913.0880991323602"/>
    <n v="2148.918320522557"/>
    <n v="3886.480246383637"/>
    <n v="6376.743481566356"/>
    <n v="3493.622802853324"/>
    <n v="1762.405253258489"/>
    <n v="707.8726494448711"/>
    <n v="354.365844122633"/>
    <n v="-355.1520050125691"/>
    <n v="-711.0232384902724"/>
    <n v="-1782.359646513835"/>
    <n v="-3577.385965393314"/>
  </r>
  <r>
    <x v="2"/>
    <x v="2"/>
    <x v="2"/>
    <x v="1"/>
    <x v="2"/>
    <x v="5"/>
    <x v="25"/>
    <x v="2"/>
    <x v="1"/>
    <n v="0.3295010100547117"/>
    <x v="7"/>
    <n v="443.9842244954998"/>
    <n v="-8879.684489909996"/>
    <x v="0"/>
    <x v="0"/>
    <n v="3414.166847603307"/>
    <n v="24.37366780622899"/>
    <n v="-2.488063415902868"/>
    <n v="13.10135348822896"/>
    <n v="-68283.33695206615"/>
    <n v="-487.4733561245797"/>
    <n v="49.76126831805735"/>
    <n v="-262.0270697645792"/>
    <n v="7770.927123316031"/>
    <n v="5228.740118562155"/>
    <n v="3002.808926813732"/>
    <n v="1299.021786220419"/>
    <n v="-1433.087370783533"/>
    <n v="-3837.656410157851"/>
    <n v="-8525.245040432728"/>
    <n v="-20321.93946311243"/>
    <n v="4609.025098070852"/>
    <n v="2381.868590770955"/>
    <n v="966.8865514246954"/>
    <n v="485.5192600393639"/>
    <n v="-489.3149395509954"/>
    <n v="-982.1049281690375"/>
    <n v="-2478.567663043314"/>
    <n v="-5019.897042182956"/>
  </r>
  <r>
    <x v="2"/>
    <x v="2"/>
    <x v="2"/>
    <x v="1"/>
    <x v="2"/>
    <x v="9"/>
    <x v="25"/>
    <x v="1"/>
    <x v="1"/>
    <n v="0.3295010100547117"/>
    <x v="7"/>
    <n v="1644.333956344925"/>
    <n v="-16443.33956344926"/>
    <x v="4"/>
    <x v="0"/>
    <n v="-6585.754193622744"/>
    <n v="24.37366780622899"/>
    <n v="-2.471620268891232"/>
    <n v="-36.30258060670671"/>
    <n v="65857.54193622744"/>
    <n v="-243.7366780622899"/>
    <n v="24.71620268891232"/>
    <n v="363.025806067067"/>
    <n v="-16114.37852079407"/>
    <n v="-7385.550981944962"/>
    <n v="-3498.55605720616"/>
    <n v="-1350.473315135005"/>
    <n v="1283.440522853443"/>
    <n v="3081.132315534105"/>
    <n v="5737.298521009707"/>
    <n v="9838.872350895876"/>
    <n v="2304.512549035435"/>
    <n v="1190.934295385478"/>
    <n v="483.4432757123523"/>
    <n v="242.7596300197001"/>
    <n v="-244.6574697754932"/>
    <n v="-491.0524640845142"/>
    <n v="-1239.283831521643"/>
    <n v="-2509.948521091474"/>
  </r>
  <r>
    <x v="2"/>
    <x v="2"/>
    <x v="2"/>
    <x v="1"/>
    <x v="2"/>
    <x v="13"/>
    <x v="23"/>
    <x v="2"/>
    <x v="1"/>
    <n v="0.3475378258395254"/>
    <x v="7"/>
    <n v="790.0288254408497"/>
    <n v="-11850.43238161275"/>
    <x v="0"/>
    <x v="0"/>
    <n v="4948.916114605233"/>
    <n v="26.49339354262278"/>
    <n v="-2.848636193817772"/>
    <n v="18.34468091932783"/>
    <n v="-74233.74171907849"/>
    <n v="-397.4009031393417"/>
    <n v="42.72954290726658"/>
    <n v="-275.1702137899175"/>
    <n v="9681.682756504488"/>
    <n v="6106.701509964364"/>
    <n v="3383.752292187644"/>
    <n v="1432.531306869105"/>
    <n v="-1536.166827876891"/>
    <n v="-4029.558800515233"/>
    <n v="-8662.80368035848"/>
    <n v="-19488.0794511341"/>
    <n v="3967.708793577747"/>
    <n v="1986.073223733679"/>
    <n v="794.7017328743277"/>
    <n v="397.3795677506996"/>
    <n v="-397.4153665133372"/>
    <n v="-794.8467972273329"/>
    <n v="-1987.063282410136"/>
    <n v="-3972.961454172882"/>
  </r>
  <r>
    <x v="2"/>
    <x v="2"/>
    <x v="2"/>
    <x v="1"/>
    <x v="2"/>
    <x v="5"/>
    <x v="21"/>
    <x v="1"/>
    <x v="1"/>
    <n v="0.36"/>
    <x v="7"/>
    <n v="951.5731397348372"/>
    <n v="-19031.46279469674"/>
    <x v="0"/>
    <x v="0"/>
    <n v="-4524.173950745607"/>
    <n v="26.30690649682385"/>
    <n v="-2.928109577242342"/>
    <n v="-24.15329538540689"/>
    <n v="90483.47901491214"/>
    <n v="-526.1381299364771"/>
    <n v="58.56219154484683"/>
    <n v="483.0659077081378"/>
    <n v="-24990.00310872125"/>
    <n v="-10765.7172927081"/>
    <n v="-4947.407336988163"/>
    <n v="-1876.567383662696"/>
    <n v="1744.095022821439"/>
    <n v="4121.446107404417"/>
    <n v="7490.252983555929"/>
    <n v="12336.21111721257"/>
    <n v="5270.868902075672"/>
    <n v="2633.182199674484"/>
    <n v="1052.686369244075"/>
    <n v="526.2416112973006"/>
    <n v="-526.0327422401679"/>
    <n v="-1051.850899892488"/>
    <n v="-2627.960817077219"/>
    <n v="-5249.98766879602"/>
  </r>
  <r>
    <x v="2"/>
    <x v="2"/>
    <x v="2"/>
    <x v="1"/>
    <x v="2"/>
    <x v="5"/>
    <x v="26"/>
    <x v="2"/>
    <x v="1"/>
    <n v="0.3281105732045441"/>
    <x v="7"/>
    <n v="367.1853465664444"/>
    <n v="-7343.706931328888"/>
    <x v="2"/>
    <x v="0"/>
    <n v="2972.624371451507"/>
    <n v="22.99586302839094"/>
    <n v="-2.338195467341483"/>
    <n v="11.49248446593137"/>
    <n v="-59452.48742903014"/>
    <n v="-459.9172605678187"/>
    <n v="46.76390934682965"/>
    <n v="-229.8496893186274"/>
    <n v="6515.721240479328"/>
    <n v="4458.419534935219"/>
    <n v="2586.606946882366"/>
    <n v="1126.147991247935"/>
    <n v="-1253.173522749985"/>
    <n v="-3377.696073500774"/>
    <n v="-7583.344300228346"/>
    <n v="-18434.79218737064"/>
    <n v="4217.531523799257"/>
    <n v="2218.613123595469"/>
    <n v="907.989427886896"/>
    <n v="457.0393389199035"/>
    <n v="-462.6404468388046"/>
    <n v="-930.4396164015634"/>
    <n v="-2360.951423052111"/>
    <n v="-4817.10479119115"/>
  </r>
  <r>
    <x v="2"/>
    <x v="2"/>
    <x v="2"/>
    <x v="1"/>
    <x v="2"/>
    <x v="12"/>
    <x v="24"/>
    <x v="1"/>
    <x v="1"/>
    <n v="0.4841392478686579"/>
    <x v="7"/>
    <n v="577.6800949336603"/>
    <n v="2888.400474668301"/>
    <x v="0"/>
    <x v="0"/>
    <n v="-2526.721450392835"/>
    <n v="21.22402510093606"/>
    <n v="-3.183199477493153"/>
    <n v="-13.69338763828947"/>
    <n v="-12633.60725196418"/>
    <n v="106.1201255046803"/>
    <n v="-15.91599738746576"/>
    <n v="-68.46693819144737"/>
    <n v="3723.730534621948"/>
    <n v="1537.586861920331"/>
    <n v="697.0054278684552"/>
    <n v="262.8151058425306"/>
    <n v="-242.9360677304589"/>
    <n v="-572.7009254922496"/>
    <n v="-1039.55604229221"/>
    <n v="-1721.76945216947"/>
    <n v="-1029.27304600579"/>
    <n v="-523.5473881867756"/>
    <n v="-211.1878533853087"/>
    <n v="-105.8629128603502"/>
    <n v="106.3661783024804"/>
    <n v="213.2032857270133"/>
    <n v="536.2483088397516"/>
    <n v="1081.613330960988"/>
  </r>
  <r>
    <x v="2"/>
    <x v="2"/>
    <x v="2"/>
    <x v="1"/>
    <x v="2"/>
    <x v="5"/>
    <x v="26"/>
    <x v="2"/>
    <x v="1"/>
    <n v="0.3281105732045441"/>
    <x v="7"/>
    <n v="367.1853465664444"/>
    <n v="-7343.706931328888"/>
    <x v="0"/>
    <x v="0"/>
    <n v="2972.624371451507"/>
    <n v="22.99586302839094"/>
    <n v="-2.338195467341483"/>
    <n v="11.49248446593137"/>
    <n v="-59452.48742903014"/>
    <n v="-459.9172605678187"/>
    <n v="46.76390934682965"/>
    <n v="-229.8496893186274"/>
    <n v="6515.721240479328"/>
    <n v="4458.419534935219"/>
    <n v="2586.606946882366"/>
    <n v="1126.147991247935"/>
    <n v="-1253.173522749985"/>
    <n v="-3377.696073500774"/>
    <n v="-7583.344300228346"/>
    <n v="-18434.79218737064"/>
    <n v="4217.531523799257"/>
    <n v="2218.613123595469"/>
    <n v="907.989427886896"/>
    <n v="457.0393389199035"/>
    <n v="-462.6404468388046"/>
    <n v="-930.4396164015634"/>
    <n v="-2360.951423052111"/>
    <n v="-4817.10479119115"/>
  </r>
  <r>
    <x v="2"/>
    <x v="2"/>
    <x v="2"/>
    <x v="1"/>
    <x v="2"/>
    <x v="9"/>
    <x v="27"/>
    <x v="1"/>
    <x v="2"/>
    <n v="0.3475286850241339"/>
    <x v="8"/>
    <n v="977.0321988634782"/>
    <n v="-9770.321988634783"/>
    <x v="3"/>
    <x v="0"/>
    <n v="-3984.899427815304"/>
    <n v="32.03999019226192"/>
    <n v="-2.161918985586027"/>
    <n v="-34.25771972391927"/>
    <n v="39848.99427815303"/>
    <n v="-320.3999019226192"/>
    <n v="21.61918985586027"/>
    <n v="342.5771972391926"/>
    <n v="-10886.8482057772"/>
    <n v="-4689.953263089051"/>
    <n v="-2164.358832822622"/>
    <n v="-824.0165602190473"/>
    <n v="770.6143557444693"/>
    <n v="1830.979034839715"/>
    <n v="3361.986303833046"/>
    <n v="5667.480867983782"/>
    <n v="3204.629515545021"/>
    <n v="1602.610935804328"/>
    <n v="640.9332484879997"/>
    <n v="320.4359871285033"/>
    <n v="-320.3586740623859"/>
    <n v="-640.6251525193602"/>
    <n v="-1600.736927432558"/>
    <n v="-3197.932867858531"/>
  </r>
  <r>
    <x v="2"/>
    <x v="2"/>
    <x v="2"/>
    <x v="1"/>
    <x v="2"/>
    <x v="14"/>
    <x v="28"/>
    <x v="1"/>
    <x v="2"/>
    <n v="0.5752990411633006"/>
    <x v="8"/>
    <n v="716.3257316289155"/>
    <n v="-3581.628658144577"/>
    <x v="0"/>
    <x v="0"/>
    <n v="-2068.033829118133"/>
    <n v="23.71910477890897"/>
    <n v="-2.678572362166383"/>
    <n v="-19.22352354269196"/>
    <n v="10340.16914559067"/>
    <n v="-118.5955238945449"/>
    <n v="13.39286181083192"/>
    <n v="96.11761771345979"/>
    <n v="-2783.765224965648"/>
    <n v="-1197.482862488464"/>
    <n v="-556.0601331809607"/>
    <n v="-212.8840206285622"/>
    <n v="200.9383928766215"/>
    <n v="481.3260840925875"/>
    <n v="897.498955665593"/>
    <n v="1567.561901156724"/>
    <n v="1150.639753515219"/>
    <n v="585.0638035647182"/>
    <n v="236.0026257215873"/>
    <n v="118.3045343167169"/>
    <n v="-118.8747859034493"/>
    <n v="-238.285594212889"/>
    <n v="-599.4185807152849"/>
    <n v="-1209.312578095908"/>
  </r>
  <r>
    <x v="2"/>
    <x v="2"/>
    <x v="2"/>
    <x v="1"/>
    <x v="2"/>
    <x v="9"/>
    <x v="27"/>
    <x v="1"/>
    <x v="2"/>
    <n v="0.3475286850241339"/>
    <x v="8"/>
    <n v="977.0321988634782"/>
    <n v="-9770.321988634783"/>
    <x v="2"/>
    <x v="0"/>
    <n v="-3984.899427815304"/>
    <n v="32.03999019226192"/>
    <n v="-2.161918985586027"/>
    <n v="-34.25771972391927"/>
    <n v="39848.99427815303"/>
    <n v="-320.3999019226192"/>
    <n v="21.61918985586027"/>
    <n v="342.5771972391926"/>
    <n v="-10886.8482057772"/>
    <n v="-4689.953263089051"/>
    <n v="-2164.358832822622"/>
    <n v="-824.0165602190473"/>
    <n v="770.6143557444693"/>
    <n v="1830.979034839715"/>
    <n v="3361.986303833046"/>
    <n v="5667.480867983782"/>
    <n v="3204.629515545021"/>
    <n v="1602.610935804328"/>
    <n v="640.9332484879997"/>
    <n v="320.4359871285033"/>
    <n v="-320.3586740623859"/>
    <n v="-640.6251525193602"/>
    <n v="-1600.736927432558"/>
    <n v="-3197.932867858531"/>
  </r>
  <r>
    <x v="2"/>
    <x v="2"/>
    <x v="2"/>
    <x v="1"/>
    <x v="2"/>
    <x v="9"/>
    <x v="29"/>
    <x v="1"/>
    <x v="2"/>
    <n v="0.4228637600047526"/>
    <x v="8"/>
    <n v="788.0883682012923"/>
    <n v="-7880.883682012923"/>
    <x v="0"/>
    <x v="0"/>
    <n v="-2926.702718583054"/>
    <n v="28.5451028020423"/>
    <n v="-2.358738569876377"/>
    <n v="-25.6473247635522"/>
    <n v="29267.02718583054"/>
    <n v="-285.451028020423"/>
    <n v="23.58738569876377"/>
    <n v="256.473247635522"/>
    <n v="-8132.488662659894"/>
    <n v="-3457.093672391429"/>
    <n v="-1590.77464922013"/>
    <n v="-605.228249448819"/>
    <n v="566.1174080865021"/>
    <n v="1346.292661309722"/>
    <n v="2478.673631029869"/>
    <n v="4215.123062082401"/>
    <n v="2804.612634804489"/>
    <n v="1416.7910622401"/>
    <n v="569.3869093688227"/>
    <n v="285.0843708858565"/>
    <n v="-285.7949025973221"/>
    <n v="-572.2346943215734"/>
    <n v="-1434.840105487719"/>
    <n v="-2880.555698041271"/>
  </r>
  <r>
    <x v="2"/>
    <x v="2"/>
    <x v="2"/>
    <x v="1"/>
    <x v="2"/>
    <x v="9"/>
    <x v="29"/>
    <x v="1"/>
    <x v="2"/>
    <n v="0.4228637600047526"/>
    <x v="8"/>
    <n v="788.0883682012923"/>
    <n v="-7880.883682012923"/>
    <x v="0"/>
    <x v="0"/>
    <n v="-2926.702718583054"/>
    <n v="28.5451028020423"/>
    <n v="-2.358738569876377"/>
    <n v="-25.6473247635522"/>
    <n v="29267.02718583054"/>
    <n v="-285.451028020423"/>
    <n v="23.58738569876377"/>
    <n v="256.473247635522"/>
    <n v="-8132.488662659894"/>
    <n v="-3457.093672391429"/>
    <n v="-1590.77464922013"/>
    <n v="-605.228249448819"/>
    <n v="566.1174080865021"/>
    <n v="1346.292661309722"/>
    <n v="2478.673631029869"/>
    <n v="4215.123062082401"/>
    <n v="2804.612634804489"/>
    <n v="1416.7910622401"/>
    <n v="569.3869093688227"/>
    <n v="285.0843708858565"/>
    <n v="-285.7949025973221"/>
    <n v="-572.2346943215734"/>
    <n v="-1434.840105487719"/>
    <n v="-2880.555698041271"/>
  </r>
</pivotCacheRecords>
</file>

<file path=xl/pivotCache/pivotCacheRecords3.xml><?xml version="1.0" encoding="utf-8"?>
<pivotCacheRecords xmlns="http://schemas.openxmlformats.org/spreadsheetml/2006/main" count="83">
  <r>
    <x v="0"/>
    <x v="0"/>
    <x v="0"/>
    <x v="0"/>
    <x v="0"/>
    <x v="0"/>
    <x v="0"/>
    <x v="0"/>
    <x v="0"/>
    <n v="0"/>
    <x v="0"/>
    <n v="1095.788903156733"/>
    <n v="27394.72257891833"/>
    <x v="0"/>
    <x v="0"/>
    <n v="1095.788903156733"/>
    <n v="0"/>
    <n v="0.06004322757023196"/>
    <n v="2.101512964958118"/>
    <n v="27394.72257891833"/>
    <n v="0"/>
    <n v="1.501080689255799"/>
    <n v="52.53782412395294"/>
    <n v="-5478.944515783667"/>
    <n v="-2739.472257891834"/>
    <n v="-1369.73612894592"/>
    <n v="-547.8944515783667"/>
    <n v="547.8944515783667"/>
    <n v="1369.736128945914"/>
    <n v="2739.472257891834"/>
    <n v="5478.944515783667"/>
    <n v="0"/>
    <n v="0"/>
    <n v="0"/>
    <n v="0"/>
    <n v="0"/>
    <n v="0"/>
    <n v="0"/>
    <n v="0"/>
  </r>
  <r>
    <x v="0"/>
    <x v="0"/>
    <x v="0"/>
    <x v="1"/>
    <x v="0"/>
    <x v="1"/>
    <x v="1"/>
    <x v="1"/>
    <x v="0"/>
    <n v="0.5324774237538278"/>
    <x v="1"/>
    <n v="34.15839326892504"/>
    <n v="6831.678653785008"/>
    <x v="0"/>
    <x v="0"/>
    <n v="-230.2047827201964"/>
    <n v="1.383324887036943"/>
    <n v="-0.5307820456150451"/>
    <n v="-0.5069978717599591"/>
    <n v="-46040.95654403928"/>
    <n v="276.6649774073886"/>
    <n v="-106.156409123009"/>
    <n v="-101.3995743519918"/>
    <n v="16198.97576810407"/>
    <n v="6162.765029589701"/>
    <n v="2666.166662935308"/>
    <n v="976.623636855868"/>
    <n v="-868.2326069369424"/>
    <n v="-1988.038844615312"/>
    <n v="-3441.38021643816"/>
    <n v="-5224.205183272312"/>
    <n v="-2623.365768320622"/>
    <n v="-1350.638630317417"/>
    <n v="-548.3659066701534"/>
    <n v="-275.4448152592772"/>
    <n v="277.8452327431864"/>
    <n v="557.9745616740297"/>
    <n v="1410.999409578011"/>
    <n v="2869.251643482284"/>
  </r>
  <r>
    <x v="0"/>
    <x v="0"/>
    <x v="0"/>
    <x v="1"/>
    <x v="0"/>
    <x v="2"/>
    <x v="2"/>
    <x v="1"/>
    <x v="0"/>
    <n v="0.4707529337342356"/>
    <x v="1"/>
    <n v="46.02687836772424"/>
    <n v="-2301.343918386212"/>
    <x v="0"/>
    <x v="0"/>
    <n v="-318.2314722312879"/>
    <n v="1.643732645535802"/>
    <n v="-0.5591682385653859"/>
    <n v="-0.698577658683037"/>
    <n v="15911.5736115644"/>
    <n v="-82.18663227679008"/>
    <n v="27.9584119282693"/>
    <n v="34.92888293415185"/>
    <n v="-5347.79076140372"/>
    <n v="-2097.825119573315"/>
    <n v="-916.1397822859982"/>
    <n v="-336.8803186118384"/>
    <n v="300.4744670161102"/>
    <n v="688.8602981805718"/>
    <n v="1192.624078756414"/>
    <n v="1802.525273554095"/>
    <n v="800.768944058089"/>
    <n v="406.2689933666604"/>
    <n v="163.6763448030052"/>
    <n v="82.01619604019754"/>
    <n v="-82.34990587539244"/>
    <n v="-165.0128211924908"/>
    <n v="-414.6941952280997"/>
    <n v="-835.5370565276388"/>
  </r>
  <r>
    <x v="0"/>
    <x v="0"/>
    <x v="0"/>
    <x v="1"/>
    <x v="0"/>
    <x v="0"/>
    <x v="3"/>
    <x v="1"/>
    <x v="0"/>
    <n v="0.4091774650795282"/>
    <x v="1"/>
    <n v="79.24718808555144"/>
    <n v="1981.179702138786"/>
    <x v="1"/>
    <x v="0"/>
    <n v="-512.9754372647533"/>
    <n v="1.908319569067536"/>
    <n v="-0.5680042692993313"/>
    <n v="-1.135769418480036"/>
    <n v="-12824.38593161883"/>
    <n v="47.7079892266884"/>
    <n v="-14.20010673248328"/>
    <n v="-28.39423546200091"/>
    <n v="3764.511588095539"/>
    <n v="1593.150856000275"/>
    <n v="718.5768757039114"/>
    <n v="268.7525998856387"/>
    <n v="-244.456605715817"/>
    <n v="-567.4575161659434"/>
    <n v="-998.9351147077201"/>
    <n v="-1540.556264144252"/>
    <n v="-477.5028250360776"/>
    <n v="-238.6506666604504"/>
    <n v="-95.43416709331893"/>
    <n v="-47.71257565217866"/>
    <n v="47.70332450816568"/>
    <n v="95.39716343229827"/>
    <n v="238.4194343082314"/>
    <n v="476.5785047952022"/>
  </r>
  <r>
    <x v="0"/>
    <x v="0"/>
    <x v="0"/>
    <x v="1"/>
    <x v="0"/>
    <x v="3"/>
    <x v="4"/>
    <x v="1"/>
    <x v="0"/>
    <n v="0.4459509823595961"/>
    <x v="1"/>
    <n v="54.64712329293639"/>
    <n v="-1366.17808232341"/>
    <x v="0"/>
    <x v="0"/>
    <n v="-375.3113717333711"/>
    <n v="1.763231005510364"/>
    <n v="-0.5692606384200173"/>
    <n v="-0.824577935666891"/>
    <n v="9382.784293334276"/>
    <n v="-44.08077513775909"/>
    <n v="14.23151596050043"/>
    <n v="20.61444839167227"/>
    <n v="-3037.002833287911"/>
    <n v="-1218.350181810433"/>
    <n v="-536.6514699353075"/>
    <n v="-198.1703903162838"/>
    <n v="177.5632005999256"/>
    <n v="408.1665370544599"/>
    <n v="708.9112475815789"/>
    <n v="1074.333730247243"/>
    <n v="435.2513095141688"/>
    <n v="219.2017523660724"/>
    <n v="87.9840232866556"/>
    <n v="44.0375225495842"/>
    <n v="-44.12190752252911"/>
    <n v="-88.32209304500935"/>
    <n v="-221.338123151925"/>
    <n v="-444.1466820977794"/>
  </r>
  <r>
    <x v="0"/>
    <x v="0"/>
    <x v="0"/>
    <x v="1"/>
    <x v="0"/>
    <x v="0"/>
    <x v="5"/>
    <x v="2"/>
    <x v="0"/>
    <n v="0.379359911885529"/>
    <x v="1"/>
    <n v="27.84597683072775"/>
    <n v="696.1494207681937"/>
    <x v="0"/>
    <x v="0"/>
    <n v="297.0708670258043"/>
    <n v="1.589922866296527"/>
    <n v="-0.4226593414310972"/>
    <n v="0.5163217072234344"/>
    <n v="7426.771675645108"/>
    <n v="39.74807165741318"/>
    <n v="-10.56648353577743"/>
    <n v="12.90804268058586"/>
    <n v="-662.9889905190962"/>
    <n v="-499.9725733411328"/>
    <n v="-306.5065883839907"/>
    <n v="-137.8144172910972"/>
    <n v="159.6447258176454"/>
    <n v="442.1949742975741"/>
    <n v="1032.386343338894"/>
    <n v="2648.420047107558"/>
    <n v="-365.6819222133876"/>
    <n v="-191.7661909749853"/>
    <n v="-78.45860132761828"/>
    <n v="-39.49467513805871"/>
    <n v="39.99021078309966"/>
    <n v="80.443522355651"/>
    <n v="204.2943422404534"/>
    <n v="417.5895688814734"/>
  </r>
  <r>
    <x v="0"/>
    <x v="0"/>
    <x v="0"/>
    <x v="1"/>
    <x v="0"/>
    <x v="0"/>
    <x v="3"/>
    <x v="2"/>
    <x v="0"/>
    <n v="0.4091774650795282"/>
    <x v="1"/>
    <n v="77.35419320653995"/>
    <n v="1933.854830163499"/>
    <x v="0"/>
    <x v="0"/>
    <n v="582.8134658919798"/>
    <n v="1.908319569067536"/>
    <n v="-0.5410418660534643"/>
    <n v="0.9693739476159121"/>
    <n v="14570.3366472995"/>
    <n v="47.7079892266884"/>
    <n v="-13.52604665133661"/>
    <n v="24.2343486903978"/>
    <n v="-1714.432927688126"/>
    <n v="-1146.321401891555"/>
    <n v="-651.1592532420068"/>
    <n v="-279.1418516927251"/>
    <n v="303.4378458625511"/>
    <n v="802.2786127799704"/>
    <n v="1740.537143184115"/>
    <n v="3938.38825163942"/>
    <n v="-477.5028250360762"/>
    <n v="-238.650666660449"/>
    <n v="-95.43416709331751"/>
    <n v="-47.71257565217724"/>
    <n v="47.70332450816568"/>
    <n v="95.39716343229969"/>
    <n v="238.4194343082356"/>
    <n v="476.578504795205"/>
  </r>
  <r>
    <x v="0"/>
    <x v="0"/>
    <x v="0"/>
    <x v="1"/>
    <x v="0"/>
    <x v="2"/>
    <x v="4"/>
    <x v="1"/>
    <x v="0"/>
    <n v="0.4459509823595961"/>
    <x v="1"/>
    <n v="54.64712329293639"/>
    <n v="-2732.356164646819"/>
    <x v="0"/>
    <x v="0"/>
    <n v="-375.3113717333711"/>
    <n v="1.763231005510364"/>
    <n v="-0.5692606384200173"/>
    <n v="-0.824577935666891"/>
    <n v="18765.56858666855"/>
    <n v="-88.16155027551818"/>
    <n v="28.46303192100087"/>
    <n v="41.22889678334455"/>
    <n v="-6074.005666575823"/>
    <n v="-2436.700363620866"/>
    <n v="-1073.302939870615"/>
    <n v="-396.3407806325677"/>
    <n v="355.1264011998512"/>
    <n v="816.3330741089197"/>
    <n v="1417.822495163158"/>
    <n v="2148.667460494485"/>
    <n v="870.5026190283377"/>
    <n v="438.4035047321447"/>
    <n v="175.9680465733112"/>
    <n v="88.07504509916839"/>
    <n v="-88.24381504505823"/>
    <n v="-176.6441860900187"/>
    <n v="-442.67624630385"/>
    <n v="-888.2933641955589"/>
  </r>
  <r>
    <x v="0"/>
    <x v="0"/>
    <x v="0"/>
    <x v="1"/>
    <x v="0"/>
    <x v="2"/>
    <x v="4"/>
    <x v="1"/>
    <x v="0"/>
    <n v="0.4459509823595961"/>
    <x v="1"/>
    <n v="54.64712329293639"/>
    <n v="-2732.356164646819"/>
    <x v="1"/>
    <x v="0"/>
    <n v="-375.3113717333711"/>
    <n v="1.763231005510364"/>
    <n v="-0.5692606384200173"/>
    <n v="-0.824577935666891"/>
    <n v="18765.56858666855"/>
    <n v="-88.16155027551818"/>
    <n v="28.46303192100087"/>
    <n v="41.22889678334455"/>
    <n v="-6074.005666575823"/>
    <n v="-2436.700363620866"/>
    <n v="-1073.302939870615"/>
    <n v="-396.3407806325677"/>
    <n v="355.1264011998512"/>
    <n v="816.3330741089197"/>
    <n v="1417.822495163158"/>
    <n v="2148.667460494485"/>
    <n v="870.5026190283377"/>
    <n v="438.4035047321447"/>
    <n v="175.9680465733112"/>
    <n v="88.07504509916839"/>
    <n v="-88.24381504505823"/>
    <n v="-176.6441860900187"/>
    <n v="-442.67624630385"/>
    <n v="-888.2933641955589"/>
  </r>
  <r>
    <x v="0"/>
    <x v="0"/>
    <x v="0"/>
    <x v="1"/>
    <x v="0"/>
    <x v="2"/>
    <x v="3"/>
    <x v="2"/>
    <x v="0"/>
    <n v="0.4091774650795282"/>
    <x v="1"/>
    <n v="77.35419320653995"/>
    <n v="-3867.709660326997"/>
    <x v="1"/>
    <x v="0"/>
    <n v="582.8134658919798"/>
    <n v="1.908319569067536"/>
    <n v="-0.5410418660534643"/>
    <n v="0.9693739476159121"/>
    <n v="-29140.67329459899"/>
    <n v="-95.41597845337679"/>
    <n v="27.05209330267321"/>
    <n v="-48.4686973807956"/>
    <n v="3428.865855376253"/>
    <n v="2292.64280378311"/>
    <n v="1302.318506484014"/>
    <n v="558.2837033854503"/>
    <n v="-606.8756917251022"/>
    <n v="-1604.557225559941"/>
    <n v="-3481.074286368229"/>
    <n v="-7876.776503278839"/>
    <n v="955.0056500721524"/>
    <n v="477.3013333208979"/>
    <n v="190.868334186635"/>
    <n v="95.42515130435447"/>
    <n v="-95.40664901633136"/>
    <n v="-190.7943268645994"/>
    <n v="-476.8388686164712"/>
    <n v="-953.1570095904101"/>
  </r>
  <r>
    <x v="0"/>
    <x v="0"/>
    <x v="0"/>
    <x v="1"/>
    <x v="0"/>
    <x v="4"/>
    <x v="5"/>
    <x v="2"/>
    <x v="0"/>
    <n v="0.379359911885529"/>
    <x v="1"/>
    <n v="27.84597683072775"/>
    <n v="835.3793049218325"/>
    <x v="0"/>
    <x v="0"/>
    <n v="297.0708670258043"/>
    <n v="1.589922866296527"/>
    <n v="-0.4226593414310972"/>
    <n v="0.5163217072234344"/>
    <n v="8912.126010774129"/>
    <n v="47.69768598889583"/>
    <n v="-12.67978024293292"/>
    <n v="15.48965121670303"/>
    <n v="-795.5867886229154"/>
    <n v="-599.9670880093594"/>
    <n v="-367.8079060607888"/>
    <n v="-165.3773007493166"/>
    <n v="191.5736709811745"/>
    <n v="530.6339691570889"/>
    <n v="1238.863612006672"/>
    <n v="3178.10405652907"/>
    <n v="-438.8183066560651"/>
    <n v="-230.1194291699824"/>
    <n v="-94.15032159314194"/>
    <n v="-47.39361016567045"/>
    <n v="47.98825293971959"/>
    <n v="96.5322268267812"/>
    <n v="245.153210688544"/>
    <n v="501.1074826577681"/>
  </r>
  <r>
    <x v="0"/>
    <x v="0"/>
    <x v="0"/>
    <x v="1"/>
    <x v="0"/>
    <x v="0"/>
    <x v="1"/>
    <x v="1"/>
    <x v="0"/>
    <n v="0.5324774237538278"/>
    <x v="1"/>
    <n v="34.15839326892504"/>
    <n v="853.9598317231259"/>
    <x v="0"/>
    <x v="0"/>
    <n v="-230.2047827201964"/>
    <n v="1.383324887036943"/>
    <n v="-0.5307820456150451"/>
    <n v="-0.5069978717599591"/>
    <n v="-5755.11956800491"/>
    <n v="34.58312217592357"/>
    <n v="-13.26955114037613"/>
    <n v="-12.67494679399898"/>
    <n v="2024.871971013008"/>
    <n v="770.3456286987126"/>
    <n v="333.2708328669135"/>
    <n v="122.0779546069835"/>
    <n v="-108.5290758671178"/>
    <n v="-248.504855576914"/>
    <n v="-430.1725270547699"/>
    <n v="-653.025647909039"/>
    <n v="-327.9207210400778"/>
    <n v="-168.8298287896771"/>
    <n v="-68.54573833376918"/>
    <n v="-34.43060190740965"/>
    <n v="34.73065409289831"/>
    <n v="69.74682020925371"/>
    <n v="176.3749261972514"/>
    <n v="358.6564554352855"/>
  </r>
  <r>
    <x v="0"/>
    <x v="0"/>
    <x v="0"/>
    <x v="1"/>
    <x v="0"/>
    <x v="5"/>
    <x v="2"/>
    <x v="2"/>
    <x v="0"/>
    <n v="0.4707529337342356"/>
    <x v="1"/>
    <n v="142.9252543119297"/>
    <n v="-2858.505086238595"/>
    <x v="2"/>
    <x v="0"/>
    <n v="777.5574309254451"/>
    <n v="1.643732645535802"/>
    <n v="-0.5292285611303261"/>
    <n v="1.217102804464276"/>
    <n v="-15551.1486185089"/>
    <n v="-32.87465291071604"/>
    <n v="10.58457122260652"/>
    <n v="-24.34205608928552"/>
    <n v="2244.039308065443"/>
    <n v="1352.44775848414"/>
    <n v="729.3329902423352"/>
    <n v="303.5634338179557"/>
    <n v="-318.1257744562504"/>
    <n v="-820.2447838845046"/>
    <n v="-1714.528174810903"/>
    <n v="-3662.145503205297"/>
    <n v="320.3075776232345"/>
    <n v="162.5075973466619"/>
    <n v="65.47053792120096"/>
    <n v="32.80647841607788"/>
    <n v="-32.93996235015811"/>
    <n v="-66.00512847699974"/>
    <n v="-165.8776780912399"/>
    <n v="-334.2148226110567"/>
  </r>
  <r>
    <x v="0"/>
    <x v="0"/>
    <x v="0"/>
    <x v="1"/>
    <x v="0"/>
    <x v="2"/>
    <x v="3"/>
    <x v="1"/>
    <x v="1"/>
    <n v="0.3589510978465105"/>
    <x v="2"/>
    <n v="104.7759448502605"/>
    <n v="-5238.797242513027"/>
    <x v="0"/>
    <x v="0"/>
    <n v="-497.4402612530578"/>
    <n v="2.871527448255475"/>
    <n v="-0.3226133366266605"/>
    <n v="-2.656350936510528"/>
    <n v="24872.01306265289"/>
    <n v="-143.5763724127738"/>
    <n v="16.13066683133302"/>
    <n v="132.8175468255264"/>
    <n v="-6855.141638984822"/>
    <n v="-2956.543834145515"/>
    <n v="-1359.353964850982"/>
    <n v="-515.7443169732971"/>
    <n v="479.4889766350479"/>
    <n v="1133.313060123979"/>
    <n v="2060.286528549619"/>
    <n v="3394.681906969058"/>
    <n v="1438.320661734122"/>
    <n v="718.5547177219007"/>
    <n v="287.2636006769795"/>
    <n v="143.6043519789024"/>
    <n v="-143.5478629535794"/>
    <n v="-287.0376496702846"/>
    <n v="-717.1427494943742"/>
    <n v="-1432.676176771983"/>
  </r>
  <r>
    <x v="0"/>
    <x v="0"/>
    <x v="0"/>
    <x v="1"/>
    <x v="0"/>
    <x v="6"/>
    <x v="4"/>
    <x v="2"/>
    <x v="1"/>
    <n v="0.3956107821031494"/>
    <x v="2"/>
    <n v="145.0637636331924"/>
    <n v="2901.275272663847"/>
    <x v="0"/>
    <x v="0"/>
    <n v="697.8230908756541"/>
    <n v="2.70915382462463"/>
    <n v="-0.3173272250433948"/>
    <n v="2.438198676329763"/>
    <n v="13956.46181751308"/>
    <n v="54.18307649249259"/>
    <n v="-6.346544500867896"/>
    <n v="48.76397352659527"/>
    <n v="-2095.91875912354"/>
    <n v="-1229.310004276493"/>
    <n v="-657.5431737249517"/>
    <n v="-272.8227845252422"/>
    <n v="285.2401046989212"/>
    <n v="735.0621248053767"/>
    <n v="1538.083497783655"/>
    <n v="3308.71854277611"/>
    <n v="-538.204670172745"/>
    <n v="-270.189066329558"/>
    <n v="-108.2638993615933"/>
    <n v="-54.15856839098296"/>
    <n v="54.20561240159941"/>
    <n v="108.4526031371956"/>
    <n v="271.3918918088234"/>
    <n v="543.3711875931431"/>
  </r>
  <r>
    <x v="0"/>
    <x v="0"/>
    <x v="0"/>
    <x v="1"/>
    <x v="0"/>
    <x v="0"/>
    <x v="6"/>
    <x v="1"/>
    <x v="1"/>
    <n v="0.5183581634691705"/>
    <x v="2"/>
    <n v="59.77348106043328"/>
    <n v="1494.337026510832"/>
    <x v="1"/>
    <x v="0"/>
    <n v="-249.6786401546188"/>
    <n v="2.193458172418087"/>
    <n v="-0.3540684537438659"/>
    <n v="-1.364980589469134"/>
    <n v="-6241.966003865469"/>
    <n v="54.83645431045217"/>
    <n v="-8.851711343596646"/>
    <n v="-34.12451473672834"/>
    <n v="1832.956016451997"/>
    <n v="757.1030407057229"/>
    <n v="343.6806669051656"/>
    <n v="129.7375896293055"/>
    <n v="-120.1428316385325"/>
    <n v="-283.6648032842589"/>
    <n v="-516.3663331983422"/>
    <n v="-860.5709341434463"/>
    <n v="-529.0347768096879"/>
    <n v="-269.8534300989998"/>
    <n v="-109.0223124334535"/>
    <n v="-54.67708023120039"/>
    <n v="54.98958696090455"/>
    <n v="110.2735357241748"/>
    <n v="277.7262085839005"/>
    <n v="561.2946720981064"/>
  </r>
  <r>
    <x v="0"/>
    <x v="0"/>
    <x v="0"/>
    <x v="1"/>
    <x v="0"/>
    <x v="0"/>
    <x v="6"/>
    <x v="1"/>
    <x v="1"/>
    <n v="0.5183581634691705"/>
    <x v="2"/>
    <n v="59.77348106043328"/>
    <n v="1494.337026510832"/>
    <x v="0"/>
    <x v="0"/>
    <n v="-249.6786401546188"/>
    <n v="2.193458172418087"/>
    <n v="-0.3540684537438659"/>
    <n v="-1.364980589469134"/>
    <n v="-6241.966003865469"/>
    <n v="54.83645431045217"/>
    <n v="-8.851711343596646"/>
    <n v="-34.12451473672834"/>
    <n v="1832.956016451997"/>
    <n v="757.1030407057229"/>
    <n v="343.6806669051656"/>
    <n v="129.7375896293055"/>
    <n v="-120.1428316385325"/>
    <n v="-283.6648032842589"/>
    <n v="-516.3663331983422"/>
    <n v="-860.5709341434463"/>
    <n v="-529.0347768096879"/>
    <n v="-269.8534300989998"/>
    <n v="-109.0223124334535"/>
    <n v="-54.67708023120039"/>
    <n v="54.98958696090455"/>
    <n v="110.2735357241748"/>
    <n v="277.7262085839005"/>
    <n v="561.2946720981064"/>
  </r>
  <r>
    <x v="0"/>
    <x v="0"/>
    <x v="0"/>
    <x v="1"/>
    <x v="0"/>
    <x v="7"/>
    <x v="7"/>
    <x v="2"/>
    <x v="1"/>
    <n v="0.3296965043050946"/>
    <x v="2"/>
    <n v="27.25662556687024"/>
    <n v="1362.831278343512"/>
    <x v="0"/>
    <x v="0"/>
    <n v="240.2186814046144"/>
    <n v="2.145922457034433"/>
    <n v="-0.2153106675838806"/>
    <n v="0.9393668764349812"/>
    <n v="12010.93407023072"/>
    <n v="107.2961228517216"/>
    <n v="-10.76553337919403"/>
    <n v="46.96834382174906"/>
    <n v="-1233.350553466066"/>
    <n v="-867.7440453481154"/>
    <n v="-512.5052616977357"/>
    <n v="-225.7189897037833"/>
    <n v="255.214129109217"/>
    <n v="696.3043264795772"/>
    <n v="1595.322529037813"/>
    <n v="4031.880188957186"/>
    <n v="-913.8035375807625"/>
    <n v="-501.4479553003952"/>
    <n v="-209.3828129948619"/>
    <n v="-106.0243396311321"/>
    <n v="108.5101306141851"/>
    <n v="219.3391298627418"/>
    <n v="564.2492020442631"/>
    <n v="1173.087351953149"/>
  </r>
  <r>
    <x v="0"/>
    <x v="0"/>
    <x v="0"/>
    <x v="1"/>
    <x v="0"/>
    <x v="7"/>
    <x v="8"/>
    <x v="2"/>
    <x v="1"/>
    <n v="0.3283081874014362"/>
    <x v="2"/>
    <n v="32.68830311692281"/>
    <n v="1634.415155846141"/>
    <x v="0"/>
    <x v="0"/>
    <n v="277.5694022465324"/>
    <n v="2.323268067113874"/>
    <n v="-0.2317325629961187"/>
    <n v="1.080160464653894"/>
    <n v="13878.47011232662"/>
    <n v="116.1634033556937"/>
    <n v="-11.58662814980594"/>
    <n v="54.00802323269471"/>
    <n v="-1467.006077286103"/>
    <n v="-1019.635084065894"/>
    <n v="-597.4234888200683"/>
    <n v="-261.753289721868"/>
    <n v="293.818969192337"/>
    <n v="797.1735166514791"/>
    <n v="1809.41027071248"/>
    <n v="4490.675187441049"/>
    <n v="-1026.112793072679"/>
    <n v="-551.5239544553481"/>
    <n v="-228.0060583325678"/>
    <n v="-115.1110697197211"/>
    <n v="117.1635994096832"/>
    <n v="236.2299369789937"/>
    <n v="603.5284012491716"/>
    <n v="1242.927899499885"/>
  </r>
  <r>
    <x v="0"/>
    <x v="0"/>
    <x v="0"/>
    <x v="1"/>
    <x v="0"/>
    <x v="8"/>
    <x v="5"/>
    <x v="2"/>
    <x v="1"/>
    <n v="0.3293213367633642"/>
    <x v="2"/>
    <n v="47.6618300998731"/>
    <n v="-1429.854902996193"/>
    <x v="0"/>
    <x v="0"/>
    <n v="368.1581996282611"/>
    <n v="2.646297677651333"/>
    <n v="-0.2636447051472841"/>
    <n v="1.413696314906041"/>
    <n v="-11044.74598884783"/>
    <n v="-79.38893032953999"/>
    <n v="7.909341154418524"/>
    <n v="-42.41088944718122"/>
    <n v="1252.884624748891"/>
    <n v="844.2455560058767"/>
    <n v="485.2618423408435"/>
    <n v="210.038824245251"/>
    <n v="-231.8843987103725"/>
    <n v="-621.2980476051678"/>
    <n v="-1381.408823408102"/>
    <n v="-3298.219360694529"/>
    <n v="748.8831704760114"/>
    <n v="387.5326257256847"/>
    <n v="157.4101209120948"/>
    <n v="79.05727755759074"/>
    <n v="-79.70159358643912"/>
    <n v="-159.9933767232091"/>
    <n v="-403.9440940867649"/>
    <n v="-818.5682531874636"/>
  </r>
  <r>
    <x v="0"/>
    <x v="0"/>
    <x v="0"/>
    <x v="1"/>
    <x v="0"/>
    <x v="8"/>
    <x v="2"/>
    <x v="1"/>
    <x v="1"/>
    <n v="0.4203620087394941"/>
    <x v="2"/>
    <n v="73.94641992027641"/>
    <n v="-2218.392597608292"/>
    <x v="2"/>
    <x v="0"/>
    <n v="-348.2059934890927"/>
    <n v="2.587449935252132"/>
    <n v="-0.3395154152138755"/>
    <n v="-1.862096946819409"/>
    <n v="10446.17980467278"/>
    <n v="-77.62349805756395"/>
    <n v="10.18546245641627"/>
    <n v="55.86290840458227"/>
    <n v="-3055.500405437306"/>
    <n v="-1271.767201893771"/>
    <n v="-576.934230997789"/>
    <n v="-217.4450725864091"/>
    <n v="200.7012806115915"/>
    <n v="472.3406657530256"/>
    <n v="854.2261906758552"/>
    <n v="1401.312778778269"/>
    <n v="764.8294275534067"/>
    <n v="385.7084360051425"/>
    <n v="154.8963121022285"/>
    <n v="77.53846914675819"/>
    <n v="-77.70357500379816"/>
    <n v="-155.558007384368"/>
    <n v="-389.9003471301012"/>
    <n v="-782.4418521525075"/>
  </r>
  <r>
    <x v="0"/>
    <x v="0"/>
    <x v="0"/>
    <x v="1"/>
    <x v="0"/>
    <x v="2"/>
    <x v="3"/>
    <x v="2"/>
    <x v="1"/>
    <n v="0.3589510978465105"/>
    <x v="2"/>
    <n v="102.3685718099392"/>
    <n v="-5118.428590496961"/>
    <x v="0"/>
    <x v="0"/>
    <n v="592.8983079912356"/>
    <n v="2.871527448255475"/>
    <n v="-0.3077761249811354"/>
    <n v="2.163706507539417"/>
    <n v="-29644.91539956178"/>
    <n v="-143.5763724127738"/>
    <n v="15.38880624905677"/>
    <n v="-108.1853253769709"/>
    <n v="4048.244053458123"/>
    <n v="2495.149012075956"/>
    <n v="1366.492458259759"/>
    <n v="574.5942522709981"/>
    <n v="-610.849592609236"/>
    <n v="-1592.533362986751"/>
    <n v="-3391.40631767184"/>
    <n v="-7508.703785473876"/>
    <n v="1438.320661734122"/>
    <n v="718.5547177219036"/>
    <n v="287.2636006769852"/>
    <n v="143.6043519789052"/>
    <n v="-143.5478629535766"/>
    <n v="-287.0376496702789"/>
    <n v="-717.1427494943799"/>
    <n v="-1432.676176771986"/>
  </r>
  <r>
    <x v="0"/>
    <x v="0"/>
    <x v="0"/>
    <x v="1"/>
    <x v="0"/>
    <x v="5"/>
    <x v="4"/>
    <x v="1"/>
    <x v="1"/>
    <n v="0.3956107821031494"/>
    <x v="2"/>
    <n v="81.90638013643689"/>
    <n v="-1638.127602728738"/>
    <x v="0"/>
    <x v="0"/>
    <n v="-392.5154783686393"/>
    <n v="2.70915382462463"/>
    <n v="-0.3348588787383888"/>
    <n v="-2.092655321077186"/>
    <n v="7850.309567372786"/>
    <n v="-54.18307649249259"/>
    <n v="6.697177574767776"/>
    <n v="41.85310642154371"/>
    <n v="-2265.435517853635"/>
    <n v="-951.3671342120927"/>
    <n v="-432.7953955193414"/>
    <n v="-163.3126431724759"/>
    <n v="150.8953229987924"/>
    <n v="355.2764444389163"/>
    <n v="642.5936407049312"/>
    <n v="1052.635734201062"/>
    <n v="538.2046701727484"/>
    <n v="270.189066329558"/>
    <n v="108.2638993615933"/>
    <n v="54.15856839098296"/>
    <n v="-54.20561240159941"/>
    <n v="-108.4526031371934"/>
    <n v="-271.3918918088223"/>
    <n v="-543.3711875931431"/>
  </r>
  <r>
    <x v="0"/>
    <x v="0"/>
    <x v="0"/>
    <x v="1"/>
    <x v="0"/>
    <x v="5"/>
    <x v="4"/>
    <x v="2"/>
    <x v="1"/>
    <n v="0.3956107821031494"/>
    <x v="2"/>
    <n v="145.0637636331924"/>
    <n v="-2901.275272663847"/>
    <x v="3"/>
    <x v="0"/>
    <n v="697.8230908756541"/>
    <n v="2.70915382462463"/>
    <n v="-0.3173272250433948"/>
    <n v="2.438198676329763"/>
    <n v="-13956.46181751308"/>
    <n v="-54.18307649249259"/>
    <n v="6.346544500867896"/>
    <n v="-48.76397352659527"/>
    <n v="2095.91875912354"/>
    <n v="1229.310004276493"/>
    <n v="657.5431737249517"/>
    <n v="272.8227845252422"/>
    <n v="-285.2401046989212"/>
    <n v="-735.0621248053767"/>
    <n v="-1538.083497783655"/>
    <n v="-3308.71854277611"/>
    <n v="538.204670172745"/>
    <n v="270.189066329558"/>
    <n v="108.2638993615933"/>
    <n v="54.15856839098296"/>
    <n v="-54.20561240159941"/>
    <n v="-108.4526031371956"/>
    <n v="-271.3918918088234"/>
    <n v="-543.3711875931431"/>
  </r>
  <r>
    <x v="0"/>
    <x v="0"/>
    <x v="0"/>
    <x v="1"/>
    <x v="0"/>
    <x v="2"/>
    <x v="3"/>
    <x v="1"/>
    <x v="2"/>
    <n v="0.3291774650795283"/>
    <x v="3"/>
    <n v="119.0565342707733"/>
    <n v="-5952.826713538664"/>
    <x v="0"/>
    <x v="0"/>
    <n v="-486.1571239085741"/>
    <n v="3.565862866956633"/>
    <n v="-0.2305188158877784"/>
    <n v="-4.178461420854673"/>
    <n v="24307.8561954287"/>
    <n v="-178.2931433478316"/>
    <n v="11.52594079438892"/>
    <n v="208.9230710427337"/>
    <n v="-6516.766495236973"/>
    <n v="-2838.609511426691"/>
    <n v="-1315.653947733924"/>
    <n v="-501.9964942874111"/>
    <n v="470.6263675361271"/>
    <n v="1119.924151748125"/>
    <n v="2060.466032709633"/>
    <n v="3480.999454284594"/>
    <n v="1787.475574709771"/>
    <n v="892.6657457004296"/>
    <n v="356.7843985776932"/>
    <n v="178.3431789076474"/>
    <n v="-178.2420945395756"/>
    <n v="-356.3800687403187"/>
    <n v="-890.1390206327505"/>
    <n v="-1777.373630588292"/>
  </r>
  <r>
    <x v="0"/>
    <x v="0"/>
    <x v="0"/>
    <x v="1"/>
    <x v="0"/>
    <x v="2"/>
    <x v="5"/>
    <x v="2"/>
    <x v="2"/>
    <n v="0.299359911885529"/>
    <x v="3"/>
    <n v="59.68218208165382"/>
    <n v="-2984.109104082691"/>
    <x v="2"/>
    <x v="0"/>
    <n v="398.8308035706539"/>
    <n v="3.396455344156573"/>
    <n v="-0.1961454133486093"/>
    <n v="2.341519249732275"/>
    <n v="-19941.5401785327"/>
    <n v="-169.8227672078287"/>
    <n v="9.807270667430465"/>
    <n v="-117.0759624866138"/>
    <n v="2474.885283455837"/>
    <n v="1593.984090538335"/>
    <n v="895.340588072969"/>
    <n v="382.4459453915182"/>
    <n v="-415.2945819301522"/>
    <n v="-1100.057705460918"/>
    <n v="-2404.582663015572"/>
    <n v="-5591.922872264675"/>
    <n v="1614.286400993751"/>
    <n v="832.1777726390252"/>
    <n v="337.2276813811396"/>
    <n v="169.2396749065267"/>
    <n v="-170.3667932439657"/>
    <n v="-341.7500373536001"/>
    <n v="-861.0624028161112"/>
    <n v="-1739.449494691138"/>
  </r>
  <r>
    <x v="0"/>
    <x v="0"/>
    <x v="0"/>
    <x v="1"/>
    <x v="0"/>
    <x v="5"/>
    <x v="2"/>
    <x v="1"/>
    <x v="2"/>
    <n v="0.3907529337342356"/>
    <x v="3"/>
    <n v="91.1067158000829"/>
    <n v="-1822.134316001658"/>
    <x v="0"/>
    <x v="0"/>
    <n v="-355.0475720400593"/>
    <n v="3.253683838983344"/>
    <n v="-0.2503229297625993"/>
    <n v="-3.080298096868928"/>
    <n v="7100.951440801186"/>
    <n v="-65.07367677966688"/>
    <n v="5.006458595251986"/>
    <n v="61.60596193737855"/>
    <n v="-1972.071451965252"/>
    <n v="-839.9803053686082"/>
    <n v="-386.3808154202911"/>
    <n v="-146.9194448977885"/>
    <n v="137.2715108552586"/>
    <n v="326.0969268697852"/>
    <n v="599.0867927175259"/>
    <n v="1013.433576249857"/>
    <n v="643.7020194481374"/>
    <n v="323.9568521690444"/>
    <n v="129.9484001337976"/>
    <n v="65.025971540814"/>
    <n v="-65.11758295548702"/>
    <n v="-130.3158646501674"/>
    <n v="-326.298726159938"/>
    <n v="-653.7546459241537"/>
  </r>
  <r>
    <x v="0"/>
    <x v="0"/>
    <x v="0"/>
    <x v="1"/>
    <x v="0"/>
    <x v="2"/>
    <x v="9"/>
    <x v="1"/>
    <x v="2"/>
    <n v="0.3454346844247569"/>
    <x v="3"/>
    <n v="107.293390034258"/>
    <n v="-5364.669501712899"/>
    <x v="0"/>
    <x v="0"/>
    <n v="-438.0484602927332"/>
    <n v="3.491177886159346"/>
    <n v="-0.2371366702277448"/>
    <n v="-3.765099898147994"/>
    <n v="21902.42301463666"/>
    <n v="-174.5588943079673"/>
    <n v="11.85683351138724"/>
    <n v="188.2549949073997"/>
    <n v="-5974.100775480383"/>
    <n v="-2576.134387125501"/>
    <n v="-1189.284012108564"/>
    <n v="-452.8639254875628"/>
    <n v="423.5935145729457"/>
    <n v="1006.564741623967"/>
    <n v="1848.446060436984"/>
    <n v="3116.238977082202"/>
    <n v="1746.72735620384"/>
    <n v="873.2926944230229"/>
    <n v="349.2144363373484"/>
    <n v="174.584357746923"/>
    <n v="-174.5309647724923"/>
    <n v="-349.0013826405658"/>
    <n v="-871.9842358467645"/>
    <n v="-1741.852270774891"/>
  </r>
  <r>
    <x v="0"/>
    <x v="0"/>
    <x v="0"/>
    <x v="1"/>
    <x v="0"/>
    <x v="2"/>
    <x v="9"/>
    <x v="2"/>
    <x v="2"/>
    <n v="0.3454346844247569"/>
    <x v="3"/>
    <n v="138.0228660807181"/>
    <n v="-6901.143304035903"/>
    <x v="3"/>
    <x v="0"/>
    <n v="646.8668844026771"/>
    <n v="3.491177886159346"/>
    <n v="-0.2282324121659597"/>
    <n v="3.513114866222841"/>
    <n v="-32343.34422013385"/>
    <n v="-174.5588943079673"/>
    <n v="11.41162060829798"/>
    <n v="-175.6557433111421"/>
    <n v="4875.052671473718"/>
    <n v="2848.442336351545"/>
    <n v="1523.004349629957"/>
    <n v="632.0514192078463"/>
    <n v="-661.3218301224691"/>
    <n v="-1705.723620114557"/>
    <n v="-3576.130663040064"/>
    <n v="-7732.914469871909"/>
    <n v="1746.727356203834"/>
    <n v="873.2926944230172"/>
    <n v="349.2144363373455"/>
    <n v="174.5843577469202"/>
    <n v="-174.5309647724952"/>
    <n v="-349.0013826405658"/>
    <n v="-871.9842358467702"/>
    <n v="-1741.852270774899"/>
  </r>
  <r>
    <x v="1"/>
    <x v="1"/>
    <x v="1"/>
    <x v="0"/>
    <x v="1"/>
    <x v="6"/>
    <x v="0"/>
    <x v="0"/>
    <x v="0"/>
    <n v="0"/>
    <x v="0"/>
    <n v="2892.769107970997"/>
    <n v="57855.38215941993"/>
    <x v="0"/>
    <x v="0"/>
    <n v="2892.769107970997"/>
    <n v="0"/>
    <n v="0.1743586859598957"/>
    <n v="5.547776371451227"/>
    <n v="57855.38215941993"/>
    <n v="0"/>
    <n v="3.487173719197914"/>
    <n v="110.9555274290245"/>
    <n v="-11571.07643188398"/>
    <n v="-5785.538215941997"/>
    <n v="-2892.769107970998"/>
    <n v="-1157.107643188401"/>
    <n v="1157.107643188392"/>
    <n v="2892.769107970998"/>
    <n v="5785.538215941997"/>
    <n v="11571.07643188398"/>
    <n v="0"/>
    <n v="0"/>
    <n v="0"/>
    <n v="0"/>
    <n v="0"/>
    <n v="0"/>
    <n v="0"/>
    <n v="0"/>
  </r>
  <r>
    <x v="1"/>
    <x v="1"/>
    <x v="1"/>
    <x v="1"/>
    <x v="1"/>
    <x v="5"/>
    <x v="10"/>
    <x v="2"/>
    <x v="0"/>
    <n v="0.397567985636796"/>
    <x v="4"/>
    <n v="163.2721510824517"/>
    <n v="-3265.443021649035"/>
    <x v="1"/>
    <x v="0"/>
    <n v="1351.359799689"/>
    <n v="5.036755186288929"/>
    <n v="-1.420482234237848"/>
    <n v="2.2785242576016"/>
    <n v="-27027.19599378001"/>
    <n v="-100.7351037257786"/>
    <n v="28.40964468475695"/>
    <n v="-45.57048515203199"/>
    <n v="2966.993076283131"/>
    <n v="2049.335299587099"/>
    <n v="1185.912799293556"/>
    <n v="514.0562717112107"/>
    <n v="-566.847109837372"/>
    <n v="-1514.009320600167"/>
    <n v="-3336.00919873033"/>
    <n v="-7741.64278562941"/>
    <n v="1003.380030731714"/>
    <n v="502.8656973476109"/>
    <n v="201.3547311612456"/>
    <n v="100.7072978006045"/>
    <n v="-100.7609262865526"/>
    <n v="-201.5697898377766"/>
    <n v="-504.2340018831874"/>
    <n v="-1009.220415491368"/>
  </r>
  <r>
    <x v="1"/>
    <x v="1"/>
    <x v="1"/>
    <x v="1"/>
    <x v="1"/>
    <x v="8"/>
    <x v="11"/>
    <x v="2"/>
    <x v="0"/>
    <n v="0.4264333531544322"/>
    <x v="4"/>
    <n v="258.0918594055265"/>
    <n v="-7742.755782165796"/>
    <x v="0"/>
    <x v="0"/>
    <n v="1738.840409950007"/>
    <n v="4.890734023296609"/>
    <n v="-1.474138141866373"/>
    <n v="2.839791740770236"/>
    <n v="-52165.2122985002"/>
    <n v="-146.7220206988983"/>
    <n v="44.22414425599118"/>
    <n v="-85.19375222310708"/>
    <n v="6627.301013296097"/>
    <n v="4267.669875888141"/>
    <n v="2376.220549393786"/>
    <n v="1006.881455102402"/>
    <n v="-1078.594729150689"/>
    <n v="-2822.806811831465"/>
    <n v="-6030.924675963595"/>
    <n v="-13319.58345712919"/>
    <n v="1462.655676308555"/>
    <n v="732.6796518232845"/>
    <n v="293.3117379748751"/>
    <n v="146.6902056442791"/>
    <n v="-146.7514696729631"/>
    <n v="-293.5573886866723"/>
    <n v="-734.241320022993"/>
    <n v="-1469.299154603423"/>
  </r>
  <r>
    <x v="1"/>
    <x v="1"/>
    <x v="1"/>
    <x v="1"/>
    <x v="1"/>
    <x v="5"/>
    <x v="10"/>
    <x v="1"/>
    <x v="0"/>
    <n v="0.397567985636796"/>
    <x v="4"/>
    <n v="249.9058558650599"/>
    <n v="-4998.117117301199"/>
    <x v="0"/>
    <x v="0"/>
    <n v="-1541.409308281996"/>
    <n v="5.036755186288929"/>
    <n v="-1.415260476689307"/>
    <n v="-3.43539894493956"/>
    <n v="30828.18616563993"/>
    <n v="-100.7351037257786"/>
    <n v="28.30520953378614"/>
    <n v="68.7079788987912"/>
    <n v="-8604.083355600851"/>
    <n v="-3736.2029163549"/>
    <n v="-1706.856308677443"/>
    <n v="-643.0513714771905"/>
    <n v="590.2605333510201"/>
    <n v="1378.759787370832"/>
    <n v="2449.529017211664"/>
    <n v="3829.433646254574"/>
    <n v="1003.380030731714"/>
    <n v="502.8656973476109"/>
    <n v="201.3547311612456"/>
    <n v="100.7072978006045"/>
    <n v="-100.7609262865526"/>
    <n v="-201.5697898377766"/>
    <n v="-504.2340018831874"/>
    <n v="-1009.220415491368"/>
  </r>
  <r>
    <x v="1"/>
    <x v="1"/>
    <x v="1"/>
    <x v="1"/>
    <x v="1"/>
    <x v="3"/>
    <x v="12"/>
    <x v="1"/>
    <x v="0"/>
    <n v="0.5013932770789301"/>
    <x v="4"/>
    <n v="102.9870956303946"/>
    <n v="-2574.677390759865"/>
    <x v="0"/>
    <x v="0"/>
    <n v="-706.5670107914634"/>
    <n v="3.975902152119903"/>
    <n v="-1.41771442247423"/>
    <n v="-1.552569519165207"/>
    <n v="17664.17526978658"/>
    <n v="-99.39755380299758"/>
    <n v="35.44286056185576"/>
    <n v="38.81423797913017"/>
    <n v="-6111.924969837708"/>
    <n v="-2353.27079652348"/>
    <n v="-1021.331302021824"/>
    <n v="-374.5299383310964"/>
    <n v="333.1812776737365"/>
    <n v="762.8790197140916"/>
    <n v="1319.470577297618"/>
    <n v="1996.090095624956"/>
    <n v="954.1928950076027"/>
    <n v="488.0365124216212"/>
    <n v="197.4453536292884"/>
    <n v="99.06652130011935"/>
    <n v="-99.71640558119361"/>
    <n v="-200.0473370486446"/>
    <n v="-504.4065525642594"/>
    <n v="-1021.24658207523"/>
  </r>
  <r>
    <x v="1"/>
    <x v="1"/>
    <x v="1"/>
    <x v="1"/>
    <x v="1"/>
    <x v="2"/>
    <x v="13"/>
    <x v="2"/>
    <x v="0"/>
    <n v="0.3887081478333821"/>
    <x v="4"/>
    <n v="127.1088324316245"/>
    <n v="-6355.441621581223"/>
    <x v="1"/>
    <x v="0"/>
    <n v="1153.454129131488"/>
    <n v="4.890201144516139"/>
    <n v="-1.350096523871846"/>
    <n v="1.968333445725766"/>
    <n v="-57672.70645657439"/>
    <n v="-244.5100572258069"/>
    <n v="67.50482619359229"/>
    <n v="-98.41667228628828"/>
    <n v="5891.71907732506"/>
    <n v="4202.244268133015"/>
    <n v="2480.09601909194"/>
    <n v="1088.153327862807"/>
    <n v="-1219.19972018776"/>
    <n v="-3294.195597521093"/>
    <n v="-7390.266161341833"/>
    <n v="-17675.10561525322"/>
    <n v="2398.393479320981"/>
    <n v="1212.614066726474"/>
    <n v="487.5637713637559"/>
    <n v="244.1560007949533"/>
    <n v="-244.8454612505884"/>
    <n v="-490.3269790267132"/>
    <n v="-1230.122160500252"/>
    <n v="-2472.02513579166"/>
  </r>
  <r>
    <x v="1"/>
    <x v="1"/>
    <x v="1"/>
    <x v="1"/>
    <x v="1"/>
    <x v="0"/>
    <x v="14"/>
    <x v="1"/>
    <x v="0"/>
    <n v="0.5342736088202618"/>
    <x v="4"/>
    <n v="89.55879870566866"/>
    <n v="2238.969967641717"/>
    <x v="0"/>
    <x v="0"/>
    <n v="-602.8210787168928"/>
    <n v="3.634487994435524"/>
    <n v="-1.381609804706897"/>
    <n v="-1.327851819714501"/>
    <n v="-15070.52696792232"/>
    <n v="90.8621998608881"/>
    <n v="-34.54024511767241"/>
    <n v="-33.19629549286253"/>
    <n v="5305.968568465702"/>
    <n v="2017.542985845688"/>
    <n v="872.7396052631946"/>
    <n v="319.6779757023108"/>
    <n v="-284.1996094245616"/>
    <n v="-650.7659498686394"/>
    <n v="-1126.599919137004"/>
    <n v="-1710.667526516938"/>
    <n v="-861.022148980669"/>
    <n v="-443.4447500099367"/>
    <n v="-180.0735388957037"/>
    <n v="-90.45637191183573"/>
    <n v="91.25484084162849"/>
    <n v="183.2697042721719"/>
    <n v="463.521301452559"/>
    <n v="942.7838093979716"/>
  </r>
  <r>
    <x v="1"/>
    <x v="1"/>
    <x v="1"/>
    <x v="1"/>
    <x v="1"/>
    <x v="5"/>
    <x v="10"/>
    <x v="1"/>
    <x v="0"/>
    <n v="0.397567985636796"/>
    <x v="4"/>
    <n v="249.9058558650599"/>
    <n v="-4998.117117301199"/>
    <x v="0"/>
    <x v="0"/>
    <n v="-1541.409308281996"/>
    <n v="5.036755186288929"/>
    <n v="-1.415260476689307"/>
    <n v="-3.43539894493956"/>
    <n v="30828.18616563993"/>
    <n v="-100.7351037257786"/>
    <n v="28.30520953378614"/>
    <n v="68.7079788987912"/>
    <n v="-8604.083355600851"/>
    <n v="-3736.2029163549"/>
    <n v="-1706.856308677443"/>
    <n v="-643.0513714771905"/>
    <n v="590.2605333510201"/>
    <n v="1378.759787370832"/>
    <n v="2449.529017211664"/>
    <n v="3829.433646254574"/>
    <n v="1003.380030731714"/>
    <n v="502.8656973476109"/>
    <n v="201.3547311612456"/>
    <n v="100.7072978006045"/>
    <n v="-100.7609262865526"/>
    <n v="-201.5697898377766"/>
    <n v="-504.2340018831874"/>
    <n v="-1009.220415491368"/>
  </r>
  <r>
    <x v="1"/>
    <x v="1"/>
    <x v="1"/>
    <x v="1"/>
    <x v="1"/>
    <x v="9"/>
    <x v="12"/>
    <x v="1"/>
    <x v="0"/>
    <n v="0.5013932770789301"/>
    <x v="4"/>
    <n v="102.9870956303946"/>
    <n v="-1029.870956303946"/>
    <x v="4"/>
    <x v="0"/>
    <n v="-706.5670107914634"/>
    <n v="3.975902152119903"/>
    <n v="-1.41771442247423"/>
    <n v="-1.552569519165207"/>
    <n v="7065.670107914634"/>
    <n v="-39.75902152119903"/>
    <n v="14.1771442247423"/>
    <n v="15.52569519165207"/>
    <n v="-2444.769987935083"/>
    <n v="-941.3083186093922"/>
    <n v="-408.5325208087295"/>
    <n v="-149.8119753324386"/>
    <n v="133.2725110694946"/>
    <n v="305.1516078856366"/>
    <n v="527.7882309190471"/>
    <n v="798.4360382499824"/>
    <n v="381.6771580030411"/>
    <n v="195.2146049686485"/>
    <n v="78.97814145171537"/>
    <n v="39.62660852004774"/>
    <n v="-39.88656223247744"/>
    <n v="-80.01893481945785"/>
    <n v="-201.7626210257038"/>
    <n v="-408.498632830092"/>
  </r>
  <r>
    <x v="1"/>
    <x v="1"/>
    <x v="1"/>
    <x v="1"/>
    <x v="1"/>
    <x v="9"/>
    <x v="13"/>
    <x v="2"/>
    <x v="0"/>
    <n v="0.3887081478333821"/>
    <x v="4"/>
    <n v="127.1088324316245"/>
    <n v="-1271.088324316245"/>
    <x v="0"/>
    <x v="0"/>
    <n v="1153.454129131488"/>
    <n v="4.890201144516139"/>
    <n v="-1.350096523871846"/>
    <n v="1.968333445725766"/>
    <n v="-11534.54129131488"/>
    <n v="-48.90201144516139"/>
    <n v="13.50096523871846"/>
    <n v="-19.68333445725765"/>
    <n v="1178.343815465012"/>
    <n v="840.448853626603"/>
    <n v="496.019203818388"/>
    <n v="217.6306655725614"/>
    <n v="-243.839944037552"/>
    <n v="-658.8391195042186"/>
    <n v="-1478.053232268367"/>
    <n v="-3535.021123050644"/>
    <n v="479.6786958641962"/>
    <n v="242.5228133452947"/>
    <n v="97.51275427275118"/>
    <n v="48.83120015899067"/>
    <n v="-48.96909225011768"/>
    <n v="-98.06539580534263"/>
    <n v="-246.0244321000505"/>
    <n v="-494.4050271583319"/>
  </r>
  <r>
    <x v="1"/>
    <x v="1"/>
    <x v="1"/>
    <x v="1"/>
    <x v="1"/>
    <x v="3"/>
    <x v="15"/>
    <x v="2"/>
    <x v="0"/>
    <n v="0.3828791483403539"/>
    <x v="4"/>
    <n v="97.94602408010473"/>
    <n v="-2448.650602002618"/>
    <x v="0"/>
    <x v="0"/>
    <n v="965.7821466885724"/>
    <n v="4.609043208448927"/>
    <n v="-1.254601074252918"/>
    <n v="1.664343248838158"/>
    <n v="-24144.55366721431"/>
    <n v="-115.2260802112232"/>
    <n v="31.36502685632296"/>
    <n v="-41.60858122095394"/>
    <n v="2304.438118585926"/>
    <n v="1691.703179403244"/>
    <n v="1017.555664311791"/>
    <n v="451.8690977358631"/>
    <n v="-514.5654229862657"/>
    <n v="-1407.051349785326"/>
    <n v="-3217.196260077372"/>
    <n v="-7951.632024007909"/>
    <n v="1101.309446901081"/>
    <n v="565.1388842257234"/>
    <n v="228.8294620464541"/>
    <n v="114.8306784653016"/>
    <n v="-115.6023140238375"/>
    <n v="-231.921279702874"/>
    <n v="-584.696207135832"/>
    <n v="-1183.031477382551"/>
  </r>
  <r>
    <x v="1"/>
    <x v="1"/>
    <x v="1"/>
    <x v="1"/>
    <x v="1"/>
    <x v="7"/>
    <x v="16"/>
    <x v="2"/>
    <x v="0"/>
    <n v="0.3794932506655077"/>
    <x v="4"/>
    <n v="74.71266074554023"/>
    <n v="3735.633037277012"/>
    <x v="2"/>
    <x v="0"/>
    <n v="793.7712534527068"/>
    <n v="4.222473967277715"/>
    <n v="-1.140068465199361"/>
    <n v="1.379016479164429"/>
    <n v="39688.56267263534"/>
    <n v="211.1236983638858"/>
    <n v="-57.00342325996807"/>
    <n v="68.95082395822146"/>
    <n v="-3555.657981854482"/>
    <n v="-2677.645225348971"/>
    <n v="-1639.844881250204"/>
    <n v="-736.8230148360738"/>
    <n v="852.7340459374102"/>
    <n v="2360.271475454647"/>
    <n v="5504.042881084331"/>
    <n v="14089.82042243709"/>
    <n v="-1946.966382013602"/>
    <n v="-1019.627139555848"/>
    <n v="-416.8954914685685"/>
    <n v="-209.8167952905101"/>
    <n v="212.3722233213471"/>
    <n v="427.1317268654627"/>
    <n v="1084.243588144608"/>
    <n v="2214.831085134301"/>
  </r>
  <r>
    <x v="1"/>
    <x v="1"/>
    <x v="1"/>
    <x v="1"/>
    <x v="1"/>
    <x v="5"/>
    <x v="13"/>
    <x v="1"/>
    <x v="0"/>
    <n v="0.3887081478333821"/>
    <x v="4"/>
    <n v="300.3762419968405"/>
    <n v="-6007.524839936809"/>
    <x v="0"/>
    <x v="0"/>
    <n v="-1739.314978839509"/>
    <n v="4.890201144516139"/>
    <n v="-1.339653008774764"/>
    <n v="-3.911736587905327"/>
    <n v="34786.29957679017"/>
    <n v="-97.80402289032278"/>
    <n v="26.79306017549528"/>
    <n v="78.23473175810653"/>
    <n v="-9214.388800953962"/>
    <n v="-4104.640508688794"/>
    <n v="-1900.73070033422"/>
    <n v="-721.8463120432762"/>
    <n v="669.4277551132882"/>
    <n v="1575.090868962561"/>
    <n v="2829.431751405264"/>
    <n v="4501.034185782699"/>
    <n v="959.3573917283948"/>
    <n v="485.0456266905849"/>
    <n v="195.0255085455046"/>
    <n v="97.66240031798134"/>
    <n v="-97.93818450023537"/>
    <n v="-196.1307916106853"/>
    <n v="-492.048864200101"/>
    <n v="-988.8100543166638"/>
  </r>
  <r>
    <x v="1"/>
    <x v="1"/>
    <x v="1"/>
    <x v="1"/>
    <x v="1"/>
    <x v="7"/>
    <x v="14"/>
    <x v="1"/>
    <x v="0"/>
    <n v="0.5342736088202618"/>
    <x v="4"/>
    <n v="89.55879870566866"/>
    <n v="4477.939935283433"/>
    <x v="0"/>
    <x v="0"/>
    <n v="-602.8210787168928"/>
    <n v="3.634487994435524"/>
    <n v="-1.381609804706897"/>
    <n v="-1.327851819714501"/>
    <n v="-30141.05393584464"/>
    <n v="181.7243997217762"/>
    <n v="-69.08049023534483"/>
    <n v="-66.39259098572506"/>
    <n v="10611.9371369314"/>
    <n v="4035.085971691376"/>
    <n v="1745.479210526389"/>
    <n v="639.3559514046217"/>
    <n v="-568.3992188491231"/>
    <n v="-1301.531899737279"/>
    <n v="-2253.199838274008"/>
    <n v="-3421.335053033876"/>
    <n v="-1722.044297961338"/>
    <n v="-886.8895000198734"/>
    <n v="-360.1470777914074"/>
    <n v="-180.9127438236715"/>
    <n v="182.509681683257"/>
    <n v="366.5394085443438"/>
    <n v="927.042602905118"/>
    <n v="1885.567618795943"/>
  </r>
  <r>
    <x v="1"/>
    <x v="1"/>
    <x v="1"/>
    <x v="1"/>
    <x v="1"/>
    <x v="10"/>
    <x v="14"/>
    <x v="1"/>
    <x v="1"/>
    <n v="0.4847081369456674"/>
    <x v="5"/>
    <n v="166.0285393978918"/>
    <n v="1660.285393978918"/>
    <x v="1"/>
    <x v="0"/>
    <n v="-725.6525306090011"/>
    <n v="6.100428874593145"/>
    <n v="-0.9058503088317829"/>
    <n v="-3.933168555372871"/>
    <n v="-7256.525306090011"/>
    <n v="61.00428874593145"/>
    <n v="-9.058503088317828"/>
    <n v="-39.33168555372871"/>
    <n v="2138.776965320931"/>
    <n v="883.1233929107566"/>
    <n v="400.3364168519772"/>
    <n v="150.9545310273859"/>
    <n v="-139.5402520249809"/>
    <n v="-328.9619738179306"/>
    <n v="-597.1523844902129"/>
    <n v="-989.1364362443318"/>
    <n v="-591.6268800357432"/>
    <n v="-300.9521160218037"/>
    <n v="-121.4013183906218"/>
    <n v="-60.8558642786079"/>
    <n v="61.1462854221179"/>
    <n v="122.5643659870366"/>
    <n v="308.2812284344413"/>
    <n v="621.8266931802634"/>
  </r>
  <r>
    <x v="1"/>
    <x v="1"/>
    <x v="1"/>
    <x v="1"/>
    <x v="1"/>
    <x v="5"/>
    <x v="16"/>
    <x v="2"/>
    <x v="1"/>
    <n v="0.3295311229603768"/>
    <x v="5"/>
    <n v="128.0535211463728"/>
    <n v="-2561.070422927455"/>
    <x v="0"/>
    <x v="0"/>
    <n v="983.9958224993833"/>
    <n v="7.016969014912193"/>
    <n v="-0.7127353490198628"/>
    <n v="3.775526315557115"/>
    <n v="-19679.91644998766"/>
    <n v="-140.3393802982439"/>
    <n v="14.25470698039726"/>
    <n v="-75.5105263111423"/>
    <n v="2240.826667051697"/>
    <n v="1507.404705541954"/>
    <n v="865.5648364238482"/>
    <n v="374.4125798898335"/>
    <n v="-413.0053775569468"/>
    <n v="-1105.888174600846"/>
    <n v="-2456.351458659797"/>
    <n v="-5853.777817876498"/>
    <n v="1327.388064655245"/>
    <n v="685.8248391006327"/>
    <n v="278.3738344972221"/>
    <n v="139.780592911452"/>
    <n v="-140.865964856248"/>
    <n v="-282.725535425609"/>
    <n v="-713.4767321692016"/>
    <n v="-1444.892913336423"/>
  </r>
  <r>
    <x v="1"/>
    <x v="1"/>
    <x v="1"/>
    <x v="1"/>
    <x v="1"/>
    <x v="11"/>
    <x v="11"/>
    <x v="1"/>
    <x v="1"/>
    <n v="0.3766984934447863"/>
    <x v="5"/>
    <n v="240.4831588844277"/>
    <n v="-9619.326355377107"/>
    <x v="0"/>
    <x v="0"/>
    <n v="-1156.292056565743"/>
    <n v="7.39113022146388"/>
    <n v="-0.8463453057670026"/>
    <n v="-6.161118073629519"/>
    <n v="46251.68226262971"/>
    <n v="-295.6452088585552"/>
    <n v="33.85381223068011"/>
    <n v="246.4447229451808"/>
    <n v="-13106.31349376426"/>
    <n v="-5564.674893039801"/>
    <n v="-2541.860907142909"/>
    <n v="-961.0795415462599"/>
    <n v="889.9321588105067"/>
    <n v="2097.97096416527"/>
    <n v="3800.355130875791"/>
    <n v="6232.583373697844"/>
    <n v="2953.929803832789"/>
    <n v="1477.973651951925"/>
    <n v="591.2796897068711"/>
    <n v="295.6447882256725"/>
    <n v="-295.6413732586589"/>
    <n v="-591.267042754298"/>
    <n v="-1477.939670571477"/>
    <n v="-2954.483436186347"/>
  </r>
  <r>
    <x v="1"/>
    <x v="1"/>
    <x v="1"/>
    <x v="1"/>
    <x v="1"/>
    <x v="2"/>
    <x v="13"/>
    <x v="2"/>
    <x v="1"/>
    <n v="0.3388216658274694"/>
    <x v="5"/>
    <n v="188.5464743704631"/>
    <n v="-9427.323718523156"/>
    <x v="0"/>
    <x v="0"/>
    <n v="1273.731440968315"/>
    <n v="7.544030972939468"/>
    <n v="-0.7854226835059162"/>
    <n v="4.786706291020662"/>
    <n v="-63686.57204841576"/>
    <n v="-377.2015486469734"/>
    <n v="39.27113417529581"/>
    <n v="-239.3353145510331"/>
    <n v="7920.571149782123"/>
    <n v="5113.153776485757"/>
    <n v="2868.263669416103"/>
    <n v="1223.165568290648"/>
    <n v="-1324.056131075656"/>
    <n v="-3496.711840601461"/>
    <n v="-7597.102544697759"/>
    <n v="-17404.47943172439"/>
    <n v="3726.804454572061"/>
    <n v="1876.968828995473"/>
    <n v="753.1235383333296"/>
    <n v="376.8939919932336"/>
    <n v="-377.4863854007663"/>
    <n v="-755.5004772640245"/>
    <n v="-1892.15330002753"/>
    <n v="-3792.631334355508"/>
  </r>
  <r>
    <x v="1"/>
    <x v="1"/>
    <x v="1"/>
    <x v="1"/>
    <x v="1"/>
    <x v="3"/>
    <x v="17"/>
    <x v="1"/>
    <x v="1"/>
    <n v="0.3602121151580933"/>
    <x v="5"/>
    <n v="273.2308413350711"/>
    <n v="-6830.771033376777"/>
    <x v="0"/>
    <x v="0"/>
    <n v="-1299.409530644887"/>
    <n v="7.566668831481832"/>
    <n v="-0.8256841117506103"/>
    <n v="-6.936852051747214"/>
    <n v="32485.23826612218"/>
    <n v="-189.1667207870458"/>
    <n v="20.64210279376526"/>
    <n v="173.4213012936803"/>
    <n v="-8975.528294049742"/>
    <n v="-3865.796420953438"/>
    <n v="-1776.36151159291"/>
    <n v="-673.7441770086889"/>
    <n v="626.1432769609542"/>
    <n v="1479.568659094912"/>
    <n v="2688.786211750496"/>
    <n v="4427.975674678131"/>
    <n v="1895.0793417439"/>
    <n v="946.7297054979156"/>
    <n v="378.4809422485978"/>
    <n v="189.203939228247"/>
    <n v="-189.128816456531"/>
    <n v="-378.1804538026165"/>
    <n v="-944.8517683822956"/>
    <n v="-1887.569253984742"/>
  </r>
  <r>
    <x v="1"/>
    <x v="1"/>
    <x v="1"/>
    <x v="1"/>
    <x v="1"/>
    <x v="5"/>
    <x v="18"/>
    <x v="2"/>
    <x v="1"/>
    <n v="0.3281181218661873"/>
    <x v="5"/>
    <n v="105.8983237204925"/>
    <n v="-2117.96647440985"/>
    <x v="2"/>
    <x v="0"/>
    <n v="856.7878076274118"/>
    <n v="6.621390563924795"/>
    <n v="-0.6703942678614886"/>
    <n v="3.312142655041479"/>
    <n v="-17135.75615254823"/>
    <n v="-132.4278112784959"/>
    <n v="13.40788535722977"/>
    <n v="-66.24285310082959"/>
    <n v="1878.872953180667"/>
    <n v="1285.367354425301"/>
    <n v="745.6276483252191"/>
    <n v="324.6028306457333"/>
    <n v="-361.177493974094"/>
    <n v="-973.4066876340194"/>
    <n v="-2185.122534620486"/>
    <n v="-5310.595498195394"/>
    <n v="1214.907409287573"/>
    <n v="638.9387105094738"/>
    <n v="261.4621046413367"/>
    <n v="131.6033346510017"/>
    <n v="-133.2079180756023"/>
    <n v="-267.8935735741379"/>
    <n v="-679.7166270622165"/>
    <n v="-1386.697125854323"/>
  </r>
  <r>
    <x v="1"/>
    <x v="1"/>
    <x v="1"/>
    <x v="1"/>
    <x v="1"/>
    <x v="9"/>
    <x v="17"/>
    <x v="1"/>
    <x v="1"/>
    <n v="0.3602121151580933"/>
    <x v="5"/>
    <n v="273.2308413350711"/>
    <n v="-2732.308413350711"/>
    <x v="0"/>
    <x v="0"/>
    <n v="-1299.409530644887"/>
    <n v="7.566668831481832"/>
    <n v="-0.8256841117506103"/>
    <n v="-6.936852051747214"/>
    <n v="12994.09530644887"/>
    <n v="-75.66668831481832"/>
    <n v="8.256841117506102"/>
    <n v="69.36852051747213"/>
    <n v="-3590.211317619896"/>
    <n v="-1546.318568381375"/>
    <n v="-710.544604637164"/>
    <n v="-269.4976708034756"/>
    <n v="250.4573107843817"/>
    <n v="591.8274636379647"/>
    <n v="1075.514484700199"/>
    <n v="1771.190269871253"/>
    <n v="758.0317366975601"/>
    <n v="378.6918821991662"/>
    <n v="151.3923768994391"/>
    <n v="75.6815756912988"/>
    <n v="-75.65152658261241"/>
    <n v="-151.2721815210466"/>
    <n v="-377.9407073529183"/>
    <n v="-755.0277015938968"/>
  </r>
  <r>
    <x v="1"/>
    <x v="1"/>
    <x v="1"/>
    <x v="1"/>
    <x v="1"/>
    <x v="6"/>
    <x v="19"/>
    <x v="2"/>
    <x v="1"/>
    <n v="0.32822526806959"/>
    <x v="5"/>
    <n v="87.90300500664432"/>
    <n v="1758.060100132886"/>
    <x v="0"/>
    <x v="0"/>
    <n v="743.3089995957409"/>
    <n v="6.17757992129292"/>
    <n v="-0.6261985576481844"/>
    <n v="2.890968907639577"/>
    <n v="14866.17999191482"/>
    <n v="123.5515984258584"/>
    <n v="-12.52397115296369"/>
    <n v="57.81937815279154"/>
    <n v="-1576.461637062977"/>
    <n v="-1094.212164872407"/>
    <n v="-640.555216479537"/>
    <n v="-280.4913451736138"/>
    <n v="314.6048797154845"/>
    <n v="853.0558132751185"/>
    <n v="1934.311276586357"/>
    <n v="4791.443822095063"/>
    <n v="-1095.3895614028"/>
    <n v="-587.5246226483637"/>
    <n v="-242.6473619188391"/>
    <n v="-122.4666204847017"/>
    <n v="124.5823760500593"/>
    <n v="251.1248706006563"/>
    <n v="641.1466237094282"/>
    <n v="1319.171873672808"/>
  </r>
  <r>
    <x v="1"/>
    <x v="1"/>
    <x v="1"/>
    <x v="1"/>
    <x v="1"/>
    <x v="9"/>
    <x v="15"/>
    <x v="2"/>
    <x v="1"/>
    <n v="0.3329517315006679"/>
    <x v="5"/>
    <n v="155.5355239027085"/>
    <n v="-1555.355239027085"/>
    <x v="3"/>
    <x v="0"/>
    <n v="1125.108044949679"/>
    <n v="7.336777896171201"/>
    <n v="-0.7519129558624211"/>
    <n v="4.276744544892114"/>
    <n v="-11251.08044949679"/>
    <n v="-73.36777896171201"/>
    <n v="7.519129558624211"/>
    <n v="-42.76744544892114"/>
    <n v="1336.694123277872"/>
    <n v="881.8133211325608"/>
    <n v="500.642422975809"/>
    <n v="215.0539424472765"/>
    <n v="-235.0227631215284"/>
    <n v="-624.9988318050828"/>
    <n v="-1372.938792682594"/>
    <n v="-3207.0447160141"/>
    <n v="711.794744507049"/>
    <n v="362.3414905716402"/>
    <n v="146.0877897069918"/>
    <n v="73.21114834227274"/>
    <n v="-73.514634185467"/>
    <n v="-147.3049453166743"/>
    <n v="-370.0918254673627"/>
    <n v="-744.9984024419769"/>
  </r>
  <r>
    <x v="1"/>
    <x v="1"/>
    <x v="1"/>
    <x v="1"/>
    <x v="1"/>
    <x v="5"/>
    <x v="20"/>
    <x v="1"/>
    <x v="1"/>
    <n v="0.3974198841694778"/>
    <x v="5"/>
    <n v="214.2470650336293"/>
    <n v="-4284.941300672585"/>
    <x v="0"/>
    <x v="0"/>
    <n v="-1025.821945718671"/>
    <n v="7.124540831081186"/>
    <n v="-0.8630164177004002"/>
    <n v="-5.469893444688227"/>
    <n v="20516.43891437341"/>
    <n v="-142.4908166216237"/>
    <n v="17.260328354008"/>
    <n v="109.3978688937645"/>
    <n v="-5928.437015097834"/>
    <n v="-2487.576419454713"/>
    <n v="-1131.322820616374"/>
    <n v="-426.8412664418656"/>
    <n v="394.3344899699105"/>
    <n v="928.3787580823082"/>
    <n v="1679.061806206282"/>
    <n v="2750.522454082345"/>
    <n v="1414.52007095093"/>
    <n v="710.3586439693754"/>
    <n v="284.685236697062"/>
    <n v="142.4196572187816"/>
    <n v="-142.5564819374085"/>
    <n v="-285.2340053448916"/>
    <n v="-713.8536804446039"/>
    <n v="-1429.488482502575"/>
  </r>
  <r>
    <x v="1"/>
    <x v="1"/>
    <x v="1"/>
    <x v="1"/>
    <x v="1"/>
    <x v="6"/>
    <x v="20"/>
    <x v="1"/>
    <x v="1"/>
    <n v="0.3974198841694778"/>
    <x v="5"/>
    <n v="214.2470650336293"/>
    <n v="4284.941300672585"/>
    <x v="2"/>
    <x v="0"/>
    <n v="-1025.821945718671"/>
    <n v="7.124540831081186"/>
    <n v="-0.8630164177004002"/>
    <n v="-5.469893444688227"/>
    <n v="-20516.43891437341"/>
    <n v="142.4908166216237"/>
    <n v="-17.260328354008"/>
    <n v="-109.3978688937645"/>
    <n v="5928.437015097834"/>
    <n v="2487.576419454713"/>
    <n v="1131.322820616374"/>
    <n v="426.8412664418656"/>
    <n v="-394.3344899699105"/>
    <n v="-928.3787580823082"/>
    <n v="-1679.061806206282"/>
    <n v="-2750.522454082345"/>
    <n v="-1414.52007095093"/>
    <n v="-710.3586439693754"/>
    <n v="-284.685236697062"/>
    <n v="-142.4196572187816"/>
    <n v="142.5564819374085"/>
    <n v="285.2340053448916"/>
    <n v="713.8536804446039"/>
    <n v="1429.488482502575"/>
  </r>
  <r>
    <x v="1"/>
    <x v="1"/>
    <x v="1"/>
    <x v="1"/>
    <x v="1"/>
    <x v="5"/>
    <x v="18"/>
    <x v="1"/>
    <x v="2"/>
    <n v="0.2981578468974518"/>
    <x v="6"/>
    <n v="559.5460730946502"/>
    <n v="-11190.921461893"/>
    <x v="0"/>
    <x v="0"/>
    <n v="-1909.017989266938"/>
    <n v="8.638705337253388"/>
    <n v="-0.4570355151719728"/>
    <n v="-17.04323681411289"/>
    <n v="38180.35978533876"/>
    <n v="-172.7741067450677"/>
    <n v="9.140710303439457"/>
    <n v="340.8647362822578"/>
    <n v="-9142.894114073761"/>
    <n v="-4221.522259905041"/>
    <n v="-2012.268733304836"/>
    <n v="-780.3009125475637"/>
    <n v="746.7467661298633"/>
    <n v="1803.157812758213"/>
    <n v="3393.555945687117"/>
    <n v="5958.833698511771"/>
    <n v="1604.03585659833"/>
    <n v="838.543139365438"/>
    <n v="341.9068932850359"/>
    <n v="171.8940544043289"/>
    <n v="-173.5986175528569"/>
    <n v="-348.744148382043"/>
    <n v="-882.1218995917798"/>
    <n v="-1791.301807802206"/>
  </r>
  <r>
    <x v="1"/>
    <x v="1"/>
    <x v="1"/>
    <x v="1"/>
    <x v="1"/>
    <x v="5"/>
    <x v="20"/>
    <x v="1"/>
    <x v="2"/>
    <n v="0.3685942853263595"/>
    <x v="6"/>
    <n v="256.2361415167702"/>
    <n v="-5124.722830335404"/>
    <x v="0"/>
    <x v="0"/>
    <n v="-1026.708707862466"/>
    <n v="8.884347021785732"/>
    <n v="-0.6237568183314702"/>
    <n v="-8.857591836810071"/>
    <n v="20534.17415724932"/>
    <n v="-177.6869404357146"/>
    <n v="12.47513636662941"/>
    <n v="177.1518367362014"/>
    <n v="-5673.594108014613"/>
    <n v="-2426.369637333623"/>
    <n v="-1117.078069777231"/>
    <n v="-424.8492395053199"/>
    <n v="396.9234652149703"/>
    <n v="942.6568117836837"/>
    <n v="1730.372686048622"/>
    <n v="2919.38860404241"/>
    <n v="1767.67764032307"/>
    <n v="886.7574094879978"/>
    <n v="355.1530799486136"/>
    <n v="177.6353255919457"/>
    <n v="-177.7318644712068"/>
    <n v="-355.5410589448729"/>
    <n v="-889.2634168466748"/>
    <n v="-1778.944279741286"/>
  </r>
  <r>
    <x v="1"/>
    <x v="1"/>
    <x v="1"/>
    <x v="1"/>
    <x v="1"/>
    <x v="12"/>
    <x v="12"/>
    <x v="1"/>
    <x v="2"/>
    <n v="0.4232857262844293"/>
    <x v="6"/>
    <n v="225.6264066879371"/>
    <n v="1128.132033439686"/>
    <x v="3"/>
    <x v="0"/>
    <n v="-837.3420966799464"/>
    <n v="8.172621511052853"/>
    <n v="-0.6640436409646883"/>
    <n v="-7.338851036950866"/>
    <n v="-4186.710483399732"/>
    <n v="40.86310755526426"/>
    <n v="-3.320218204823441"/>
    <n v="-36.69425518475433"/>
    <n v="1163.336181557178"/>
    <n v="494.527856631729"/>
    <n v="227.5589160469173"/>
    <n v="86.5783848433324"/>
    <n v="-80.98513576879384"/>
    <n v="-192.5953391061955"/>
    <n v="-354.6008751960238"/>
    <n v="-603.063703577732"/>
    <n v="-401.4575939093322"/>
    <n v="-202.8105985461514"/>
    <n v="-81.50825875058786"/>
    <n v="-40.81035941945856"/>
    <n v="40.91258547019322"/>
    <n v="81.91797420559681"/>
    <n v="205.4072191358853"/>
    <n v="412.3812069994165"/>
  </r>
  <r>
    <x v="2"/>
    <x v="2"/>
    <x v="2"/>
    <x v="0"/>
    <x v="2"/>
    <x v="9"/>
    <x v="0"/>
    <x v="0"/>
    <x v="0"/>
    <m/>
    <x v="0"/>
    <n v="10012.39446914123"/>
    <n v="-100123.9446914123"/>
    <x v="0"/>
    <x v="0"/>
    <n v="10012.39446914123"/>
    <n v="0"/>
    <n v="0.137156088618373"/>
    <n v="19.20185240657222"/>
    <n v="-100123.9446914123"/>
    <n v="0"/>
    <n v="-1.37156088618373"/>
    <n v="-192.0185240657222"/>
    <n v="20024.78893828247"/>
    <n v="10012.39446914122"/>
    <n v="5006.197234570627"/>
    <n v="2002.478893828265"/>
    <n v="-2002.478893828247"/>
    <n v="-5006.197234570609"/>
    <n v="-10012.39446914124"/>
    <n v="-20024.78893828244"/>
    <n v="0"/>
    <n v="0"/>
    <n v="0"/>
    <n v="0"/>
    <n v="0"/>
    <n v="0"/>
    <n v="0"/>
    <n v="0"/>
  </r>
  <r>
    <x v="2"/>
    <x v="2"/>
    <x v="2"/>
    <x v="1"/>
    <x v="2"/>
    <x v="5"/>
    <x v="21"/>
    <x v="2"/>
    <x v="0"/>
    <n v="0.41"/>
    <x v="7"/>
    <n v="716.2281775166866"/>
    <n v="-14324.56355033373"/>
    <x v="0"/>
    <x v="0"/>
    <n v="5364.311323328957"/>
    <n v="17.42209941951035"/>
    <n v="-5.0923749136734"/>
    <n v="8.91413206046189"/>
    <n v="-107286.2264665791"/>
    <n v="-348.441988390207"/>
    <n v="101.847498273468"/>
    <n v="-178.2826412092378"/>
    <n v="12677.6322587628"/>
    <n v="8459.412428282449"/>
    <n v="4799.922048917088"/>
    <n v="2056.293243094569"/>
    <n v="-2233.388432832307"/>
    <n v="-5901.505617206967"/>
    <n v="-12791.80274024318"/>
    <n v="-28903.00822870573"/>
    <n v="3487.568058092802"/>
    <n v="1743.031581856776"/>
    <n v="697.0187568076653"/>
    <n v="348.4759597097946"/>
    <n v="-348.4074646884255"/>
    <n v="-696.7447777048801"/>
    <n v="-1741.319255450617"/>
    <n v="-3480.719366505109"/>
  </r>
  <r>
    <x v="2"/>
    <x v="2"/>
    <x v="2"/>
    <x v="1"/>
    <x v="2"/>
    <x v="9"/>
    <x v="22"/>
    <x v="1"/>
    <x v="0"/>
    <n v="0.4721677408355954"/>
    <x v="7"/>
    <n v="416.9481752374145"/>
    <n v="-4169.481752374145"/>
    <x v="0"/>
    <x v="0"/>
    <n v="-2882.670092416011"/>
    <n v="14.95804045062122"/>
    <n v="-5.039077071802041"/>
    <n v="-6.328035033855886"/>
    <n v="28826.70092416011"/>
    <n v="-149.5804045062122"/>
    <n v="50.39077071802041"/>
    <n v="63.28035033855886"/>
    <n v="-9705.042749881562"/>
    <n v="-3803.073735124449"/>
    <n v="-1660.21071729378"/>
    <n v="-610.3798312263325"/>
    <n v="544.3185800742003"/>
    <n v="1247.76779091414"/>
    <n v="2160.037160235593"/>
    <n v="3264.539147739647"/>
    <n v="1456.331878605092"/>
    <n v="739.1673111415685"/>
    <n v="297.8550215387577"/>
    <n v="149.2610159950527"/>
    <n v="-149.8864621545954"/>
    <n v="-300.359835649665"/>
    <n v="-754.9560379984587"/>
    <n v="-1521.460564764157"/>
  </r>
  <r>
    <x v="2"/>
    <x v="2"/>
    <x v="2"/>
    <x v="1"/>
    <x v="2"/>
    <x v="5"/>
    <x v="21"/>
    <x v="1"/>
    <x v="0"/>
    <n v="0.41"/>
    <x v="7"/>
    <n v="716.2281775166866"/>
    <n v="-14324.56355033373"/>
    <x v="1"/>
    <x v="0"/>
    <n v="-4648.083145812271"/>
    <n v="17.42209941951035"/>
    <n v="-5.0923749136734"/>
    <n v="-10.28772034611033"/>
    <n v="92961.66291624542"/>
    <n v="-348.441988390207"/>
    <n v="101.847498273468"/>
    <n v="205.7544069222066"/>
    <n v="-27371.94561780214"/>
    <n v="-11565.37650999997"/>
    <n v="-5212.472420224185"/>
    <n v="-1948.664544561962"/>
    <n v="1771.569354824187"/>
    <n v="4110.888851934251"/>
    <n v="7232.986198039289"/>
    <n v="11146.56964785912"/>
    <n v="3487.568058092802"/>
    <n v="1743.031581856776"/>
    <n v="697.0187568076653"/>
    <n v="348.4759597097946"/>
    <n v="-348.4074646884255"/>
    <n v="-696.7447777048801"/>
    <n v="-1741.319255450617"/>
    <n v="-3480.719366505109"/>
  </r>
  <r>
    <x v="2"/>
    <x v="2"/>
    <x v="2"/>
    <x v="1"/>
    <x v="2"/>
    <x v="5"/>
    <x v="23"/>
    <x v="2"/>
    <x v="0"/>
    <n v="0.3975378258395253"/>
    <x v="7"/>
    <n v="564.7201907797671"/>
    <n v="-11294.40381559534"/>
    <x v="0"/>
    <x v="0"/>
    <n v="4675.322559846607"/>
    <n v="17.43240031044587"/>
    <n v="-4.942291620246277"/>
    <n v="7.883347009169285"/>
    <n v="-93506.45119693215"/>
    <n v="-348.6480062089175"/>
    <n v="98.84583240492553"/>
    <n v="-157.6669401833857"/>
    <n v="10262.80930594969"/>
    <n v="7089.315662177837"/>
    <n v="4102.689286442401"/>
    <n v="1778.449107630258"/>
    <n v="-1961.173991470205"/>
    <n v="-5238.327372297481"/>
    <n v="-11542.84271358527"/>
    <n v="-26788.84991322529"/>
    <n v="3472.63741846733"/>
    <n v="1740.416021928067"/>
    <n v="696.8932223281809"/>
    <n v="348.5510083130066"/>
    <n v="-348.7381024523347"/>
    <n v="-697.6434953281932"/>
    <n v="-1745.189436016062"/>
    <n v="-3493.009331705489"/>
  </r>
  <r>
    <x v="2"/>
    <x v="2"/>
    <x v="2"/>
    <x v="1"/>
    <x v="2"/>
    <x v="5"/>
    <x v="23"/>
    <x v="1"/>
    <x v="0"/>
    <n v="0.3975378258395253"/>
    <x v="7"/>
    <n v="865.4316989828703"/>
    <n v="-17308.63397965741"/>
    <x v="0"/>
    <x v="0"/>
    <n v="-5337.071909294621"/>
    <n v="17.43240031044587"/>
    <n v="-4.938172284517467"/>
    <n v="-11.89521239943628"/>
    <n v="106741.4381858924"/>
    <n v="-348.6480062089175"/>
    <n v="98.76344569034934"/>
    <n v="237.9042479887256"/>
    <n v="-29786.76857061524"/>
    <n v="-12935.4732761046"/>
    <n v="-5909.705182698854"/>
    <n v="-2226.508680026272"/>
    <n v="2043.78379618629"/>
    <n v="4774.067096843737"/>
    <n v="8481.946224697194"/>
    <n v="13260.72796333958"/>
    <n v="3472.63741846733"/>
    <n v="1740.416021928067"/>
    <n v="696.8932223281809"/>
    <n v="348.5510083130066"/>
    <n v="-348.7381024523347"/>
    <n v="-697.6434953281932"/>
    <n v="-1745.189436016062"/>
    <n v="-3493.009331705489"/>
  </r>
  <r>
    <x v="2"/>
    <x v="2"/>
    <x v="2"/>
    <x v="1"/>
    <x v="2"/>
    <x v="7"/>
    <x v="24"/>
    <x v="1"/>
    <x v="0"/>
    <n v="0.534139247868658"/>
    <x v="7"/>
    <n v="310.1372003311562"/>
    <n v="15506.86001655781"/>
    <x v="0"/>
    <x v="0"/>
    <n v="-2087.730599329114"/>
    <n v="12.58409064207193"/>
    <n v="-4.796934909963312"/>
    <n v="-4.598650574690931"/>
    <n v="-104386.5299664557"/>
    <n v="629.2045321035964"/>
    <n v="-239.8467454981656"/>
    <n v="-229.9325287345465"/>
    <n v="36750.15618256698"/>
    <n v="13974.43562978649"/>
    <n v="6045.0485564171"/>
    <n v="2214.260259157481"/>
    <n v="-1968.517255299605"/>
    <n v="-4507.540044239477"/>
    <n v="-7803.360366967683"/>
    <n v="-11848.66422593246"/>
    <n v="-5962.704039901007"/>
    <n v="-3070.843504217623"/>
    <n v="-1246.987743154375"/>
    <n v="-626.3968746861792"/>
    <n v="631.9209131972912"/>
    <n v="1269.099755091588"/>
    <n v="3209.739759335707"/>
    <n v="6528.369803912392"/>
  </r>
  <r>
    <x v="2"/>
    <x v="2"/>
    <x v="2"/>
    <x v="1"/>
    <x v="2"/>
    <x v="5"/>
    <x v="22"/>
    <x v="1"/>
    <x v="0"/>
    <n v="0.4721677408355954"/>
    <x v="7"/>
    <n v="416.9481752374145"/>
    <n v="-8338.96350474829"/>
    <x v="1"/>
    <x v="0"/>
    <n v="-2882.670092416011"/>
    <n v="14.95804045062122"/>
    <n v="-5.039077071802041"/>
    <n v="-6.328035033855886"/>
    <n v="57653.40184832022"/>
    <n v="-299.1608090124244"/>
    <n v="100.7815414360408"/>
    <n v="126.5607006771177"/>
    <n v="-19410.08549976312"/>
    <n v="-7606.147470248898"/>
    <n v="-3320.421434587561"/>
    <n v="-1220.759662452665"/>
    <n v="1088.637160148401"/>
    <n v="2495.535581828281"/>
    <n v="4320.074320471185"/>
    <n v="6529.078295479294"/>
    <n v="2912.663757210184"/>
    <n v="1478.334622283137"/>
    <n v="595.7100430775154"/>
    <n v="298.5220319901055"/>
    <n v="-299.7729243091908"/>
    <n v="-600.71967129933"/>
    <n v="-1509.912075996917"/>
    <n v="-3042.921129528313"/>
  </r>
  <r>
    <x v="2"/>
    <x v="2"/>
    <x v="2"/>
    <x v="1"/>
    <x v="2"/>
    <x v="5"/>
    <x v="22"/>
    <x v="1"/>
    <x v="0"/>
    <n v="0.4721677408355954"/>
    <x v="7"/>
    <n v="416.9481752374145"/>
    <n v="-8338.96350474829"/>
    <x v="0"/>
    <x v="0"/>
    <n v="-2882.670092416011"/>
    <n v="14.95804045062122"/>
    <n v="-5.039077071802041"/>
    <n v="-6.328035033855886"/>
    <n v="57653.40184832022"/>
    <n v="-299.1608090124244"/>
    <n v="100.7815414360408"/>
    <n v="126.5607006771177"/>
    <n v="-19410.08549976312"/>
    <n v="-7606.147470248898"/>
    <n v="-3320.421434587561"/>
    <n v="-1220.759662452665"/>
    <n v="1088.637160148401"/>
    <n v="2495.535581828281"/>
    <n v="4320.074320471185"/>
    <n v="6529.078295479294"/>
    <n v="2912.663757210184"/>
    <n v="1478.334622283137"/>
    <n v="595.7100430775154"/>
    <n v="298.5220319901055"/>
    <n v="-299.7729243091908"/>
    <n v="-600.71967129933"/>
    <n v="-1509.912075996917"/>
    <n v="-3042.921129528313"/>
  </r>
  <r>
    <x v="2"/>
    <x v="2"/>
    <x v="2"/>
    <x v="1"/>
    <x v="2"/>
    <x v="3"/>
    <x v="21"/>
    <x v="2"/>
    <x v="0"/>
    <n v="0.41"/>
    <x v="7"/>
    <n v="716.2281775166866"/>
    <n v="-17905.70443791716"/>
    <x v="0"/>
    <x v="0"/>
    <n v="5364.311323328957"/>
    <n v="17.42209941951035"/>
    <n v="-5.0923749136734"/>
    <n v="8.91413206046189"/>
    <n v="-134107.7830832239"/>
    <n v="-435.5524854877588"/>
    <n v="127.309372841835"/>
    <n v="-222.8533015115472"/>
    <n v="15847.0403234535"/>
    <n v="10574.26553535306"/>
    <n v="5999.902561146359"/>
    <n v="2570.366553868212"/>
    <n v="-2791.735541040384"/>
    <n v="-7376.882021508709"/>
    <n v="-15989.75342530398"/>
    <n v="-36128.76028588216"/>
    <n v="4359.460072616002"/>
    <n v="2178.78947732097"/>
    <n v="871.2734460095817"/>
    <n v="435.5949496372432"/>
    <n v="-435.5093308605319"/>
    <n v="-870.9309721311001"/>
    <n v="-2176.649069313271"/>
    <n v="-4350.899208131386"/>
  </r>
  <r>
    <x v="2"/>
    <x v="2"/>
    <x v="2"/>
    <x v="1"/>
    <x v="2"/>
    <x v="10"/>
    <x v="24"/>
    <x v="1"/>
    <x v="0"/>
    <n v="0.534139247868658"/>
    <x v="7"/>
    <n v="310.1372003311562"/>
    <n v="3101.372003311562"/>
    <x v="2"/>
    <x v="0"/>
    <n v="-2087.730599329114"/>
    <n v="12.58409064207193"/>
    <n v="-4.796934909963312"/>
    <n v="-4.598650574690931"/>
    <n v="-20877.30599329114"/>
    <n v="125.8409064207193"/>
    <n v="-47.96934909963312"/>
    <n v="-45.9865057469093"/>
    <n v="7350.031236513396"/>
    <n v="2794.887125957298"/>
    <n v="1209.00971128342"/>
    <n v="442.8520518314963"/>
    <n v="-393.703451059921"/>
    <n v="-901.5080088478953"/>
    <n v="-1560.672073393537"/>
    <n v="-2369.732845186491"/>
    <n v="-1192.540807980201"/>
    <n v="-614.1687008435247"/>
    <n v="-249.397548630875"/>
    <n v="-125.2793749372358"/>
    <n v="126.3841826394582"/>
    <n v="253.8199510183176"/>
    <n v="641.9479518671415"/>
    <n v="1305.673960782478"/>
  </r>
  <r>
    <x v="2"/>
    <x v="2"/>
    <x v="2"/>
    <x v="1"/>
    <x v="2"/>
    <x v="3"/>
    <x v="21"/>
    <x v="1"/>
    <x v="1"/>
    <n v="0.36"/>
    <x v="7"/>
    <n v="951.5731397348372"/>
    <n v="-23789.32849337093"/>
    <x v="0"/>
    <x v="0"/>
    <n v="-4524.173950745607"/>
    <n v="26.30690649682385"/>
    <n v="-2.928109577242342"/>
    <n v="-24.15329538540689"/>
    <n v="113104.3487686402"/>
    <n v="-657.6726624205963"/>
    <n v="73.20273943105853"/>
    <n v="603.8323846351723"/>
    <n v="-31237.50388590156"/>
    <n v="-13457.14661588513"/>
    <n v="-6184.259171235203"/>
    <n v="-2345.70922957837"/>
    <n v="2180.118778526798"/>
    <n v="5151.807634255521"/>
    <n v="9362.81622944491"/>
    <n v="15420.26389651571"/>
    <n v="6588.58612759459"/>
    <n v="3291.477749593105"/>
    <n v="1315.857961555093"/>
    <n v="657.8020141216257"/>
    <n v="-657.5409278002098"/>
    <n v="-1314.81362486561"/>
    <n v="-3284.951021346524"/>
    <n v="-6562.484585995026"/>
  </r>
  <r>
    <x v="2"/>
    <x v="2"/>
    <x v="2"/>
    <x v="1"/>
    <x v="2"/>
    <x v="9"/>
    <x v="22"/>
    <x v="1"/>
    <x v="1"/>
    <n v="0.4221677408355954"/>
    <x v="7"/>
    <n v="673.9545098205945"/>
    <n v="-6739.545098205945"/>
    <x v="0"/>
    <x v="0"/>
    <n v="-3168.341174870959"/>
    <n v="23.65137022418355"/>
    <n v="-3.09165145302772"/>
    <n v="-16.94820836261206"/>
    <n v="31683.41174870959"/>
    <n v="-236.5137022418355"/>
    <n v="30.9165145302772"/>
    <n v="169.4820836261206"/>
    <n v="-9273.49529592092"/>
    <n v="-3858.001259532966"/>
    <n v="-1749.953632820207"/>
    <n v="-659.5247988130086"/>
    <n v="608.7253994215735"/>
    <n v="1432.612213681705"/>
    <n v="2590.986830922425"/>
    <n v="4251.162321044238"/>
    <n v="2329.081868568883"/>
    <n v="1174.936835505659"/>
    <n v="471.915099629914"/>
    <n v="236.2438960817553"/>
    <n v="-236.7680033417128"/>
    <n v="-474.0154923268483"/>
    <n v="-1188.239764342557"/>
    <n v="-2384.923976928876"/>
  </r>
  <r>
    <x v="2"/>
    <x v="2"/>
    <x v="2"/>
    <x v="1"/>
    <x v="2"/>
    <x v="13"/>
    <x v="22"/>
    <x v="1"/>
    <x v="1"/>
    <n v="0.4221677408355954"/>
    <x v="7"/>
    <n v="673.9545098205945"/>
    <n v="-10109.31764730892"/>
    <x v="1"/>
    <x v="0"/>
    <n v="-3168.341174870959"/>
    <n v="23.65137022418355"/>
    <n v="-3.09165145302772"/>
    <n v="-16.94820836261206"/>
    <n v="47525.11762306438"/>
    <n v="-354.7705533627533"/>
    <n v="46.3747717954158"/>
    <n v="254.2231254391808"/>
    <n v="-13910.24294388138"/>
    <n v="-5787.001889299449"/>
    <n v="-2624.93044923031"/>
    <n v="-989.2871982195129"/>
    <n v="913.0880991323602"/>
    <n v="2148.918320522557"/>
    <n v="3886.480246383637"/>
    <n v="6376.743481566356"/>
    <n v="3493.622802853324"/>
    <n v="1762.405253258489"/>
    <n v="707.8726494448711"/>
    <n v="354.365844122633"/>
    <n v="-355.1520050125691"/>
    <n v="-711.0232384902724"/>
    <n v="-1782.359646513835"/>
    <n v="-3577.385965393314"/>
  </r>
  <r>
    <x v="2"/>
    <x v="2"/>
    <x v="2"/>
    <x v="1"/>
    <x v="2"/>
    <x v="5"/>
    <x v="25"/>
    <x v="2"/>
    <x v="1"/>
    <n v="0.3295010100547117"/>
    <x v="7"/>
    <n v="443.9842244954998"/>
    <n v="-8879.684489909996"/>
    <x v="0"/>
    <x v="0"/>
    <n v="3414.166847603307"/>
    <n v="24.37366780622899"/>
    <n v="-2.488063415902868"/>
    <n v="13.10135348822896"/>
    <n v="-68283.33695206615"/>
    <n v="-487.4733561245797"/>
    <n v="49.76126831805735"/>
    <n v="-262.0270697645792"/>
    <n v="7770.927123316031"/>
    <n v="5228.740118562155"/>
    <n v="3002.808926813732"/>
    <n v="1299.021786220419"/>
    <n v="-1433.087370783533"/>
    <n v="-3837.656410157851"/>
    <n v="-8525.245040432728"/>
    <n v="-20321.93946311243"/>
    <n v="4609.025098070852"/>
    <n v="2381.868590770955"/>
    <n v="966.8865514246954"/>
    <n v="485.5192600393639"/>
    <n v="-489.3149395509954"/>
    <n v="-982.1049281690375"/>
    <n v="-2478.567663043314"/>
    <n v="-5019.897042182956"/>
  </r>
  <r>
    <x v="2"/>
    <x v="2"/>
    <x v="2"/>
    <x v="1"/>
    <x v="2"/>
    <x v="9"/>
    <x v="25"/>
    <x v="1"/>
    <x v="1"/>
    <n v="0.3295010100547117"/>
    <x v="7"/>
    <n v="1644.333956344925"/>
    <n v="-16443.33956344926"/>
    <x v="4"/>
    <x v="0"/>
    <n v="-6585.754193622744"/>
    <n v="24.37366780622899"/>
    <n v="-2.471620268891232"/>
    <n v="-36.30258060670671"/>
    <n v="65857.54193622744"/>
    <n v="-243.7366780622899"/>
    <n v="24.71620268891232"/>
    <n v="363.025806067067"/>
    <n v="-16114.37852079407"/>
    <n v="-7385.550981944962"/>
    <n v="-3498.55605720616"/>
    <n v="-1350.473315135005"/>
    <n v="1283.440522853443"/>
    <n v="3081.132315534105"/>
    <n v="5737.298521009707"/>
    <n v="9838.872350895876"/>
    <n v="2304.512549035435"/>
    <n v="1190.934295385478"/>
    <n v="483.4432757123523"/>
    <n v="242.7596300197001"/>
    <n v="-244.6574697754932"/>
    <n v="-491.0524640845142"/>
    <n v="-1239.283831521643"/>
    <n v="-2509.948521091474"/>
  </r>
  <r>
    <x v="2"/>
    <x v="2"/>
    <x v="2"/>
    <x v="1"/>
    <x v="2"/>
    <x v="13"/>
    <x v="23"/>
    <x v="2"/>
    <x v="1"/>
    <n v="0.3475378258395254"/>
    <x v="7"/>
    <n v="790.0288254408497"/>
    <n v="-11850.43238161275"/>
    <x v="0"/>
    <x v="0"/>
    <n v="4948.916114605233"/>
    <n v="26.49339354262278"/>
    <n v="-2.848636193817772"/>
    <n v="18.34468091932783"/>
    <n v="-74233.74171907849"/>
    <n v="-397.4009031393417"/>
    <n v="42.72954290726658"/>
    <n v="-275.1702137899175"/>
    <n v="9681.682756504488"/>
    <n v="6106.701509964364"/>
    <n v="3383.752292187644"/>
    <n v="1432.531306869105"/>
    <n v="-1536.166827876891"/>
    <n v="-4029.558800515233"/>
    <n v="-8662.80368035848"/>
    <n v="-19488.0794511341"/>
    <n v="3967.708793577747"/>
    <n v="1986.073223733679"/>
    <n v="794.7017328743277"/>
    <n v="397.3795677506996"/>
    <n v="-397.4153665133372"/>
    <n v="-794.8467972273329"/>
    <n v="-1987.063282410136"/>
    <n v="-3972.961454172882"/>
  </r>
  <r>
    <x v="2"/>
    <x v="2"/>
    <x v="2"/>
    <x v="1"/>
    <x v="2"/>
    <x v="5"/>
    <x v="21"/>
    <x v="1"/>
    <x v="1"/>
    <n v="0.36"/>
    <x v="7"/>
    <n v="951.5731397348372"/>
    <n v="-19031.46279469674"/>
    <x v="0"/>
    <x v="0"/>
    <n v="-4524.173950745607"/>
    <n v="26.30690649682385"/>
    <n v="-2.928109577242342"/>
    <n v="-24.15329538540689"/>
    <n v="90483.47901491214"/>
    <n v="-526.1381299364771"/>
    <n v="58.56219154484683"/>
    <n v="483.0659077081378"/>
    <n v="-24990.00310872125"/>
    <n v="-10765.7172927081"/>
    <n v="-4947.407336988163"/>
    <n v="-1876.567383662696"/>
    <n v="1744.095022821439"/>
    <n v="4121.446107404417"/>
    <n v="7490.252983555929"/>
    <n v="12336.21111721257"/>
    <n v="5270.868902075672"/>
    <n v="2633.182199674484"/>
    <n v="1052.686369244075"/>
    <n v="526.2416112973006"/>
    <n v="-526.0327422401679"/>
    <n v="-1051.850899892488"/>
    <n v="-2627.960817077219"/>
    <n v="-5249.98766879602"/>
  </r>
  <r>
    <x v="2"/>
    <x v="2"/>
    <x v="2"/>
    <x v="1"/>
    <x v="2"/>
    <x v="5"/>
    <x v="26"/>
    <x v="2"/>
    <x v="1"/>
    <n v="0.3281105732045441"/>
    <x v="7"/>
    <n v="367.1853465664444"/>
    <n v="-7343.706931328888"/>
    <x v="2"/>
    <x v="0"/>
    <n v="2972.624371451507"/>
    <n v="22.99586302839094"/>
    <n v="-2.338195467341483"/>
    <n v="11.49248446593137"/>
    <n v="-59452.48742903014"/>
    <n v="-459.9172605678187"/>
    <n v="46.76390934682965"/>
    <n v="-229.8496893186274"/>
    <n v="6515.721240479328"/>
    <n v="4458.419534935219"/>
    <n v="2586.606946882366"/>
    <n v="1126.147991247935"/>
    <n v="-1253.173522749985"/>
    <n v="-3377.696073500774"/>
    <n v="-7583.344300228346"/>
    <n v="-18434.79218737064"/>
    <n v="4217.531523799257"/>
    <n v="2218.613123595469"/>
    <n v="907.989427886896"/>
    <n v="457.0393389199035"/>
    <n v="-462.6404468388046"/>
    <n v="-930.4396164015634"/>
    <n v="-2360.951423052111"/>
    <n v="-4817.10479119115"/>
  </r>
  <r>
    <x v="2"/>
    <x v="2"/>
    <x v="2"/>
    <x v="1"/>
    <x v="2"/>
    <x v="12"/>
    <x v="24"/>
    <x v="1"/>
    <x v="1"/>
    <n v="0.4841392478686579"/>
    <x v="7"/>
    <n v="577.6800949336603"/>
    <n v="2888.400474668301"/>
    <x v="0"/>
    <x v="0"/>
    <n v="-2526.721450392835"/>
    <n v="21.22402510093606"/>
    <n v="-3.183199477493153"/>
    <n v="-13.69338763828947"/>
    <n v="-12633.60725196418"/>
    <n v="106.1201255046803"/>
    <n v="-15.91599738746576"/>
    <n v="-68.46693819144737"/>
    <n v="3723.730534621948"/>
    <n v="1537.586861920331"/>
    <n v="697.0054278684552"/>
    <n v="262.8151058425306"/>
    <n v="-242.9360677304589"/>
    <n v="-572.7009254922496"/>
    <n v="-1039.55604229221"/>
    <n v="-1721.76945216947"/>
    <n v="-1029.27304600579"/>
    <n v="-523.5473881867756"/>
    <n v="-211.1878533853087"/>
    <n v="-105.8629128603502"/>
    <n v="106.3661783024804"/>
    <n v="213.2032857270133"/>
    <n v="536.2483088397516"/>
    <n v="1081.613330960988"/>
  </r>
  <r>
    <x v="2"/>
    <x v="2"/>
    <x v="2"/>
    <x v="1"/>
    <x v="2"/>
    <x v="5"/>
    <x v="26"/>
    <x v="2"/>
    <x v="1"/>
    <n v="0.3281105732045441"/>
    <x v="7"/>
    <n v="367.1853465664444"/>
    <n v="-7343.706931328888"/>
    <x v="0"/>
    <x v="0"/>
    <n v="2972.624371451507"/>
    <n v="22.99586302839094"/>
    <n v="-2.338195467341483"/>
    <n v="11.49248446593137"/>
    <n v="-59452.48742903014"/>
    <n v="-459.9172605678187"/>
    <n v="46.76390934682965"/>
    <n v="-229.8496893186274"/>
    <n v="6515.721240479328"/>
    <n v="4458.419534935219"/>
    <n v="2586.606946882366"/>
    <n v="1126.147991247935"/>
    <n v="-1253.173522749985"/>
    <n v="-3377.696073500774"/>
    <n v="-7583.344300228346"/>
    <n v="-18434.79218737064"/>
    <n v="4217.531523799257"/>
    <n v="2218.613123595469"/>
    <n v="907.989427886896"/>
    <n v="457.0393389199035"/>
    <n v="-462.6404468388046"/>
    <n v="-930.4396164015634"/>
    <n v="-2360.951423052111"/>
    <n v="-4817.10479119115"/>
  </r>
  <r>
    <x v="2"/>
    <x v="2"/>
    <x v="2"/>
    <x v="1"/>
    <x v="2"/>
    <x v="9"/>
    <x v="27"/>
    <x v="1"/>
    <x v="2"/>
    <n v="0.3475286850241339"/>
    <x v="8"/>
    <n v="977.0321988634782"/>
    <n v="-9770.321988634783"/>
    <x v="3"/>
    <x v="0"/>
    <n v="-3984.899427815304"/>
    <n v="32.03999019226192"/>
    <n v="-2.161918985586027"/>
    <n v="-34.25771972391927"/>
    <n v="39848.99427815303"/>
    <n v="-320.3999019226192"/>
    <n v="21.61918985586027"/>
    <n v="342.5771972391926"/>
    <n v="-10886.8482057772"/>
    <n v="-4689.953263089051"/>
    <n v="-2164.358832822622"/>
    <n v="-824.0165602190473"/>
    <n v="770.6143557444693"/>
    <n v="1830.979034839715"/>
    <n v="3361.986303833046"/>
    <n v="5667.480867983782"/>
    <n v="3204.629515545021"/>
    <n v="1602.610935804328"/>
    <n v="640.9332484879997"/>
    <n v="320.4359871285033"/>
    <n v="-320.3586740623859"/>
    <n v="-640.6251525193602"/>
    <n v="-1600.736927432558"/>
    <n v="-3197.932867858531"/>
  </r>
  <r>
    <x v="2"/>
    <x v="2"/>
    <x v="2"/>
    <x v="1"/>
    <x v="2"/>
    <x v="14"/>
    <x v="28"/>
    <x v="1"/>
    <x v="2"/>
    <n v="0.5752990411633006"/>
    <x v="8"/>
    <n v="716.3257316289155"/>
    <n v="-3581.628658144577"/>
    <x v="0"/>
    <x v="0"/>
    <n v="-2068.033829118133"/>
    <n v="23.71910477890897"/>
    <n v="-2.678572362166383"/>
    <n v="-19.22352354269196"/>
    <n v="10340.16914559067"/>
    <n v="-118.5955238945449"/>
    <n v="13.39286181083192"/>
    <n v="96.11761771345979"/>
    <n v="-2783.765224965648"/>
    <n v="-1197.482862488464"/>
    <n v="-556.0601331809607"/>
    <n v="-212.8840206285622"/>
    <n v="200.9383928766215"/>
    <n v="481.3260840925875"/>
    <n v="897.498955665593"/>
    <n v="1567.561901156724"/>
    <n v="1150.639753515219"/>
    <n v="585.0638035647182"/>
    <n v="236.0026257215873"/>
    <n v="118.3045343167169"/>
    <n v="-118.8747859034493"/>
    <n v="-238.285594212889"/>
    <n v="-599.4185807152849"/>
    <n v="-1209.312578095908"/>
  </r>
  <r>
    <x v="2"/>
    <x v="2"/>
    <x v="2"/>
    <x v="1"/>
    <x v="2"/>
    <x v="9"/>
    <x v="27"/>
    <x v="1"/>
    <x v="2"/>
    <n v="0.3475286850241339"/>
    <x v="8"/>
    <n v="977.0321988634782"/>
    <n v="-9770.321988634783"/>
    <x v="2"/>
    <x v="0"/>
    <n v="-3984.899427815304"/>
    <n v="32.03999019226192"/>
    <n v="-2.161918985586027"/>
    <n v="-34.25771972391927"/>
    <n v="39848.99427815303"/>
    <n v="-320.3999019226192"/>
    <n v="21.61918985586027"/>
    <n v="342.5771972391926"/>
    <n v="-10886.8482057772"/>
    <n v="-4689.953263089051"/>
    <n v="-2164.358832822622"/>
    <n v="-824.0165602190473"/>
    <n v="770.6143557444693"/>
    <n v="1830.979034839715"/>
    <n v="3361.986303833046"/>
    <n v="5667.480867983782"/>
    <n v="3204.629515545021"/>
    <n v="1602.610935804328"/>
    <n v="640.9332484879997"/>
    <n v="320.4359871285033"/>
    <n v="-320.3586740623859"/>
    <n v="-640.6251525193602"/>
    <n v="-1600.736927432558"/>
    <n v="-3197.932867858531"/>
  </r>
  <r>
    <x v="2"/>
    <x v="2"/>
    <x v="2"/>
    <x v="1"/>
    <x v="2"/>
    <x v="9"/>
    <x v="29"/>
    <x v="1"/>
    <x v="2"/>
    <n v="0.4228637600047526"/>
    <x v="8"/>
    <n v="788.0883682012923"/>
    <n v="-7880.883682012923"/>
    <x v="0"/>
    <x v="0"/>
    <n v="-2926.702718583054"/>
    <n v="28.5451028020423"/>
    <n v="-2.358738569876377"/>
    <n v="-25.6473247635522"/>
    <n v="29267.02718583054"/>
    <n v="-285.451028020423"/>
    <n v="23.58738569876377"/>
    <n v="256.473247635522"/>
    <n v="-8132.488662659894"/>
    <n v="-3457.093672391429"/>
    <n v="-1590.77464922013"/>
    <n v="-605.228249448819"/>
    <n v="566.1174080865021"/>
    <n v="1346.292661309722"/>
    <n v="2478.673631029869"/>
    <n v="4215.123062082401"/>
    <n v="2804.612634804489"/>
    <n v="1416.7910622401"/>
    <n v="569.3869093688227"/>
    <n v="285.0843708858565"/>
    <n v="-285.7949025973221"/>
    <n v="-572.2346943215734"/>
    <n v="-1434.840105487719"/>
    <n v="-2880.555698041271"/>
  </r>
  <r>
    <x v="2"/>
    <x v="2"/>
    <x v="2"/>
    <x v="1"/>
    <x v="2"/>
    <x v="9"/>
    <x v="29"/>
    <x v="1"/>
    <x v="2"/>
    <n v="0.4228637600047526"/>
    <x v="8"/>
    <n v="788.0883682012923"/>
    <n v="-7880.883682012923"/>
    <x v="0"/>
    <x v="0"/>
    <n v="-2926.702718583054"/>
    <n v="28.5451028020423"/>
    <n v="-2.358738569876377"/>
    <n v="-25.6473247635522"/>
    <n v="29267.02718583054"/>
    <n v="-285.451028020423"/>
    <n v="23.58738569876377"/>
    <n v="256.473247635522"/>
    <n v="-8132.488662659894"/>
    <n v="-3457.093672391429"/>
    <n v="-1590.77464922013"/>
    <n v="-605.228249448819"/>
    <n v="566.1174080865021"/>
    <n v="1346.292661309722"/>
    <n v="2478.673631029869"/>
    <n v="4215.123062082401"/>
    <n v="2804.612634804489"/>
    <n v="1416.7910622401"/>
    <n v="569.3869093688227"/>
    <n v="285.0843708858565"/>
    <n v="-285.7949025973221"/>
    <n v="-572.2346943215734"/>
    <n v="-1434.840105487719"/>
    <n v="-2880.555698041271"/>
  </r>
</pivotCacheRecords>
</file>

<file path=xl/pivotTables/_rels/pivotTable1.xml.rels><Relationships xmlns="http://schemas.openxmlformats.org/package/2006/relationships"><Relationship Type="http://schemas.openxmlformats.org/officeDocument/2006/relationships/pivotCacheDefinition" Target="/xl/pivotCache/pivotCacheDefinition1.xml" Id="rId1" /></Relationships>
</file>

<file path=xl/pivotTables/_rels/pivotTable2.xml.rels><Relationships xmlns="http://schemas.openxmlformats.org/package/2006/relationships"><Relationship Type="http://schemas.openxmlformats.org/officeDocument/2006/relationships/pivotCacheDefinition" Target="/xl/pivotCache/pivotCacheDefinition2.xml" Id="rId1" /></Relationships>
</file>

<file path=xl/pivotTables/_rels/pivotTable3.xml.rels><Relationships xmlns="http://schemas.openxmlformats.org/package/2006/relationships"><Relationship Type="http://schemas.openxmlformats.org/officeDocument/2006/relationships/pivotCacheDefinition" Target="/xl/pivotCache/pivotCacheDefinition1.xml" Id="rId1" /></Relationships>
</file>

<file path=xl/pivotTables/_rels/pivotTable4.xml.rels><Relationships xmlns="http://schemas.openxmlformats.org/package/2006/relationships"><Relationship Type="http://schemas.openxmlformats.org/officeDocument/2006/relationships/pivotCacheDefinition" Target="/xl/pivotCache/pivotCacheDefinition1.xml" Id="rId1" /></Relationships>
</file>

<file path=xl/pivotTables/_rels/pivotTable5.xml.rels><Relationships xmlns="http://schemas.openxmlformats.org/package/2006/relationships"><Relationship Type="http://schemas.openxmlformats.org/officeDocument/2006/relationships/pivotCacheDefinition" Target="/xl/pivotCache/pivotCacheDefinition1.xml" Id="rId1" /></Relationships>
</file>

<file path=xl/pivotTables/_rels/pivotTable6.xml.rels><Relationships xmlns="http://schemas.openxmlformats.org/package/2006/relationships"><Relationship Type="http://schemas.openxmlformats.org/officeDocument/2006/relationships/pivotCacheDefinition" Target="/xl/pivotCache/pivotCacheDefinition1.xml" Id="rId1" /></Relationships>
</file>

<file path=xl/pivotTables/_rels/pivotTable7.xml.rels><Relationships xmlns="http://schemas.openxmlformats.org/package/2006/relationships"><Relationship Type="http://schemas.openxmlformats.org/officeDocument/2006/relationships/pivotCacheDefinition" Target="/xl/pivotCache/pivotCacheDefinition3.xml" Id="rId1" /></Relationships>
</file>

<file path=xl/pivotTables/pivotTable1.xml><?xml version="1.0" encoding="utf-8"?>
<pivotTableDefinition xmlns:r="http://schemas.openxmlformats.org/officeDocument/2006/relationships" xmlns="http://schemas.openxmlformats.org/spreadsheetml/2006/main" name="PivotTable5" cacheId="2" dataOnRows="1" dataCaption="Data" showError="0" showMissing="1" updatedVersion="2" minRefreshableVersion="0" asteriskTotals="1" showItems="1" editData="0" disableFieldList="0" showCalcMbrs="1" visualTotals="1" showMultipleLabel="1" showDataDropDown="1" showDrill="1" printDrill="0" showMemberPropertyTips="0" showDataTips="1" enableWizard="1" enableDrill="1" enableFieldProperties="1" preserveFormatting="1" useAutoFormatting="1" pageWrap="0" pageOverThenDown="0" subtotalHiddenItems="0" rowGrandTotals="1" colGrandTotals="1" fieldPrintTitles="0" itemPrintTitles="1" mergeItem="0" showDropZones="1" createdVersion="1" indent="0" showEmptyRow="0" showEmptyCol="0" showHeaders="1" compact="0" outline="0" outlineData="0" compactData="0" published="0" gridDropZones="1" immersive="1" multipleFieldFilters="0" chartFormat="0" fieldListSortAscending="0" mdxSubqueries="0" applyNumberFormats="0" applyBorderFormats="0" applyFontFormats="0" applyPatternFormats="0" applyAlignmentFormats="0" applyWidthHeightFormats="1" r:id="rId1">
  <location ref="J6:N20" firstHeaderRow="1" firstDataRow="2" firstDataCol="1" rowPageCount="1" colPageCount="1"/>
  <pivotFields count="44">
    <pivotField axis="axisPage" showDropDowns="1" compact="0" outline="0" subtotalTop="0" dragToRow="1" dragToCol="1" dragToPage="1" dragToData="1" dragOff="1" showAll="0" topAutoShow="1" includeNewItemsInFilter="1" itemPageCount="10" sortType="manual" defaultSubtotal="1">
      <items count="4">
        <item t="data" sd="1" x="2"/>
        <item t="data" sd="1" x="0"/>
        <item t="data" sd="1" x="1"/>
        <item t="default" sd="1"/>
      </items>
    </pivotField>
    <pivotField showDropDowns="1" compact="0" outline="0" subtotalTop="0" dragToRow="1" dragToCol="1" dragToPage="1" dragToData="1" dragOff="1" showAll="0" topAutoShow="1" includeNewItemsInFilter="1" itemPageCount="10" sortType="manual" defaultSubtotal="1"/>
    <pivotField showDropDowns="1" compact="0" outline="0" subtotalTop="0" dragToRow="1" dragToCol="1" dragToPage="1" dragToData="1" dragOff="1" showAll="0" topAutoShow="1" includeNewItemsInFilter="1" itemPageCount="10" sortType="manual" defaultSubtotal="1"/>
    <pivotField showDropDowns="1" compact="0" outline="0" subtotalTop="0" dragToRow="1" dragToCol="1" dragToPage="1" dragToData="1" dragOff="1" showAll="0" topAutoShow="1" includeNewItemsInFilter="1" itemPageCount="10" sortType="manual" defaultSubtotal="1"/>
    <pivotField showDropDowns="1" compact="0" outline="0" subtotalTop="0" dragToRow="1" dragToCol="1" dragToPage="1" dragToData="1" dragOff="1" showAll="0" topAutoShow="1" includeNewItemsInFilter="1" itemPageCount="10" sortType="manual" defaultSubtotal="1"/>
    <pivotField showDropDowns="1" compact="0" outline="0" subtotalTop="0" dragToRow="1" dragToCol="1" dragToPage="1" dragToData="1" dragOff="1" showAll="0" topAutoShow="1" includeNewItemsInFilter="1" itemPageCount="10" sortType="manual" defaultSubtotal="1"/>
    <pivotField axis="axisRow" showDropDowns="1" compact="0" outline="0" subtotalTop="0" dragToRow="1" dragToCol="1" dragToPage="1" dragToData="1" dragOff="1" showAll="0" topAutoShow="1" includeNewItemsInFilter="1" itemPageCount="10" sortType="manual" defaultSubtotal="1">
      <items count="31">
        <item t="data" sd="1" x="6"/>
        <item t="data" sd="1" x="1"/>
        <item t="data" sd="1" x="2"/>
        <item t="data" sd="1" x="4"/>
        <item t="data" sd="1" x="9"/>
        <item t="data" sd="1" x="3"/>
        <item t="data" sd="1" x="5"/>
        <item t="data" sd="1" x="8"/>
        <item t="data" sd="1" x="7"/>
        <item t="data" sd="1" x="14"/>
        <item t="data" sd="1" x="12"/>
        <item t="data" sd="1" x="20"/>
        <item t="data" sd="1" x="11"/>
        <item t="data" sd="1" x="17"/>
        <item t="data" sd="1" x="10"/>
        <item t="data" sd="1" x="13"/>
        <item t="data" sd="1" x="15"/>
        <item t="data" sd="1" x="16"/>
        <item t="data" sd="1" x="18"/>
        <item t="data" sd="1" x="19"/>
        <item t="data" sd="1" x="28"/>
        <item t="data" sd="1" x="24"/>
        <item t="data" sd="1" x="29"/>
        <item t="data" sd="1" x="22"/>
        <item t="data" sd="1" x="27"/>
        <item t="data" sd="1" x="21"/>
        <item t="data" sd="1" x="23"/>
        <item t="data" sd="1" x="25"/>
        <item t="data" sd="1" x="26"/>
        <item t="data" sd="1" x="0"/>
        <item t="default" sd="1"/>
      </items>
    </pivotField>
    <pivotField showDropDowns="1" compact="0" outline="0" subtotalTop="0" dragToRow="1" dragToCol="1" dragToPage="1" dragToData="1" dragOff="1" showAll="0" topAutoShow="1" includeNewItemsInFilter="1" itemPageCount="10" sortType="manual" defaultSubtotal="1"/>
    <pivotField axis="axisCol" showDropDowns="1" compact="0" outline="0" subtotalTop="0" dragToRow="1" dragToCol="1" dragToPage="1" dragToData="1" dragOff="1" showAll="0" topAutoShow="1" includeNewItemsInFilter="1" itemPageCount="10" sortType="manual" defaultSubtotal="1">
      <items count="4">
        <item t="data" sd="1" x="0"/>
        <item t="data" sd="1" x="1"/>
        <item t="data" sd="1" x="2"/>
        <item t="default" sd="1"/>
      </items>
    </pivotField>
    <pivotField showDropDowns="1" compact="0" outline="0" subtotalTop="0" dragToRow="1" dragToCol="1" dragToPage="1" dragToData="1" dragOff="1" showAll="0" topAutoShow="1" includeNewItemsInFilter="1" itemPageCount="10" sortType="manual" defaultSubtotal="1"/>
    <pivotField showDropDowns="1" compact="0" outline="0" subtotalTop="0" dragToRow="1" dragToCol="1" dragToPage="1" dragToData="1" dragOff="1" showAll="0" topAutoShow="1" includeNewItemsInFilter="1" itemPageCount="10" sortType="manual" defaultSubtotal="1"/>
    <pivotField showDropDowns="1" compact="0" numFmtId="2" outline="0" subtotalTop="0" dragToRow="1" dragToCol="1" dragToPage="1" dragToData="1" dragOff="1" showAll="0" topAutoShow="1" includeNewItemsInFilter="1" itemPageCount="10" sortType="manual" defaultSubtotal="1"/>
    <pivotField showDropDowns="1" compact="0" numFmtId="2" outline="0" subtotalTop="0" dragToRow="1" dragToCol="1" dragToPage="1" dragToData="1" dragOff="1" showAll="0" topAutoShow="1" includeNewItemsInFilter="1" itemPageCount="10" sortType="manual" defaultSubtotal="1"/>
    <pivotField showDropDowns="1" compact="0" outline="0" subtotalTop="0" dragToRow="1" dragToCol="1" dragToPage="1" dragToData="1" dragOff="1" showAll="0" topAutoShow="1" includeNewItemsInFilter="1" itemPageCount="10" sortType="manual" defaultSubtotal="1"/>
    <pivotField showDropDowns="1" compact="0" outline="0" subtotalTop="0" dragToRow="1" dragToCol="1" dragToPage="1" dragToData="1" dragOff="1" showAll="0" topAutoShow="1" includeNewItemsInFilter="1" itemPageCount="10" sortType="manual" defaultSubtotal="1"/>
    <pivotField showDropDowns="1" compact="0" numFmtId="1" outline="0" subtotalTop="0" dragToRow="1" dragToCol="1" dragToPage="1" dragToData="1" dragOff="1" showAll="0" topAutoShow="1" includeNewItemsInFilter="1" itemPageCount="10" sortType="manual" defaultSubtotal="1"/>
    <pivotField showDropDowns="1" compact="0" numFmtId="1" outline="0" subtotalTop="0" dragToRow="1" dragToCol="1" dragToPage="1" dragToData="1" dragOff="1" showAll="0" topAutoShow="1" includeNewItemsInFilter="1" itemPageCount="10" sortType="manual" defaultSubtotal="1"/>
    <pivotField showDropDowns="1" compact="0" outline="0" subtotalTop="0" dragToRow="1" dragToCol="1" dragToPage="1" dragToData="1" dragOff="1" showAll="0" topAutoShow="1" includeNewItemsInFilter="1" itemPageCount="10" sortType="manual" defaultSubtotal="1"/>
    <pivotField showDropDowns="1" compact="0" outline="0" subtotalTop="0" dragToRow="1" dragToCol="1" dragToPage="1" dragToData="1" dragOff="1" showAll="0" topAutoShow="1" includeNewItemsInFilter="1" itemPageCount="10" sortType="manual" defaultSubtotal="1"/>
    <pivotField showDropDowns="1" compact="0" outline="0" subtotalTop="0" dragToRow="1" dragToCol="1" dragToPage="1" dragToData="1" dragOff="1" showAll="0" topAutoShow="1" includeNewItemsInFilter="1" itemPageCount="10" sortType="manual" defaultSubtotal="1"/>
    <pivotField showDropDowns="1" compact="0" numFmtId="2" outline="0" subtotalTop="0" dragToRow="1" dragToCol="1" dragToPage="1" dragToData="1" dragOff="1" showAll="0" topAutoShow="1" includeNewItemsInFilter="1" itemPageCount="10" sortType="manual" defaultSubtotal="1"/>
    <pivotField showDropDowns="1" compact="0" outline="0" subtotalTop="0" dragToRow="1" dragToCol="1" dragToPage="1" dragToData="1" dragOff="1" showAll="0" topAutoShow="1" includeNewItemsInFilter="1" itemPageCount="10" sortType="manual" defaultSubtotal="1"/>
    <pivotField showDropDowns="1" compact="0" outline="0" subtotalTop="0" dragToRow="1" dragToCol="1" dragToPage="1" dragToData="1" dragOff="1" showAll="0" topAutoShow="1" includeNewItemsInFilter="1" itemPageCount="10" sortType="manual" defaultSubtotal="1"/>
    <pivotField showDropDowns="1" compact="0" numFmtId="1" outline="0" subtotalTop="0" dragToRow="1" dragToCol="1" dragToPage="1" dragToData="1" dragOff="1" showAll="0" topAutoShow="1" includeNewItemsInFilter="1" itemPageCount="10" sortType="manual" defaultSubtotal="1"/>
    <pivotField dataField="1" showDropDowns="1" compact="0" numFmtId="1" outline="0" subtotalTop="0" dragToRow="1" dragToCol="1" dragToPage="1" dragToData="1" dragOff="1" showAll="0" topAutoShow="1" includeNewItemsInFilter="1" itemPageCount="10" sortType="manual" defaultSubtotal="1"/>
    <pivotField showDropDowns="1" compact="0" numFmtId="1" outline="0" subtotalTop="0" dragToRow="1" dragToCol="1" dragToPage="1" dragToData="1" dragOff="1" showAll="0" topAutoShow="1" includeNewItemsInFilter="1" itemPageCount="10" sortType="manual" defaultSubtotal="1"/>
    <pivotField showDropDowns="1" compact="0" numFmtId="1" outline="0" subtotalTop="0" dragToRow="1" dragToCol="1" dragToPage="1" dragToData="1" dragOff="1" showAll="0" topAutoShow="1" includeNewItemsInFilter="1" itemPageCount="10" sortType="manual" defaultSubtotal="1"/>
    <pivotField showDropDowns="1" compact="0" numFmtId="1" outline="0" subtotalTop="0" dragToRow="1" dragToCol="1" dragToPage="1" dragToData="1" dragOff="1" showAll="0" topAutoShow="1" includeNewItemsInFilter="1" itemPageCount="10" sortType="manual" defaultSubtotal="1"/>
    <pivotField showDropDowns="1" compact="0" numFmtId="1" outline="0" subtotalTop="0" dragToRow="1" dragToCol="1" dragToPage="1" dragToData="1" dragOff="1" showAll="0" topAutoShow="1" includeNewItemsInFilter="1" itemPageCount="10" sortType="manual" defaultSubtotal="1"/>
    <pivotField showDropDowns="1" compact="0" numFmtId="1" outline="0" subtotalTop="0" dragToRow="1" dragToCol="1" dragToPage="1" dragToData="1" dragOff="1" showAll="0" topAutoShow="1" includeNewItemsInFilter="1" itemPageCount="10" sortType="manual" defaultSubtotal="1"/>
    <pivotField showDropDowns="1" compact="0" numFmtId="1" outline="0" subtotalTop="0" dragToRow="1" dragToCol="1" dragToPage="1" dragToData="1" dragOff="1" showAll="0" topAutoShow="1" includeNewItemsInFilter="1" itemPageCount="10" sortType="manual" defaultSubtotal="1"/>
    <pivotField showDropDowns="1" compact="0" numFmtId="1" outline="0" subtotalTop="0" dragToRow="1" dragToCol="1" dragToPage="1" dragToData="1" dragOff="1" showAll="0" topAutoShow="1" includeNewItemsInFilter="1" itemPageCount="10" sortType="manual" defaultSubtotal="1"/>
    <pivotField showDropDowns="1" compact="0" numFmtId="1" outline="0" subtotalTop="0" dragToRow="1" dragToCol="1" dragToPage="1" dragToData="1" dragOff="1" showAll="0" topAutoShow="1" includeNewItemsInFilter="1" itemPageCount="10" sortType="manual" defaultSubtotal="1"/>
    <pivotField showDropDowns="1" compact="0" numFmtId="1" outline="0" subtotalTop="0" dragToRow="1" dragToCol="1" dragToPage="1" dragToData="1" dragOff="1" showAll="0" topAutoShow="1" includeNewItemsInFilter="1" itemPageCount="10" sortType="manual" defaultSubtotal="1"/>
    <pivotField showDropDowns="1" compact="0" numFmtId="1" outline="0" subtotalTop="0" dragToRow="1" dragToCol="1" dragToPage="1" dragToData="1" dragOff="1" showAll="0" topAutoShow="1" includeNewItemsInFilter="1" itemPageCount="10" sortType="manual" defaultSubtotal="1"/>
    <pivotField showDropDowns="1" compact="0" numFmtId="1" outline="0" subtotalTop="0" dragToRow="1" dragToCol="1" dragToPage="1" dragToData="1" dragOff="1" showAll="0" topAutoShow="1" includeNewItemsInFilter="1" itemPageCount="10" sortType="manual" defaultSubtotal="1"/>
    <pivotField showDropDowns="1" compact="0" numFmtId="1" outline="0" subtotalTop="0" dragToRow="1" dragToCol="1" dragToPage="1" dragToData="1" dragOff="1" showAll="0" topAutoShow="1" includeNewItemsInFilter="1" itemPageCount="10" sortType="manual" defaultSubtotal="1"/>
    <pivotField showDropDowns="1" compact="0" numFmtId="1" outline="0" subtotalTop="0" dragToRow="1" dragToCol="1" dragToPage="1" dragToData="1" dragOff="1" showAll="0" topAutoShow="1" includeNewItemsInFilter="1" itemPageCount="10" sortType="manual" defaultSubtotal="1"/>
    <pivotField showDropDowns="1" compact="0" numFmtId="1" outline="0" subtotalTop="0" dragToRow="1" dragToCol="1" dragToPage="1" dragToData="1" dragOff="1" showAll="0" topAutoShow="1" includeNewItemsInFilter="1" itemPageCount="10" sortType="manual" defaultSubtotal="1"/>
    <pivotField showDropDowns="1" compact="0" numFmtId="1" outline="0" subtotalTop="0" dragToRow="1" dragToCol="1" dragToPage="1" dragToData="1" dragOff="1" showAll="0" topAutoShow="1" includeNewItemsInFilter="1" itemPageCount="10" sortType="manual" defaultSubtotal="1"/>
    <pivotField showDropDowns="1" compact="0" numFmtId="1" outline="0" subtotalTop="0" dragToRow="1" dragToCol="1" dragToPage="1" dragToData="1" dragOff="1" showAll="0" topAutoShow="1" includeNewItemsInFilter="1" itemPageCount="10" sortType="manual" defaultSubtotal="1"/>
    <pivotField showDropDowns="1" compact="0" numFmtId="1" outline="0" subtotalTop="0" dragToRow="1" dragToCol="1" dragToPage="1" dragToData="1" dragOff="1" showAll="0" topAutoShow="1" includeNewItemsInFilter="1" itemPageCount="10" sortType="manual" defaultSubtotal="1"/>
    <pivotField showDropDowns="1" compact="0" numFmtId="1" outline="0" subtotalTop="0" dragToRow="1" dragToCol="1" dragToPage="1" dragToData="1" dragOff="1" showAll="0" topAutoShow="1" includeNewItemsInFilter="1" itemPageCount="10" sortType="manual" defaultSubtotal="1"/>
    <pivotField showDropDowns="1" compact="0" outline="0" subtotalTop="0" dragToRow="0" dragToCol="0" dragToPage="0" dragToData="1" dragOff="1" showAll="0" topAutoShow="1" includeNewItemsInFilter="1" itemPageCount="10" sortType="manual" defaultSubtotal="0"/>
  </pivotFields>
  <rowFields count="1">
    <field x="6"/>
  </rowFields>
  <rowItems count="13">
    <i t="data" r="0" i="0">
      <x v="9"/>
    </i>
    <i t="data" r="0" i="0">
      <x v="10"/>
    </i>
    <i t="data" r="0" i="0">
      <x v="11"/>
    </i>
    <i t="data" r="0" i="0">
      <x v="12"/>
    </i>
    <i t="data" r="0" i="0">
      <x v="13"/>
    </i>
    <i t="data" r="0" i="0">
      <x v="14"/>
    </i>
    <i t="data" r="0" i="0">
      <x v="15"/>
    </i>
    <i t="data" r="0" i="0">
      <x v="16"/>
    </i>
    <i t="data" r="0" i="0">
      <x v="17"/>
    </i>
    <i t="data" r="0" i="0">
      <x v="18"/>
    </i>
    <i t="data" r="0" i="0">
      <x v="19"/>
    </i>
    <i t="data" r="0" i="0">
      <x v="29"/>
    </i>
    <i t="grand" r="0" i="0">
      <x v="0"/>
    </i>
  </rowItems>
  <colFields count="1">
    <field x="8"/>
  </colFields>
  <colItems count="4">
    <i t="data" r="0" i="0">
      <x v="0"/>
    </i>
    <i t="data" r="0" i="0">
      <x v="1"/>
    </i>
    <i t="data" r="0" i="0">
      <x v="2"/>
    </i>
    <i t="grand" r="0" i="0">
      <x v="0"/>
    </i>
  </colItems>
  <pageFields count="1">
    <pageField fld="0" item="2" hier="0"/>
  </pageFields>
  <dataFields count="1">
    <dataField name="Sum of Total Volga" fld="24" subtotal="sum" showDataAs="normal" baseField="0" baseItem="0"/>
  </dataFields>
  <formats count="3">
    <format action="formatting" dxfId="35">
      <pivotArea field="6" type="normal" dataOnly="0" grandRow="1" outline="0" axis="axisRow" fieldPosition="0">
        <references count="2">
          <reference field="0" selected="0">
            <x v="2"/>
          </reference>
          <reference field="6">
            <x v="9"/>
            <x v="10"/>
            <x v="11"/>
            <x v="12"/>
            <x v="13"/>
            <x v="14"/>
            <x v="15"/>
            <x v="16"/>
            <x v="17"/>
            <x v="18"/>
            <x v="19"/>
            <x v="29"/>
          </reference>
        </references>
      </pivotArea>
    </format>
    <format action="formatting" dxfId="34">
      <pivotArea type="normal" dataOnly="1" outline="0" fieldPosition="0"/>
    </format>
    <format action="formatting" dxfId="33">
      <pivotArea type="normal" dataOnly="0" labelOnly="1" outline="0" fieldPosition="0">
        <references count="1">
          <reference field="8"/>
        </references>
      </pivotArea>
    </format>
  </formats>
  <pivotTableStyleInfo showRowHeaders="1" showColHeaders="1" showRowStripes="0" showColStripes="0" showLastColumn="1"/>
</pivotTableDefinition>
</file>

<file path=xl/pivotTables/pivotTable2.xml><?xml version="1.0" encoding="utf-8"?>
<pivotTableDefinition xmlns:r="http://schemas.openxmlformats.org/officeDocument/2006/relationships" xmlns="http://schemas.openxmlformats.org/spreadsheetml/2006/main" name="PivotTable2" cacheId="3" dataOnRows="1" dataCaption="Data" showError="0" showMissing="1" updatedVersion="2" minRefreshableVersion="0" asteriskTotals="1" showItems="1" editData="0" disableFieldList="0" showCalcMbrs="1" visualTotals="1" showMultipleLabel="1" showDataDropDown="1" showDrill="1" printDrill="0" showMemberPropertyTips="0" showDataTips="1" enableWizard="1" enableDrill="1" enableFieldProperties="1" preserveFormatting="1" useAutoFormatting="1" pageWrap="0" pageOverThenDown="0" subtotalHiddenItems="0" rowGrandTotals="1" colGrandTotals="1" fieldPrintTitles="0" itemPrintTitles="1" mergeItem="0" showDropZones="1" createdVersion="1" indent="0" showEmptyRow="0" showEmptyCol="0" showHeaders="1" compact="0" outline="0" outlineData="0" compactData="0" published="0" gridDropZones="1" immersive="1" multipleFieldFilters="0" chartFormat="0" fieldListSortAscending="0" mdxSubqueries="0" applyNumberFormats="0" applyBorderFormats="0" applyFontFormats="0" applyPatternFormats="0" applyAlignmentFormats="0" applyWidthHeightFormats="1" r:id="rId1">
  <location ref="C30:G44" firstHeaderRow="1" firstDataRow="2" firstDataCol="1" rowPageCount="1" colPageCount="1"/>
  <pivotFields count="39">
    <pivotField axis="axisPage" showDropDowns="1" compact="0" outline="0" subtotalTop="0" dragToRow="1" dragToCol="1" dragToPage="1" dragToData="1" dragOff="1" showAll="0" topAutoShow="1" includeNewItemsInFilter="1" itemPageCount="10" sortType="manual" defaultSubtotal="1">
      <items count="4">
        <item t="data" sd="1" x="2"/>
        <item t="data" sd="1" x="0"/>
        <item t="data" sd="1" x="1"/>
        <item t="default" sd="1"/>
      </items>
    </pivotField>
    <pivotField showDropDowns="1" compact="0" outline="0" subtotalTop="0" dragToRow="1" dragToCol="1" dragToPage="1" dragToData="1" dragOff="1" showAll="0" topAutoShow="1" includeNewItemsInFilter="1" itemPageCount="10" sortType="manual" defaultSubtotal="1"/>
    <pivotField showDropDowns="1" compact="0" outline="0" subtotalTop="0" dragToRow="1" dragToCol="1" dragToPage="1" dragToData="1" dragOff="1" showAll="0" topAutoShow="1" includeNewItemsInFilter="1" itemPageCount="10" sortType="manual" defaultSubtotal="1"/>
    <pivotField showDropDowns="1" compact="0" outline="0" subtotalTop="0" dragToRow="1" dragToCol="1" dragToPage="1" dragToData="1" dragOff="1" showAll="0" topAutoShow="1" includeNewItemsInFilter="1" itemPageCount="10" sortType="manual" defaultSubtotal="1"/>
    <pivotField showDropDowns="1" compact="0" outline="0" subtotalTop="0" dragToRow="1" dragToCol="1" dragToPage="1" dragToData="1" dragOff="1" showAll="0" topAutoShow="1" includeNewItemsInFilter="1" itemPageCount="10" sortType="manual" defaultSubtotal="1"/>
    <pivotField showDropDowns="1" compact="0" outline="0" subtotalTop="0" dragToRow="1" dragToCol="1" dragToPage="1" dragToData="1" dragOff="1" showAll="0" topAutoShow="1" includeNewItemsInFilter="1" itemPageCount="10" sortType="manual" defaultSubtotal="1"/>
    <pivotField axis="axisRow" showDropDowns="1" compact="0" outline="0" subtotalTop="0" dragToRow="1" dragToCol="1" dragToPage="1" dragToData="1" dragOff="1" showAll="0" topAutoShow="1" includeNewItemsInFilter="1" itemPageCount="10" sortType="manual" defaultSubtotal="1">
      <items count="31">
        <item t="data" sd="1" x="6"/>
        <item t="data" sd="1" x="1"/>
        <item t="data" sd="1" x="2"/>
        <item t="data" sd="1" x="4"/>
        <item t="data" sd="1" x="9"/>
        <item t="data" sd="1" x="3"/>
        <item t="data" sd="1" x="5"/>
        <item t="data" sd="1" x="8"/>
        <item t="data" sd="1" x="7"/>
        <item t="data" sd="1" x="14"/>
        <item t="data" sd="1" x="12"/>
        <item t="data" sd="1" x="20"/>
        <item t="data" sd="1" x="11"/>
        <item t="data" sd="1" x="17"/>
        <item t="data" sd="1" x="10"/>
        <item t="data" sd="1" x="13"/>
        <item t="data" sd="1" x="15"/>
        <item t="data" sd="1" x="16"/>
        <item t="data" sd="1" x="18"/>
        <item t="data" sd="1" x="19"/>
        <item t="data" sd="1" x="28"/>
        <item t="data" sd="1" x="24"/>
        <item t="data" sd="1" x="29"/>
        <item t="data" sd="1" x="22"/>
        <item t="data" sd="1" x="27"/>
        <item t="data" sd="1" x="21"/>
        <item t="data" sd="1" x="23"/>
        <item t="data" sd="1" x="25"/>
        <item t="data" sd="1" x="26"/>
        <item t="data" sd="1" x="0"/>
        <item t="default" sd="1"/>
      </items>
    </pivotField>
    <pivotField showDropDowns="1" compact="0" outline="0" subtotalTop="0" dragToRow="1" dragToCol="1" dragToPage="1" dragToData="1" dragOff="1" showAll="0" topAutoShow="1" includeNewItemsInFilter="1" itemPageCount="10" sortType="manual" defaultSubtotal="1"/>
    <pivotField axis="axisCol" showDropDowns="1" compact="0" outline="0" subtotalTop="0" dragToRow="1" dragToCol="1" dragToPage="1" dragToData="1" dragOff="1" showAll="0" topAutoShow="1" includeNewItemsInFilter="1" itemPageCount="10" sortType="manual" defaultSubtotal="1">
      <items count="4">
        <item t="data" sd="1" x="0"/>
        <item t="data" sd="1" x="1"/>
        <item t="data" sd="1" x="2"/>
        <item t="default" sd="1"/>
      </items>
    </pivotField>
    <pivotField showDropDowns="1" compact="0" outline="0" subtotalTop="0" dragToRow="1" dragToCol="1" dragToPage="1" dragToData="1" dragOff="1" showAll="0" topAutoShow="1" includeNewItemsInFilter="1" itemPageCount="10" sortType="manual" defaultSubtotal="1"/>
    <pivotField showDropDowns="1" compact="0" outline="0" subtotalTop="0" dragToRow="1" dragToCol="1" dragToPage="1" dragToData="1" dragOff="1" showAll="0" topAutoShow="1" includeNewItemsInFilter="1" itemPageCount="10" sortType="manual" defaultSubtotal="1"/>
    <pivotField showDropDowns="1" compact="0" outline="0" subtotalTop="0" dragToRow="1" dragToCol="1" dragToPage="1" dragToData="1" dragOff="1" showAll="0" topAutoShow="1" includeNewItemsInFilter="1" itemPageCount="10" sortType="manual" defaultSubtotal="1"/>
    <pivotField showDropDowns="1" compact="0" outline="0" subtotalTop="0" dragToRow="1" dragToCol="1" dragToPage="1" dragToData="1" dragOff="1" showAll="0" topAutoShow="1" includeNewItemsInFilter="1" itemPageCount="10" sortType="manual" defaultSubtotal="1"/>
    <pivotField showDropDowns="1" compact="0" outline="0" subtotalTop="0" dragToRow="1" dragToCol="1" dragToPage="1" dragToData="1" dragOff="1" showAll="0" topAutoShow="1" includeNewItemsInFilter="1" itemPageCount="10" sortType="manual" defaultSubtotal="1"/>
    <pivotField showDropDowns="1" compact="0" outline="0" subtotalTop="0" dragToRow="1" dragToCol="1" dragToPage="1" dragToData="1" dragOff="1" showAll="0" topAutoShow="1" includeNewItemsInFilter="1" itemPageCount="10" sortType="manual" defaultSubtotal="1"/>
    <pivotField showDropDowns="1" compact="0" outline="0" subtotalTop="0" dragToRow="1" dragToCol="1" dragToPage="1" dragToData="1" dragOff="1" showAll="0" topAutoShow="1" includeNewItemsInFilter="1" itemPageCount="10" sortType="manual" defaultSubtotal="1"/>
    <pivotField showDropDowns="1" compact="0" outline="0" subtotalTop="0" dragToRow="1" dragToCol="1" dragToPage="1" dragToData="1" dragOff="1" showAll="0" topAutoShow="1" includeNewItemsInFilter="1" itemPageCount="10" sortType="manual" defaultSubtotal="1"/>
    <pivotField showDropDowns="1" compact="0" outline="0" subtotalTop="0" dragToRow="1" dragToCol="1" dragToPage="1" dragToData="1" dragOff="1" showAll="0" topAutoShow="1" includeNewItemsInFilter="1" itemPageCount="10" sortType="manual" defaultSubtotal="1"/>
    <pivotField showDropDowns="1" compact="0" outline="0" subtotalTop="0" dragToRow="1" dragToCol="1" dragToPage="1" dragToData="1" dragOff="1" showAll="0" topAutoShow="1" includeNewItemsInFilter="1" itemPageCount="10" sortType="manual" defaultSubtotal="1"/>
    <pivotField showDropDowns="1" compact="0" outline="0" subtotalTop="0" dragToRow="1" dragToCol="1" dragToPage="1" dragToData="1" dragOff="1" showAll="0" topAutoShow="1" includeNewItemsInFilter="1" itemPageCount="10" sortType="manual" defaultSubtotal="1"/>
    <pivotField showDropDowns="1" compact="0" outline="0" subtotalTop="0" dragToRow="1" dragToCol="1" dragToPage="1" dragToData="1" dragOff="1" showAll="0" topAutoShow="1" includeNewItemsInFilter="1" itemPageCount="10" sortType="manual" defaultSubtotal="1"/>
    <pivotField showDropDowns="1" compact="0" outline="0" subtotalTop="0" dragToRow="1" dragToCol="1" dragToPage="1" dragToData="1" dragOff="1" showAll="0" topAutoShow="1" includeNewItemsInFilter="1" itemPageCount="10" sortType="manual" defaultSubtotal="1"/>
    <pivotField showDropDowns="1" compact="0" outline="0" subtotalTop="0" dragToRow="1" dragToCol="1" dragToPage="1" dragToData="1" dragOff="1" showAll="0" topAutoShow="1" includeNewItemsInFilter="1" itemPageCount="10" sortType="manual" defaultSubtotal="1"/>
    <pivotField showDropDowns="1" compact="0" numFmtId="1" outline="0" subtotalTop="0" dragToRow="1" dragToCol="1" dragToPage="1" dragToData="1" dragOff="1" showAll="0" topAutoShow="1" includeNewItemsInFilter="1" itemPageCount="10" sortType="manual" defaultSubtotal="1"/>
    <pivotField showDropDowns="1" compact="0" numFmtId="1" outline="0" subtotalTop="0" dragToRow="1" dragToCol="1" dragToPage="1" dragToData="1" dragOff="1" showAll="0" topAutoShow="1" includeNewItemsInFilter="1" itemPageCount="10" sortType="manual" defaultSubtotal="1"/>
    <pivotField showDropDowns="1" compact="0" numFmtId="1" outline="0" subtotalTop="0" dragToRow="1" dragToCol="1" dragToPage="1" dragToData="1" dragOff="1" showAll="0" topAutoShow="1" includeNewItemsInFilter="1" itemPageCount="10" sortType="manual" defaultSubtotal="1"/>
    <pivotField showDropDowns="1" compact="0" numFmtId="1" outline="0" subtotalTop="0" dragToRow="1" dragToCol="1" dragToPage="1" dragToData="1" dragOff="1" showAll="0" topAutoShow="1" includeNewItemsInFilter="1" itemPageCount="10" sortType="manual" defaultSubtotal="1"/>
    <pivotField showDropDowns="1" compact="0" numFmtId="1" outline="0" subtotalTop="0" dragToRow="1" dragToCol="1" dragToPage="1" dragToData="1" dragOff="1" showAll="0" topAutoShow="1" includeNewItemsInFilter="1" itemPageCount="10" sortType="manual" defaultSubtotal="1"/>
    <pivotField showDropDowns="1" compact="0" numFmtId="1" outline="0" subtotalTop="0" dragToRow="1" dragToCol="1" dragToPage="1" dragToData="1" dragOff="1" showAll="0" topAutoShow="1" includeNewItemsInFilter="1" itemPageCount="10" sortType="manual" defaultSubtotal="1"/>
    <pivotField showDropDowns="1" compact="0" numFmtId="1" outline="0" subtotalTop="0" dragToRow="1" dragToCol="1" dragToPage="1" dragToData="1" dragOff="1" showAll="0" topAutoShow="1" includeNewItemsInFilter="1" itemPageCount="10" sortType="manual" defaultSubtotal="1"/>
    <pivotField showDropDowns="1" compact="0" numFmtId="1" outline="0" subtotalTop="0" dragToRow="1" dragToCol="1" dragToPage="1" dragToData="1" dragOff="1" showAll="0" topAutoShow="1" includeNewItemsInFilter="1" itemPageCount="10" sortType="manual" defaultSubtotal="1"/>
    <pivotField showDropDowns="1" compact="0" numFmtId="1" outline="0" subtotalTop="0" dragToRow="1" dragToCol="1" dragToPage="1" dragToData="1" dragOff="1" showAll="0" topAutoShow="1" includeNewItemsInFilter="1" itemPageCount="10" sortType="manual" defaultSubtotal="1"/>
    <pivotField showDropDowns="1" compact="0" numFmtId="1" outline="0" subtotalTop="0" dragToRow="1" dragToCol="1" dragToPage="1" dragToData="1" dragOff="1" showAll="0" topAutoShow="1" includeNewItemsInFilter="1" itemPageCount="10" sortType="manual" defaultSubtotal="1"/>
    <pivotField showDropDowns="1" compact="0" numFmtId="1" outline="0" subtotalTop="0" dragToRow="1" dragToCol="1" dragToPage="1" dragToData="1" dragOff="1" showAll="0" topAutoShow="1" includeNewItemsInFilter="1" itemPageCount="10" sortType="manual" defaultSubtotal="1"/>
    <pivotField showDropDowns="1" compact="0" numFmtId="1" outline="0" subtotalTop="0" dragToRow="1" dragToCol="1" dragToPage="1" dragToData="1" dragOff="1" showAll="0" topAutoShow="1" includeNewItemsInFilter="1" itemPageCount="10" sortType="manual" defaultSubtotal="1"/>
    <pivotField showDropDowns="1" compact="0" numFmtId="1" outline="0" subtotalTop="0" dragToRow="1" dragToCol="1" dragToPage="1" dragToData="1" dragOff="1" showAll="0" topAutoShow="1" includeNewItemsInFilter="1" itemPageCount="10" sortType="manual" defaultSubtotal="1"/>
    <pivotField showDropDowns="1" compact="0" numFmtId="1" outline="0" subtotalTop="0" dragToRow="1" dragToCol="1" dragToPage="1" dragToData="1" dragOff="1" showAll="0" topAutoShow="1" includeNewItemsInFilter="1" itemPageCount="10" sortType="manual" defaultSubtotal="1"/>
    <pivotField showDropDowns="1" compact="0" numFmtId="1" outline="0" subtotalTop="0" dragToRow="1" dragToCol="1" dragToPage="1" dragToData="1" dragOff="1" showAll="0" topAutoShow="1" includeNewItemsInFilter="1" itemPageCount="10" sortType="manual" defaultSubtotal="1"/>
    <pivotField dataField="1" showDropDowns="1" compact="0" numFmtId="1" outline="0" subtotalTop="0" dragToRow="1" dragToCol="1" dragToPage="1" dragToData="1" dragOff="1" showAll="0" topAutoShow="1" includeNewItemsInFilter="1" itemPageCount="10" sortType="manual" defaultSubtotal="1"/>
  </pivotFields>
  <rowFields count="1">
    <field x="6"/>
  </rowFields>
  <rowItems count="13">
    <i t="data" r="0" i="0">
      <x v="9"/>
    </i>
    <i t="data" r="0" i="0">
      <x v="10"/>
    </i>
    <i t="data" r="0" i="0">
      <x v="11"/>
    </i>
    <i t="data" r="0" i="0">
      <x v="12"/>
    </i>
    <i t="data" r="0" i="0">
      <x v="13"/>
    </i>
    <i t="data" r="0" i="0">
      <x v="14"/>
    </i>
    <i t="data" r="0" i="0">
      <x v="15"/>
    </i>
    <i t="data" r="0" i="0">
      <x v="16"/>
    </i>
    <i t="data" r="0" i="0">
      <x v="17"/>
    </i>
    <i t="data" r="0" i="0">
      <x v="18"/>
    </i>
    <i t="data" r="0" i="0">
      <x v="19"/>
    </i>
    <i t="data" r="0" i="0">
      <x v="29"/>
    </i>
    <i t="grand" r="0" i="0">
      <x v="0"/>
    </i>
  </rowItems>
  <colFields count="1">
    <field x="8"/>
  </colFields>
  <colItems count="4">
    <i t="data" r="0" i="0">
      <x v="0"/>
    </i>
    <i t="data" r="0" i="0">
      <x v="1"/>
    </i>
    <i t="data" r="0" i="0">
      <x v="2"/>
    </i>
    <i t="grand" r="0" i="0">
      <x v="0"/>
    </i>
  </colItems>
  <pageFields count="1">
    <pageField fld="0" item="2" hier="0"/>
  </pageFields>
  <dataFields count="1">
    <dataField name="Sum of ImpVol  +10%" fld="38" subtotal="sum" showDataAs="normal" baseField="0" baseItem="0"/>
  </dataFields>
  <formats count="7">
    <format action="formatting" dxfId="32">
      <pivotArea type="normal" dataOnly="1" outline="0" fieldPosition="0">
        <references count="2">
          <reference field="6" selected="0">
            <x v="13"/>
          </reference>
          <reference field="8" selected="0">
            <x v="0"/>
          </reference>
        </references>
      </pivotArea>
    </format>
    <format action="formatting" dxfId="31">
      <pivotArea type="normal" dataOnly="1" outline="0" fieldPosition="0"/>
    </format>
    <format action="formatting" dxfId="30">
      <pivotArea type="normal" dataOnly="0" labelOnly="1" outline="0" fieldPosition="0">
        <references count="1">
          <reference field="8"/>
        </references>
      </pivotArea>
    </format>
    <format action="formatting" dxfId="29">
      <pivotArea type="normal" dataOnly="0" labelOnly="1" outline="0" fieldPosition="0">
        <references count="1">
          <reference field="6">
            <x v="9"/>
            <x v="10"/>
            <x v="11"/>
            <x v="12"/>
            <x v="13"/>
            <x v="14"/>
            <x v="15"/>
            <x v="16"/>
            <x v="17"/>
            <x v="18"/>
            <x v="19"/>
            <x v="29"/>
          </reference>
        </references>
      </pivotArea>
    </format>
    <format action="formatting" dxfId="28">
      <pivotArea type="normal" dataOnly="0" labelOnly="1" grandRow="1" outline="0" fieldPosition="0"/>
    </format>
    <format action="formatting" dxfId="27">
      <pivotArea type="normal" dataOnly="1" outline="0" fieldPosition="0"/>
    </format>
    <format action="formatting" dxfId="26">
      <pivotArea type="normal" dataOnly="0" labelOnly="1" outline="0" fieldPosition="0">
        <references count="1">
          <reference field="8"/>
        </references>
      </pivotArea>
    </format>
  </formats>
  <pivotTableStyleInfo showRowHeaders="1" showColHeaders="1" showRowStripes="0" showColStripes="0" showLastColumn="1"/>
</pivotTableDefinition>
</file>

<file path=xl/pivotTables/pivotTable3.xml><?xml version="1.0" encoding="utf-8"?>
<pivotTableDefinition xmlns:r="http://schemas.openxmlformats.org/officeDocument/2006/relationships" xmlns="http://schemas.openxmlformats.org/spreadsheetml/2006/main" name="PivotTable1" cacheId="2" dataOnRows="1" dataCaption="Data" showError="0" showMissing="1" updatedVersion="2" minRefreshableVersion="0" asteriskTotals="1" showItems="1" editData="0" disableFieldList="0" showCalcMbrs="1" visualTotals="1" showMultipleLabel="1" showDataDropDown="1" showDrill="1" printDrill="0" showMemberPropertyTips="0" showDataTips="1" enableWizard="1" enableDrill="1" enableFieldProperties="1" preserveFormatting="1" useAutoFormatting="1" pageWrap="0" pageOverThenDown="0" subtotalHiddenItems="0" rowGrandTotals="1" colGrandTotals="1" fieldPrintTitles="0" itemPrintTitles="1" mergeItem="0" showDropZones="1" createdVersion="1" indent="0" showEmptyRow="0" showEmptyCol="0" showHeaders="1" compact="0" outline="0" outlineData="0" compactData="0" published="0" gridDropZones="1" immersive="1" multipleFieldFilters="0" chartFormat="0" fieldListSortAscending="0" mdxSubqueries="0" applyNumberFormats="0" applyBorderFormats="0" applyFontFormats="0" applyPatternFormats="0" applyAlignmentFormats="0" applyWidthHeightFormats="1" r:id="rId1">
  <location ref="C6:G20" firstHeaderRow="1" firstDataRow="2" firstDataCol="1" rowPageCount="1" colPageCount="1"/>
  <pivotFields count="44">
    <pivotField axis="axisPage" showDropDowns="1" compact="0" outline="0" subtotalTop="0" dragToRow="1" dragToCol="1" dragToPage="1" dragToData="1" dragOff="1" showAll="0" topAutoShow="1" includeNewItemsInFilter="1" itemPageCount="10" sortType="manual" defaultSubtotal="1">
      <items count="4">
        <item t="data" sd="1" x="2"/>
        <item t="data" sd="1" x="0"/>
        <item t="data" sd="1" x="1"/>
        <item t="default" sd="1"/>
      </items>
    </pivotField>
    <pivotField showDropDowns="1" compact="0" outline="0" subtotalTop="0" dragToRow="1" dragToCol="1" dragToPage="1" dragToData="1" dragOff="1" showAll="0" topAutoShow="1" includeNewItemsInFilter="1" itemPageCount="10" sortType="manual" defaultSubtotal="1"/>
    <pivotField showDropDowns="1" compact="0" outline="0" subtotalTop="0" dragToRow="1" dragToCol="1" dragToPage="1" dragToData="1" dragOff="1" showAll="0" topAutoShow="1" includeNewItemsInFilter="1" itemPageCount="10" sortType="manual" defaultSubtotal="1"/>
    <pivotField showDropDowns="1" compact="0" outline="0" subtotalTop="0" dragToRow="1" dragToCol="1" dragToPage="1" dragToData="1" dragOff="1" showAll="0" topAutoShow="1" includeNewItemsInFilter="1" itemPageCount="10" sortType="manual" defaultSubtotal="1"/>
    <pivotField showDropDowns="1" compact="0" outline="0" subtotalTop="0" dragToRow="1" dragToCol="1" dragToPage="1" dragToData="1" dragOff="1" showAll="0" topAutoShow="1" includeNewItemsInFilter="1" itemPageCount="10" sortType="manual" defaultSubtotal="1"/>
    <pivotField showDropDowns="1" compact="0" outline="0" subtotalTop="0" dragToRow="1" dragToCol="1" dragToPage="1" dragToData="1" dragOff="1" showAll="0" topAutoShow="1" includeNewItemsInFilter="1" itemPageCount="10" sortType="manual" defaultSubtotal="1"/>
    <pivotField axis="axisRow" showDropDowns="1" compact="0" outline="0" subtotalTop="0" dragToRow="1" dragToCol="1" dragToPage="1" dragToData="1" dragOff="1" showAll="0" topAutoShow="1" includeNewItemsInFilter="1" itemPageCount="10" sortType="manual" defaultSubtotal="1">
      <items count="31">
        <item t="data" sd="1" x="6"/>
        <item t="data" sd="1" x="1"/>
        <item t="data" sd="1" x="2"/>
        <item t="data" sd="1" x="4"/>
        <item t="data" sd="1" x="9"/>
        <item t="data" sd="1" x="3"/>
        <item t="data" sd="1" x="5"/>
        <item t="data" sd="1" x="8"/>
        <item t="data" sd="1" x="7"/>
        <item t="data" sd="1" x="14"/>
        <item t="data" sd="1" x="12"/>
        <item t="data" sd="1" x="20"/>
        <item t="data" sd="1" x="11"/>
        <item t="data" sd="1" x="17"/>
        <item t="data" sd="1" x="10"/>
        <item t="data" sd="1" x="13"/>
        <item t="data" sd="1" x="15"/>
        <item t="data" sd="1" x="16"/>
        <item t="data" sd="1" x="18"/>
        <item t="data" sd="1" x="19"/>
        <item t="data" sd="1" x="28"/>
        <item t="data" sd="1" x="24"/>
        <item t="data" sd="1" x="29"/>
        <item t="data" sd="1" x="22"/>
        <item t="data" sd="1" x="27"/>
        <item t="data" sd="1" x="21"/>
        <item t="data" sd="1" x="23"/>
        <item t="data" sd="1" x="25"/>
        <item t="data" sd="1" x="26"/>
        <item t="data" sd="1" x="0"/>
        <item t="default" sd="1"/>
      </items>
    </pivotField>
    <pivotField showDropDowns="1" compact="0" outline="0" subtotalTop="0" dragToRow="1" dragToCol="1" dragToPage="1" dragToData="1" dragOff="1" showAll="0" topAutoShow="1" includeNewItemsInFilter="1" itemPageCount="10" sortType="manual" defaultSubtotal="1"/>
    <pivotField axis="axisCol" showDropDowns="1" compact="0" outline="0" subtotalTop="0" dragToRow="1" dragToCol="1" dragToPage="1" dragToData="1" dragOff="1" showAll="0" topAutoShow="1" includeNewItemsInFilter="1" itemPageCount="10" sortType="manual" defaultSubtotal="1">
      <items count="4">
        <item t="data" sd="1" x="0"/>
        <item t="data" sd="1" x="1"/>
        <item t="data" sd="1" x="2"/>
        <item t="default" sd="1"/>
      </items>
    </pivotField>
    <pivotField showDropDowns="1" compact="0" outline="0" subtotalTop="0" dragToRow="1" dragToCol="1" dragToPage="1" dragToData="1" dragOff="1" showAll="0" topAutoShow="1" includeNewItemsInFilter="1" itemPageCount="10" sortType="manual" defaultSubtotal="1"/>
    <pivotField showDropDowns="1" compact="0" outline="0" subtotalTop="0" dragToRow="1" dragToCol="1" dragToPage="1" dragToData="1" dragOff="1" showAll="0" topAutoShow="1" includeNewItemsInFilter="1" itemPageCount="10" sortType="manual" defaultSubtotal="1"/>
    <pivotField showDropDowns="1" compact="0" numFmtId="2" outline="0" subtotalTop="0" dragToRow="1" dragToCol="1" dragToPage="1" dragToData="1" dragOff="1" showAll="0" topAutoShow="1" includeNewItemsInFilter="1" itemPageCount="10" sortType="manual" defaultSubtotal="1"/>
    <pivotField showDropDowns="1" compact="0" numFmtId="2" outline="0" subtotalTop="0" dragToRow="1" dragToCol="1" dragToPage="1" dragToData="1" dragOff="1" showAll="0" topAutoShow="1" includeNewItemsInFilter="1" itemPageCount="10" sortType="manual" defaultSubtotal="1"/>
    <pivotField showDropDowns="1" compact="0" outline="0" subtotalTop="0" dragToRow="1" dragToCol="1" dragToPage="1" dragToData="1" dragOff="1" showAll="0" topAutoShow="1" includeNewItemsInFilter="1" itemPageCount="10" sortType="manual" defaultSubtotal="1"/>
    <pivotField showDropDowns="1" compact="0" outline="0" subtotalTop="0" dragToRow="1" dragToCol="1" dragToPage="1" dragToData="1" dragOff="1" showAll="0" topAutoShow="1" includeNewItemsInFilter="1" itemPageCount="10" sortType="manual" defaultSubtotal="1"/>
    <pivotField showDropDowns="1" compact="0" numFmtId="1" outline="0" subtotalTop="0" dragToRow="1" dragToCol="1" dragToPage="1" dragToData="1" dragOff="1" showAll="0" topAutoShow="1" includeNewItemsInFilter="1" itemPageCount="10" sortType="manual" defaultSubtotal="1"/>
    <pivotField showDropDowns="1" compact="0" numFmtId="1" outline="0" subtotalTop="0" dragToRow="1" dragToCol="1" dragToPage="1" dragToData="1" dragOff="1" showAll="0" topAutoShow="1" includeNewItemsInFilter="1" itemPageCount="10" sortType="manual" defaultSubtotal="1"/>
    <pivotField showDropDowns="1" compact="0" outline="0" subtotalTop="0" dragToRow="1" dragToCol="1" dragToPage="1" dragToData="1" dragOff="1" showAll="0" topAutoShow="1" includeNewItemsInFilter="1" itemPageCount="10" sortType="manual" defaultSubtotal="1"/>
    <pivotField showDropDowns="1" compact="0" outline="0" subtotalTop="0" dragToRow="1" dragToCol="1" dragToPage="1" dragToData="1" dragOff="1" showAll="0" topAutoShow="1" includeNewItemsInFilter="1" itemPageCount="10" sortType="manual" defaultSubtotal="1"/>
    <pivotField showDropDowns="1" compact="0" outline="0" subtotalTop="0" dragToRow="1" dragToCol="1" dragToPage="1" dragToData="1" dragOff="1" showAll="0" topAutoShow="1" includeNewItemsInFilter="1" itemPageCount="10" sortType="manual" defaultSubtotal="1"/>
    <pivotField showDropDowns="1" compact="0" numFmtId="2" outline="0" subtotalTop="0" dragToRow="1" dragToCol="1" dragToPage="1" dragToData="1" dragOff="1" showAll="0" topAutoShow="1" includeNewItemsInFilter="1" itemPageCount="10" sortType="manual" defaultSubtotal="1"/>
    <pivotField showDropDowns="1" compact="0" outline="0" subtotalTop="0" dragToRow="1" dragToCol="1" dragToPage="1" dragToData="1" dragOff="1" showAll="0" topAutoShow="1" includeNewItemsInFilter="1" itemPageCount="10" sortType="manual" defaultSubtotal="1"/>
    <pivotField showDropDowns="1" compact="0" outline="0" subtotalTop="0" dragToRow="1" dragToCol="1" dragToPage="1" dragToData="1" dragOff="1" showAll="0" topAutoShow="1" includeNewItemsInFilter="1" itemPageCount="10" sortType="manual" defaultSubtotal="1"/>
    <pivotField dataField="1" showDropDowns="1" compact="0" outline="0" subtotalTop="0" dragToRow="1" dragToCol="1" dragToPage="1" dragToData="1" dragOff="1" showAll="0" topAutoShow="1" includeNewItemsInFilter="1" itemPageCount="10" sortType="manual" defaultSubtotal="1"/>
    <pivotField showDropDowns="1" compact="0" numFmtId="1" outline="0" subtotalTop="0" dragToRow="1" dragToCol="1" dragToPage="1" dragToData="1" dragOff="1" showAll="0" topAutoShow="1" includeNewItemsInFilter="1" itemPageCount="10" sortType="manual" defaultSubtotal="1"/>
    <pivotField showDropDowns="1" compact="0" outline="0" subtotalTop="0" dragToRow="1" dragToCol="1" dragToPage="1" dragToData="1" dragOff="1" showAll="0" topAutoShow="1" includeNewItemsInFilter="1" itemPageCount="10" sortType="manual" defaultSubtotal="1"/>
    <pivotField showDropDowns="1" compact="0" outline="0" subtotalTop="0" dragToRow="1" dragToCol="1" dragToPage="1" dragToData="1" dragOff="1" showAll="0" topAutoShow="1" includeNewItemsInFilter="1" itemPageCount="10" sortType="manual" defaultSubtotal="1"/>
    <pivotField showDropDowns="1" compact="0" numFmtId="1" outline="0" subtotalTop="0" dragToRow="1" dragToCol="1" dragToPage="1" dragToData="1" dragOff="1" showAll="0" topAutoShow="1" includeNewItemsInFilter="1" itemPageCount="10" sortType="manual" defaultSubtotal="1"/>
    <pivotField showDropDowns="1" compact="0" numFmtId="1" outline="0" subtotalTop="0" dragToRow="1" dragToCol="1" dragToPage="1" dragToData="1" dragOff="1" showAll="0" topAutoShow="1" includeNewItemsInFilter="1" itemPageCount="10" sortType="manual" defaultSubtotal="1"/>
    <pivotField showDropDowns="1" compact="0" numFmtId="1" outline="0" subtotalTop="0" dragToRow="1" dragToCol="1" dragToPage="1" dragToData="1" dragOff="1" showAll="0" topAutoShow="1" includeNewItemsInFilter="1" itemPageCount="10" sortType="manual" defaultSubtotal="1"/>
    <pivotField showDropDowns="1" compact="0" numFmtId="1" outline="0" subtotalTop="0" dragToRow="1" dragToCol="1" dragToPage="1" dragToData="1" dragOff="1" showAll="0" topAutoShow="1" includeNewItemsInFilter="1" itemPageCount="10" sortType="manual" defaultSubtotal="1"/>
    <pivotField showDropDowns="1" compact="0" numFmtId="1" outline="0" subtotalTop="0" dragToRow="1" dragToCol="1" dragToPage="1" dragToData="1" dragOff="1" showAll="0" topAutoShow="1" includeNewItemsInFilter="1" itemPageCount="10" sortType="manual" defaultSubtotal="1"/>
    <pivotField showDropDowns="1" compact="0" numFmtId="1" outline="0" subtotalTop="0" dragToRow="1" dragToCol="1" dragToPage="1" dragToData="1" dragOff="1" showAll="0" topAutoShow="1" includeNewItemsInFilter="1" itemPageCount="10" sortType="manual" defaultSubtotal="1"/>
    <pivotField showDropDowns="1" compact="0" numFmtId="1" outline="0" subtotalTop="0" dragToRow="1" dragToCol="1" dragToPage="1" dragToData="1" dragOff="1" showAll="0" topAutoShow="1" includeNewItemsInFilter="1" itemPageCount="10" sortType="manual" defaultSubtotal="1"/>
    <pivotField showDropDowns="1" compact="0" numFmtId="1" outline="0" subtotalTop="0" dragToRow="1" dragToCol="1" dragToPage="1" dragToData="1" dragOff="1" showAll="0" topAutoShow="1" includeNewItemsInFilter="1" itemPageCount="10" sortType="manual" defaultSubtotal="1"/>
    <pivotField showDropDowns="1" compact="0" numFmtId="1" outline="0" subtotalTop="0" dragToRow="1" dragToCol="1" dragToPage="1" dragToData="1" dragOff="1" showAll="0" topAutoShow="1" includeNewItemsInFilter="1" itemPageCount="10" sortType="manual" defaultSubtotal="1"/>
    <pivotField showDropDowns="1" compact="0" numFmtId="1" outline="0" subtotalTop="0" dragToRow="1" dragToCol="1" dragToPage="1" dragToData="1" dragOff="1" showAll="0" topAutoShow="1" includeNewItemsInFilter="1" itemPageCount="10" sortType="manual" defaultSubtotal="1"/>
    <pivotField showDropDowns="1" compact="0" numFmtId="1" outline="0" subtotalTop="0" dragToRow="1" dragToCol="1" dragToPage="1" dragToData="1" dragOff="1" showAll="0" topAutoShow="1" includeNewItemsInFilter="1" itemPageCount="10" sortType="manual" defaultSubtotal="1"/>
    <pivotField showDropDowns="1" compact="0" numFmtId="1" outline="0" subtotalTop="0" dragToRow="1" dragToCol="1" dragToPage="1" dragToData="1" dragOff="1" showAll="0" topAutoShow="1" includeNewItemsInFilter="1" itemPageCount="10" sortType="manual" defaultSubtotal="1"/>
    <pivotField showDropDowns="1" compact="0" numFmtId="1" outline="0" subtotalTop="0" dragToRow="1" dragToCol="1" dragToPage="1" dragToData="1" dragOff="1" showAll="0" topAutoShow="1" includeNewItemsInFilter="1" itemPageCount="10" sortType="manual" defaultSubtotal="1"/>
    <pivotField showDropDowns="1" compact="0" numFmtId="1" outline="0" subtotalTop="0" dragToRow="1" dragToCol="1" dragToPage="1" dragToData="1" dragOff="1" showAll="0" topAutoShow="1" includeNewItemsInFilter="1" itemPageCount="10" sortType="manual" defaultSubtotal="1"/>
    <pivotField showDropDowns="1" compact="0" numFmtId="1" outline="0" subtotalTop="0" dragToRow="1" dragToCol="1" dragToPage="1" dragToData="1" dragOff="1" showAll="0" topAutoShow="1" includeNewItemsInFilter="1" itemPageCount="10" sortType="manual" defaultSubtotal="1"/>
    <pivotField showDropDowns="1" compact="0" numFmtId="1" outline="0" subtotalTop="0" dragToRow="1" dragToCol="1" dragToPage="1" dragToData="1" dragOff="1" showAll="0" topAutoShow="1" includeNewItemsInFilter="1" itemPageCount="10" sortType="manual" defaultSubtotal="1"/>
    <pivotField showDropDowns="1" compact="0" outline="0" subtotalTop="0" dragToRow="0" dragToCol="0" dragToPage="0" dragToData="1" dragOff="1" showAll="0" topAutoShow="1" includeNewItemsInFilter="1" itemPageCount="10" sortType="manual" defaultSubtotal="0"/>
  </pivotFields>
  <rowFields count="1">
    <field x="6"/>
  </rowFields>
  <rowItems count="13">
    <i t="data" r="0" i="0">
      <x v="9"/>
    </i>
    <i t="data" r="0" i="0">
      <x v="10"/>
    </i>
    <i t="data" r="0" i="0">
      <x v="11"/>
    </i>
    <i t="data" r="0" i="0">
      <x v="12"/>
    </i>
    <i t="data" r="0" i="0">
      <x v="13"/>
    </i>
    <i t="data" r="0" i="0">
      <x v="14"/>
    </i>
    <i t="data" r="0" i="0">
      <x v="15"/>
    </i>
    <i t="data" r="0" i="0">
      <x v="16"/>
    </i>
    <i t="data" r="0" i="0">
      <x v="17"/>
    </i>
    <i t="data" r="0" i="0">
      <x v="18"/>
    </i>
    <i t="data" r="0" i="0">
      <x v="19"/>
    </i>
    <i t="data" r="0" i="0">
      <x v="29"/>
    </i>
    <i t="grand" r="0" i="0">
      <x v="0"/>
    </i>
  </rowItems>
  <colFields count="1">
    <field x="8"/>
  </colFields>
  <colItems count="4">
    <i t="data" r="0" i="0">
      <x v="0"/>
    </i>
    <i t="data" r="0" i="0">
      <x v="1"/>
    </i>
    <i t="data" r="0" i="0">
      <x v="2"/>
    </i>
    <i t="grand" r="0" i="0">
      <x v="0"/>
    </i>
  </colItems>
  <pageFields count="1">
    <pageField fld="0" item="2" hier="0"/>
  </pageFields>
  <dataFields count="1">
    <dataField name="Sum of Total Vega 1%" fld="23" subtotal="sum" showDataAs="normal" baseField="0" baseItem="0"/>
  </dataFields>
  <formats count="8">
    <format action="formatting" dxfId="25">
      <pivotArea field="6" type="normal" dataOnly="0" grandRow="1" outline="0" axis="axisRow" fieldPosition="0">
        <references count="2">
          <reference field="0" selected="0">
            <x v="1"/>
          </reference>
          <reference field="6">
            <x v="0"/>
            <x v="1"/>
            <x v="2"/>
            <x v="3"/>
            <x v="4"/>
            <x v="5"/>
            <x v="6"/>
            <x v="7"/>
            <x v="8"/>
            <x v="29"/>
          </reference>
        </references>
      </pivotArea>
    </format>
    <format action="formatting" dxfId="24">
      <pivotArea type="normal" dataOnly="0" labelOnly="1" outline="0" fieldPosition="0">
        <references count="1">
          <reference field="6">
            <x v="0"/>
            <x v="1"/>
            <x v="2"/>
            <x v="3"/>
            <x v="4"/>
            <x v="5"/>
            <x v="6"/>
            <x v="7"/>
            <x v="8"/>
            <x v="29"/>
          </reference>
        </references>
      </pivotArea>
    </format>
    <format action="formatting" dxfId="23">
      <pivotArea type="normal" dataOnly="0" labelOnly="1" grandRow="1" outline="0" fieldPosition="0"/>
    </format>
    <format action="formatting" dxfId="22">
      <pivotArea type="normal" dataOnly="1" outline="0" fieldPosition="0"/>
    </format>
    <format action="formatting" dxfId="21">
      <pivotArea type="normal" dataOnly="0" labelOnly="1" outline="0" fieldPosition="0">
        <references count="1">
          <reference field="6">
            <x v="9"/>
            <x v="10"/>
            <x v="11"/>
            <x v="12"/>
            <x v="13"/>
            <x v="14"/>
            <x v="15"/>
            <x v="16"/>
            <x v="17"/>
            <x v="18"/>
            <x v="19"/>
            <x v="29"/>
          </reference>
        </references>
      </pivotArea>
    </format>
    <format action="formatting" dxfId="20">
      <pivotArea type="normal" dataOnly="0" labelOnly="1" grandRow="1" outline="0" fieldPosition="0"/>
    </format>
    <format action="formatting" dxfId="19">
      <pivotArea type="normal" dataOnly="1" outline="0" fieldPosition="0"/>
    </format>
    <format action="formatting" dxfId="18">
      <pivotArea type="normal" dataOnly="0" labelOnly="1" outline="0" fieldPosition="0">
        <references count="1">
          <reference field="8"/>
        </references>
      </pivotArea>
    </format>
  </formats>
  <pivotTableStyleInfo showRowHeaders="1" showColHeaders="1" showRowStripes="0" showColStripes="0" showLastColumn="1"/>
</pivotTableDefinition>
</file>

<file path=xl/pivotTables/pivotTable4.xml><?xml version="1.0" encoding="utf-8"?>
<pivotTableDefinition xmlns:r="http://schemas.openxmlformats.org/officeDocument/2006/relationships" xmlns="http://schemas.openxmlformats.org/spreadsheetml/2006/main" name="PivotTable2" cacheId="3" dataOnRows="1" dataCaption="Data" showError="0" showMissing="1" updatedVersion="2" minRefreshableVersion="0" asteriskTotals="1" showItems="1" editData="0" disableFieldList="0" showCalcMbrs="1" visualTotals="1" showMultipleLabel="1" showDataDropDown="1" showDrill="1" printDrill="0" showMemberPropertyTips="0" showDataTips="1" enableWizard="1" enableDrill="1" enableFieldProperties="1" preserveFormatting="1" useAutoFormatting="1" pageWrap="0" pageOverThenDown="0" subtotalHiddenItems="0" rowGrandTotals="1" colGrandTotals="1" fieldPrintTitles="0" itemPrintTitles="1" mergeItem="0" showDropZones="1" createdVersion="1" indent="0" showEmptyRow="0" showEmptyCol="0" showHeaders="1" compact="0" outline="0" outlineData="0" compactData="0" published="0" gridDropZones="1" immersive="1" multipleFieldFilters="0" chartFormat="0" fieldListSortAscending="0" mdxSubqueries="0" applyNumberFormats="0" applyBorderFormats="0" applyFontFormats="0" applyPatternFormats="0" applyAlignmentFormats="0" applyWidthHeightFormats="1" r:id="rId1">
  <location ref="C30:G44" firstHeaderRow="1" firstDataRow="2" firstDataCol="1" rowPageCount="1" colPageCount="1"/>
  <pivotFields count="39">
    <pivotField axis="axisPage" showDropDowns="1" compact="0" outline="0" subtotalTop="0" dragToRow="1" dragToCol="1" dragToPage="1" dragToData="1" dragOff="1" showAll="0" topAutoShow="1" includeNewItemsInFilter="1" itemPageCount="10" sortType="manual" defaultSubtotal="1">
      <items count="4">
        <item t="data" sd="1" x="2"/>
        <item t="data" sd="1" x="0"/>
        <item t="data" sd="1" x="1"/>
        <item t="default" sd="1"/>
      </items>
    </pivotField>
    <pivotField showDropDowns="1" compact="0" outline="0" subtotalTop="0" dragToRow="1" dragToCol="1" dragToPage="1" dragToData="1" dragOff="1" showAll="0" topAutoShow="1" includeNewItemsInFilter="1" itemPageCount="10" sortType="manual" defaultSubtotal="1"/>
    <pivotField showDropDowns="1" compact="0" outline="0" subtotalTop="0" dragToRow="1" dragToCol="1" dragToPage="1" dragToData="1" dragOff="1" showAll="0" topAutoShow="1" includeNewItemsInFilter="1" itemPageCount="10" sortType="manual" defaultSubtotal="1"/>
    <pivotField showDropDowns="1" compact="0" outline="0" subtotalTop="0" dragToRow="1" dragToCol="1" dragToPage="1" dragToData="1" dragOff="1" showAll="0" topAutoShow="1" includeNewItemsInFilter="1" itemPageCount="10" sortType="manual" defaultSubtotal="1"/>
    <pivotField showDropDowns="1" compact="0" outline="0" subtotalTop="0" dragToRow="1" dragToCol="1" dragToPage="1" dragToData="1" dragOff="1" showAll="0" topAutoShow="1" includeNewItemsInFilter="1" itemPageCount="10" sortType="manual" defaultSubtotal="1"/>
    <pivotField showDropDowns="1" compact="0" outline="0" subtotalTop="0" dragToRow="1" dragToCol="1" dragToPage="1" dragToData="1" dragOff="1" showAll="0" topAutoShow="1" includeNewItemsInFilter="1" itemPageCount="10" sortType="manual" defaultSubtotal="1"/>
    <pivotField axis="axisRow" showDropDowns="1" compact="0" outline="0" subtotalTop="0" dragToRow="1" dragToCol="1" dragToPage="1" dragToData="1" dragOff="1" showAll="0" topAutoShow="1" includeNewItemsInFilter="1" itemPageCount="10" sortType="manual" defaultSubtotal="1">
      <items count="31">
        <item t="data" sd="1" x="6"/>
        <item t="data" sd="1" x="1"/>
        <item t="data" sd="1" x="2"/>
        <item t="data" sd="1" x="4"/>
        <item t="data" sd="1" x="9"/>
        <item t="data" sd="1" x="3"/>
        <item t="data" sd="1" x="5"/>
        <item t="data" sd="1" x="8"/>
        <item t="data" sd="1" x="7"/>
        <item t="data" sd="1" x="14"/>
        <item t="data" sd="1" x="12"/>
        <item t="data" sd="1" x="20"/>
        <item t="data" sd="1" x="11"/>
        <item t="data" sd="1" x="17"/>
        <item t="data" sd="1" x="10"/>
        <item t="data" sd="1" x="13"/>
        <item t="data" sd="1" x="15"/>
        <item t="data" sd="1" x="16"/>
        <item t="data" sd="1" x="18"/>
        <item t="data" sd="1" x="19"/>
        <item t="data" sd="1" x="28"/>
        <item t="data" sd="1" x="24"/>
        <item t="data" sd="1" x="29"/>
        <item t="data" sd="1" x="22"/>
        <item t="data" sd="1" x="27"/>
        <item t="data" sd="1" x="21"/>
        <item t="data" sd="1" x="23"/>
        <item t="data" sd="1" x="25"/>
        <item t="data" sd="1" x="26"/>
        <item t="data" sd="1" x="0"/>
        <item t="default" sd="1"/>
      </items>
    </pivotField>
    <pivotField showDropDowns="1" compact="0" outline="0" subtotalTop="0" dragToRow="1" dragToCol="1" dragToPage="1" dragToData="1" dragOff="1" showAll="0" topAutoShow="1" includeNewItemsInFilter="1" itemPageCount="10" sortType="manual" defaultSubtotal="1"/>
    <pivotField axis="axisCol" showDropDowns="1" compact="0" outline="0" subtotalTop="0" dragToRow="1" dragToCol="1" dragToPage="1" dragToData="1" dragOff="1" showAll="0" topAutoShow="1" includeNewItemsInFilter="1" itemPageCount="10" sortType="manual" defaultSubtotal="1">
      <items count="4">
        <item t="data" sd="1" x="0"/>
        <item t="data" sd="1" x="1"/>
        <item t="data" sd="1" x="2"/>
        <item t="default" sd="1"/>
      </items>
    </pivotField>
    <pivotField showDropDowns="1" compact="0" outline="0" subtotalTop="0" dragToRow="1" dragToCol="1" dragToPage="1" dragToData="1" dragOff="1" showAll="0" topAutoShow="1" includeNewItemsInFilter="1" itemPageCount="10" sortType="manual" defaultSubtotal="1"/>
    <pivotField showDropDowns="1" compact="0" outline="0" subtotalTop="0" dragToRow="1" dragToCol="1" dragToPage="1" dragToData="1" dragOff="1" showAll="0" topAutoShow="1" includeNewItemsInFilter="1" itemPageCount="10" sortType="manual" defaultSubtotal="1"/>
    <pivotField showDropDowns="1" compact="0" outline="0" subtotalTop="0" dragToRow="1" dragToCol="1" dragToPage="1" dragToData="1" dragOff="1" showAll="0" topAutoShow="1" includeNewItemsInFilter="1" itemPageCount="10" sortType="manual" defaultSubtotal="1"/>
    <pivotField showDropDowns="1" compact="0" outline="0" subtotalTop="0" dragToRow="1" dragToCol="1" dragToPage="1" dragToData="1" dragOff="1" showAll="0" topAutoShow="1" includeNewItemsInFilter="1" itemPageCount="10" sortType="manual" defaultSubtotal="1"/>
    <pivotField showDropDowns="1" compact="0" outline="0" subtotalTop="0" dragToRow="1" dragToCol="1" dragToPage="1" dragToData="1" dragOff="1" showAll="0" topAutoShow="1" includeNewItemsInFilter="1" itemPageCount="10" sortType="manual" defaultSubtotal="1"/>
    <pivotField showDropDowns="1" compact="0" outline="0" subtotalTop="0" dragToRow="1" dragToCol="1" dragToPage="1" dragToData="1" dragOff="1" showAll="0" topAutoShow="1" includeNewItemsInFilter="1" itemPageCount="10" sortType="manual" defaultSubtotal="1"/>
    <pivotField showDropDowns="1" compact="0" outline="0" subtotalTop="0" dragToRow="1" dragToCol="1" dragToPage="1" dragToData="1" dragOff="1" showAll="0" topAutoShow="1" includeNewItemsInFilter="1" itemPageCount="10" sortType="manual" defaultSubtotal="1"/>
    <pivotField showDropDowns="1" compact="0" outline="0" subtotalTop="0" dragToRow="1" dragToCol="1" dragToPage="1" dragToData="1" dragOff="1" showAll="0" topAutoShow="1" includeNewItemsInFilter="1" itemPageCount="10" sortType="manual" defaultSubtotal="1"/>
    <pivotField showDropDowns="1" compact="0" outline="0" subtotalTop="0" dragToRow="1" dragToCol="1" dragToPage="1" dragToData="1" dragOff="1" showAll="0" topAutoShow="1" includeNewItemsInFilter="1" itemPageCount="10" sortType="manual" defaultSubtotal="1"/>
    <pivotField showDropDowns="1" compact="0" outline="0" subtotalTop="0" dragToRow="1" dragToCol="1" dragToPage="1" dragToData="1" dragOff="1" showAll="0" topAutoShow="1" includeNewItemsInFilter="1" itemPageCount="10" sortType="manual" defaultSubtotal="1"/>
    <pivotField showDropDowns="1" compact="0" outline="0" subtotalTop="0" dragToRow="1" dragToCol="1" dragToPage="1" dragToData="1" dragOff="1" showAll="0" topAutoShow="1" includeNewItemsInFilter="1" itemPageCount="10" sortType="manual" defaultSubtotal="1"/>
    <pivotField showDropDowns="1" compact="0" outline="0" subtotalTop="0" dragToRow="1" dragToCol="1" dragToPage="1" dragToData="1" dragOff="1" showAll="0" topAutoShow="1" includeNewItemsInFilter="1" itemPageCount="10" sortType="manual" defaultSubtotal="1"/>
    <pivotField showDropDowns="1" compact="0" outline="0" subtotalTop="0" dragToRow="1" dragToCol="1" dragToPage="1" dragToData="1" dragOff="1" showAll="0" topAutoShow="1" includeNewItemsInFilter="1" itemPageCount="10" sortType="manual" defaultSubtotal="1"/>
    <pivotField showDropDowns="1" compact="0" outline="0" subtotalTop="0" dragToRow="1" dragToCol="1" dragToPage="1" dragToData="1" dragOff="1" showAll="0" topAutoShow="1" includeNewItemsInFilter="1" itemPageCount="10" sortType="manual" defaultSubtotal="1"/>
    <pivotField showDropDowns="1" compact="0" numFmtId="1" outline="0" subtotalTop="0" dragToRow="1" dragToCol="1" dragToPage="1" dragToData="1" dragOff="1" showAll="0" topAutoShow="1" includeNewItemsInFilter="1" itemPageCount="10" sortType="manual" defaultSubtotal="1"/>
    <pivotField showDropDowns="1" compact="0" numFmtId="1" outline="0" subtotalTop="0" dragToRow="1" dragToCol="1" dragToPage="1" dragToData="1" dragOff="1" showAll="0" topAutoShow="1" includeNewItemsInFilter="1" itemPageCount="10" sortType="manual" defaultSubtotal="1"/>
    <pivotField showDropDowns="1" compact="0" numFmtId="1" outline="0" subtotalTop="0" dragToRow="1" dragToCol="1" dragToPage="1" dragToData="1" dragOff="1" showAll="0" topAutoShow="1" includeNewItemsInFilter="1" itemPageCount="10" sortType="manual" defaultSubtotal="1"/>
    <pivotField showDropDowns="1" compact="0" numFmtId="1" outline="0" subtotalTop="0" dragToRow="1" dragToCol="1" dragToPage="1" dragToData="1" dragOff="1" showAll="0" topAutoShow="1" includeNewItemsInFilter="1" itemPageCount="10" sortType="manual" defaultSubtotal="1"/>
    <pivotField showDropDowns="1" compact="0" numFmtId="1" outline="0" subtotalTop="0" dragToRow="1" dragToCol="1" dragToPage="1" dragToData="1" dragOff="1" showAll="0" topAutoShow="1" includeNewItemsInFilter="1" itemPageCount="10" sortType="manual" defaultSubtotal="1"/>
    <pivotField showDropDowns="1" compact="0" numFmtId="1" outline="0" subtotalTop="0" dragToRow="1" dragToCol="1" dragToPage="1" dragToData="1" dragOff="1" showAll="0" topAutoShow="1" includeNewItemsInFilter="1" itemPageCount="10" sortType="manual" defaultSubtotal="1"/>
    <pivotField dataField="1" showDropDowns="1" compact="0" numFmtId="1" outline="0" subtotalTop="0" dragToRow="1" dragToCol="1" dragToPage="1" dragToData="1" dragOff="1" showAll="0" topAutoShow="1" includeNewItemsInFilter="1" itemPageCount="10" sortType="manual" defaultSubtotal="1"/>
    <pivotField showDropDowns="1" compact="0" numFmtId="1" outline="0" subtotalTop="0" dragToRow="1" dragToCol="1" dragToPage="1" dragToData="1" dragOff="1" showAll="0" topAutoShow="1" includeNewItemsInFilter="1" itemPageCount="10" sortType="manual" defaultSubtotal="1"/>
    <pivotField showDropDowns="1" compact="0" numFmtId="1" outline="0" subtotalTop="0" dragToRow="1" dragToCol="1" dragToPage="1" dragToData="1" dragOff="1" showAll="0" topAutoShow="1" includeNewItemsInFilter="1" itemPageCount="10" sortType="manual" defaultSubtotal="1"/>
    <pivotField showDropDowns="1" compact="0" numFmtId="1" outline="0" subtotalTop="0" dragToRow="1" dragToCol="1" dragToPage="1" dragToData="1" dragOff="1" showAll="0" topAutoShow="1" includeNewItemsInFilter="1" itemPageCount="10" sortType="manual" defaultSubtotal="1"/>
    <pivotField showDropDowns="1" compact="0" numFmtId="1" outline="0" subtotalTop="0" dragToRow="1" dragToCol="1" dragToPage="1" dragToData="1" dragOff="1" showAll="0" topAutoShow="1" includeNewItemsInFilter="1" itemPageCount="10" sortType="manual" defaultSubtotal="1"/>
    <pivotField showDropDowns="1" compact="0" numFmtId="1" outline="0" subtotalTop="0" dragToRow="1" dragToCol="1" dragToPage="1" dragToData="1" dragOff="1" showAll="0" topAutoShow="1" includeNewItemsInFilter="1" itemPageCount="10" sortType="manual" defaultSubtotal="1"/>
    <pivotField showDropDowns="1" compact="0" numFmtId="1" outline="0" subtotalTop="0" dragToRow="1" dragToCol="1" dragToPage="1" dragToData="1" dragOff="1" showAll="0" topAutoShow="1" includeNewItemsInFilter="1" itemPageCount="10" sortType="manual" defaultSubtotal="1"/>
    <pivotField showDropDowns="1" compact="0" numFmtId="1" outline="0" subtotalTop="0" dragToRow="1" dragToCol="1" dragToPage="1" dragToData="1" dragOff="1" showAll="0" topAutoShow="1" includeNewItemsInFilter="1" itemPageCount="10" sortType="manual" defaultSubtotal="1"/>
    <pivotField showDropDowns="1" compact="0" numFmtId="1" outline="0" subtotalTop="0" dragToRow="1" dragToCol="1" dragToPage="1" dragToData="1" dragOff="1" showAll="0" topAutoShow="1" includeNewItemsInFilter="1" itemPageCount="10" sortType="manual" defaultSubtotal="1"/>
    <pivotField showDropDowns="1" compact="0" numFmtId="1" outline="0" subtotalTop="0" dragToRow="1" dragToCol="1" dragToPage="1" dragToData="1" dragOff="1" showAll="0" topAutoShow="1" includeNewItemsInFilter="1" itemPageCount="10" sortType="manual" defaultSubtotal="1"/>
  </pivotFields>
  <rowFields count="1">
    <field x="6"/>
  </rowFields>
  <rowItems count="13">
    <i t="data" r="0" i="0">
      <x v="9"/>
    </i>
    <i t="data" r="0" i="0">
      <x v="10"/>
    </i>
    <i t="data" r="0" i="0">
      <x v="11"/>
    </i>
    <i t="data" r="0" i="0">
      <x v="12"/>
    </i>
    <i t="data" r="0" i="0">
      <x v="13"/>
    </i>
    <i t="data" r="0" i="0">
      <x v="14"/>
    </i>
    <i t="data" r="0" i="0">
      <x v="15"/>
    </i>
    <i t="data" r="0" i="0">
      <x v="16"/>
    </i>
    <i t="data" r="0" i="0">
      <x v="17"/>
    </i>
    <i t="data" r="0" i="0">
      <x v="18"/>
    </i>
    <i t="data" r="0" i="0">
      <x v="19"/>
    </i>
    <i t="data" r="0" i="0">
      <x v="29"/>
    </i>
    <i t="grand" r="0" i="0">
      <x v="0"/>
    </i>
  </rowItems>
  <colFields count="1">
    <field x="8"/>
  </colFields>
  <colItems count="4">
    <i t="data" r="0" i="0">
      <x v="0"/>
    </i>
    <i t="data" r="0" i="0">
      <x v="1"/>
    </i>
    <i t="data" r="0" i="0">
      <x v="2"/>
    </i>
    <i t="grand" r="0" i="0">
      <x v="0"/>
    </i>
  </colItems>
  <pageFields count="1">
    <pageField fld="0" item="2" hier="0"/>
  </pageFields>
  <dataFields count="1">
    <dataField name="Sum of PnL: Und +10%" fld="29" subtotal="sum" showDataAs="normal" baseField="0" baseItem="0"/>
  </dataFields>
  <formats count="6">
    <format action="formatting" dxfId="17">
      <pivotArea type="normal" dataOnly="1" outline="0" fieldPosition="0">
        <references count="2">
          <reference field="6" selected="0">
            <x v="13"/>
          </reference>
          <reference field="8" selected="0">
            <x v="0"/>
          </reference>
        </references>
      </pivotArea>
    </format>
    <format action="formatting" dxfId="16">
      <pivotArea type="normal" dataOnly="1" outline="0" fieldPosition="0"/>
    </format>
    <format action="formatting" dxfId="15">
      <pivotArea type="normal" dataOnly="0" labelOnly="1" outline="0" fieldPosition="0">
        <references count="1">
          <reference field="8"/>
        </references>
      </pivotArea>
    </format>
    <format action="formatting" dxfId="14">
      <pivotArea type="normal" dataOnly="0" labelOnly="1" outline="0" fieldPosition="0">
        <references count="1">
          <reference field="6">
            <x v="9"/>
            <x v="10"/>
            <x v="11"/>
            <x v="12"/>
            <x v="13"/>
            <x v="14"/>
            <x v="15"/>
            <x v="16"/>
            <x v="17"/>
            <x v="18"/>
            <x v="19"/>
            <x v="29"/>
          </reference>
        </references>
      </pivotArea>
    </format>
    <format action="formatting" dxfId="13">
      <pivotArea type="normal" dataOnly="0" labelOnly="1" grandRow="1" outline="0" fieldPosition="0"/>
    </format>
    <format action="formatting" dxfId="12">
      <pivotArea type="normal" dataOnly="1" outline="0" fieldPosition="0"/>
    </format>
  </formats>
  <pivotTableStyleInfo showRowHeaders="1" showColHeaders="1" showRowStripes="0" showColStripes="0" showLastColumn="1"/>
</pivotTableDefinition>
</file>

<file path=xl/pivotTables/pivotTable5.xml><?xml version="1.0" encoding="utf-8"?>
<pivotTableDefinition xmlns:r="http://schemas.openxmlformats.org/officeDocument/2006/relationships" xmlns="http://schemas.openxmlformats.org/spreadsheetml/2006/main" name="PivotTable3" cacheId="2" dataOnRows="1" dataCaption="Data" showError="0" showMissing="1" updatedVersion="2" minRefreshableVersion="0" asteriskTotals="1" showItems="1" editData="0" disableFieldList="0" showCalcMbrs="1" visualTotals="1" showMultipleLabel="1" showDataDropDown="1" showDrill="1" printDrill="0" showMemberPropertyTips="0" showDataTips="1" enableWizard="1" enableDrill="1" enableFieldProperties="1" preserveFormatting="1" useAutoFormatting="1" pageWrap="0" pageOverThenDown="0" subtotalHiddenItems="0" rowGrandTotals="1" colGrandTotals="1" fieldPrintTitles="0" itemPrintTitles="1" mergeItem="0" showDropZones="1" createdVersion="1" indent="0" showEmptyRow="0" showEmptyCol="0" showHeaders="1" compact="0" outline="0" outlineData="0" compactData="0" published="0" gridDropZones="1" immersive="1" multipleFieldFilters="0" chartFormat="0" fieldListSortAscending="0" mdxSubqueries="0" applyNumberFormats="0" applyBorderFormats="0" applyFontFormats="0" applyPatternFormats="0" applyAlignmentFormats="0" applyWidthHeightFormats="1" r:id="rId1">
  <location ref="J6:N20" firstHeaderRow="1" firstDataRow="2" firstDataCol="1" rowPageCount="1" colPageCount="1"/>
  <pivotFields count="44">
    <pivotField axis="axisPage" showDropDowns="1" compact="0" outline="0" subtotalTop="0" dragToRow="1" dragToCol="1" dragToPage="1" dragToData="1" dragOff="1" showAll="0" topAutoShow="1" includeNewItemsInFilter="1" itemPageCount="10" sortType="manual" defaultSubtotal="1">
      <items count="4">
        <item t="data" sd="1" x="2"/>
        <item t="data" sd="1" x="0"/>
        <item t="data" sd="1" x="1"/>
        <item t="default" sd="1"/>
      </items>
    </pivotField>
    <pivotField showDropDowns="1" compact="0" outline="0" subtotalTop="0" dragToRow="1" dragToCol="1" dragToPage="1" dragToData="1" dragOff="1" showAll="0" topAutoShow="1" includeNewItemsInFilter="1" itemPageCount="10" sortType="manual" defaultSubtotal="1"/>
    <pivotField showDropDowns="1" compact="0" outline="0" subtotalTop="0" dragToRow="1" dragToCol="1" dragToPage="1" dragToData="1" dragOff="1" showAll="0" topAutoShow="1" includeNewItemsInFilter="1" itemPageCount="10" sortType="manual" defaultSubtotal="1"/>
    <pivotField showDropDowns="1" compact="0" outline="0" subtotalTop="0" dragToRow="1" dragToCol="1" dragToPage="1" dragToData="1" dragOff="1" showAll="0" topAutoShow="1" includeNewItemsInFilter="1" itemPageCount="10" sortType="manual" defaultSubtotal="1"/>
    <pivotField showDropDowns="1" compact="0" outline="0" subtotalTop="0" dragToRow="1" dragToCol="1" dragToPage="1" dragToData="1" dragOff="1" showAll="0" topAutoShow="1" includeNewItemsInFilter="1" itemPageCount="10" sortType="manual" defaultSubtotal="1"/>
    <pivotField showDropDowns="1" compact="0" outline="0" subtotalTop="0" dragToRow="1" dragToCol="1" dragToPage="1" dragToData="1" dragOff="1" showAll="0" topAutoShow="1" includeNewItemsInFilter="1" itemPageCount="10" sortType="manual" defaultSubtotal="1"/>
    <pivotField axis="axisRow" showDropDowns="1" compact="0" outline="0" subtotalTop="0" dragToRow="1" dragToCol="1" dragToPage="1" dragToData="1" dragOff="1" showAll="0" topAutoShow="1" includeNewItemsInFilter="1" itemPageCount="10" sortType="manual" defaultSubtotal="1">
      <items count="31">
        <item t="data" sd="1" x="6"/>
        <item t="data" sd="1" x="1"/>
        <item t="data" sd="1" x="2"/>
        <item t="data" sd="1" x="4"/>
        <item t="data" sd="1" x="9"/>
        <item t="data" sd="1" x="3"/>
        <item t="data" sd="1" x="5"/>
        <item t="data" sd="1" x="8"/>
        <item t="data" sd="1" x="7"/>
        <item t="data" sd="1" x="14"/>
        <item t="data" sd="1" x="12"/>
        <item t="data" sd="1" x="20"/>
        <item t="data" sd="1" x="11"/>
        <item t="data" sd="1" x="17"/>
        <item t="data" sd="1" x="10"/>
        <item t="data" sd="1" x="13"/>
        <item t="data" sd="1" x="15"/>
        <item t="data" sd="1" x="16"/>
        <item t="data" sd="1" x="18"/>
        <item t="data" sd="1" x="19"/>
        <item t="data" sd="1" x="28"/>
        <item t="data" sd="1" x="24"/>
        <item t="data" sd="1" x="29"/>
        <item t="data" sd="1" x="22"/>
        <item t="data" sd="1" x="27"/>
        <item t="data" sd="1" x="21"/>
        <item t="data" sd="1" x="23"/>
        <item t="data" sd="1" x="25"/>
        <item t="data" sd="1" x="26"/>
        <item t="data" sd="1" x="0"/>
        <item t="default" sd="1"/>
      </items>
    </pivotField>
    <pivotField showDropDowns="1" compact="0" outline="0" subtotalTop="0" dragToRow="1" dragToCol="1" dragToPage="1" dragToData="1" dragOff="1" showAll="0" topAutoShow="1" includeNewItemsInFilter="1" itemPageCount="10" sortType="manual" defaultSubtotal="1"/>
    <pivotField axis="axisCol" showDropDowns="1" compact="0" outline="0" subtotalTop="0" dragToRow="1" dragToCol="1" dragToPage="1" dragToData="1" dragOff="1" showAll="0" topAutoShow="1" includeNewItemsInFilter="1" itemPageCount="10" sortType="manual" defaultSubtotal="1">
      <items count="4">
        <item t="data" sd="1" x="0"/>
        <item t="data" sd="1" x="1"/>
        <item t="data" sd="1" x="2"/>
        <item t="default" sd="1"/>
      </items>
    </pivotField>
    <pivotField showDropDowns="1" compact="0" outline="0" subtotalTop="0" dragToRow="1" dragToCol="1" dragToPage="1" dragToData="1" dragOff="1" showAll="0" topAutoShow="1" includeNewItemsInFilter="1" itemPageCount="10" sortType="manual" defaultSubtotal="1"/>
    <pivotField showDropDowns="1" compact="0" outline="0" subtotalTop="0" dragToRow="1" dragToCol="1" dragToPage="1" dragToData="1" dragOff="1" showAll="0" topAutoShow="1" includeNewItemsInFilter="1" itemPageCount="10" sortType="manual" defaultSubtotal="1"/>
    <pivotField showDropDowns="1" compact="0" numFmtId="2" outline="0" subtotalTop="0" dragToRow="1" dragToCol="1" dragToPage="1" dragToData="1" dragOff="1" showAll="0" topAutoShow="1" includeNewItemsInFilter="1" itemPageCount="10" sortType="manual" defaultSubtotal="1"/>
    <pivotField showDropDowns="1" compact="0" numFmtId="2" outline="0" subtotalTop="0" dragToRow="1" dragToCol="1" dragToPage="1" dragToData="1" dragOff="1" showAll="0" topAutoShow="1" includeNewItemsInFilter="1" itemPageCount="10" sortType="manual" defaultSubtotal="1"/>
    <pivotField showDropDowns="1" compact="0" outline="0" subtotalTop="0" dragToRow="1" dragToCol="1" dragToPage="1" dragToData="1" dragOff="1" showAll="0" topAutoShow="1" includeNewItemsInFilter="1" itemPageCount="10" sortType="manual" defaultSubtotal="1"/>
    <pivotField showDropDowns="1" compact="0" outline="0" subtotalTop="0" dragToRow="1" dragToCol="1" dragToPage="1" dragToData="1" dragOff="1" showAll="0" topAutoShow="1" includeNewItemsInFilter="1" itemPageCount="10" sortType="manual" defaultSubtotal="1"/>
    <pivotField showDropDowns="1" compact="0" numFmtId="1" outline="0" subtotalTop="0" dragToRow="1" dragToCol="1" dragToPage="1" dragToData="1" dragOff="1" showAll="0" topAutoShow="1" includeNewItemsInFilter="1" itemPageCount="10" sortType="manual" defaultSubtotal="1"/>
    <pivotField showDropDowns="1" compact="0" numFmtId="1" outline="0" subtotalTop="0" dragToRow="1" dragToCol="1" dragToPage="1" dragToData="1" dragOff="1" showAll="0" topAutoShow="1" includeNewItemsInFilter="1" itemPageCount="10" sortType="manual" defaultSubtotal="1"/>
    <pivotField showDropDowns="1" compact="0" outline="0" subtotalTop="0" dragToRow="1" dragToCol="1" dragToPage="1" dragToData="1" dragOff="1" showAll="0" topAutoShow="1" includeNewItemsInFilter="1" itemPageCount="10" sortType="manual" defaultSubtotal="1"/>
    <pivotField showDropDowns="1" compact="0" outline="0" subtotalTop="0" dragToRow="1" dragToCol="1" dragToPage="1" dragToData="1" dragOff="1" showAll="0" topAutoShow="1" includeNewItemsInFilter="1" itemPageCount="10" sortType="manual" defaultSubtotal="1"/>
    <pivotField showDropDowns="1" compact="0" outline="0" subtotalTop="0" dragToRow="1" dragToCol="1" dragToPage="1" dragToData="1" dragOff="1" showAll="0" topAutoShow="1" includeNewItemsInFilter="1" itemPageCount="10" sortType="manual" defaultSubtotal="1"/>
    <pivotField showDropDowns="1" compact="0" numFmtId="2" outline="0" subtotalTop="0" dragToRow="1" dragToCol="1" dragToPage="1" dragToData="1" dragOff="1" showAll="0" topAutoShow="1" includeNewItemsInFilter="1" itemPageCount="10" sortType="manual" defaultSubtotal="1"/>
    <pivotField showDropDowns="1" compact="0" outline="0" subtotalTop="0" dragToRow="1" dragToCol="1" dragToPage="1" dragToData="1" dragOff="1" showAll="0" topAutoShow="1" includeNewItemsInFilter="1" itemPageCount="10" sortType="manual" defaultSubtotal="1"/>
    <pivotField dataField="1" showDropDowns="1" compact="0" outline="0" subtotalTop="0" dragToRow="1" dragToCol="1" dragToPage="1" dragToData="1" dragOff="1" showAll="0" topAutoShow="1" includeNewItemsInFilter="1" itemPageCount="10" sortType="manual" defaultSubtotal="1"/>
    <pivotField showDropDowns="1" compact="0" numFmtId="1" outline="0" subtotalTop="0" dragToRow="1" dragToCol="1" dragToPage="1" dragToData="1" dragOff="1" showAll="0" topAutoShow="1" includeNewItemsInFilter="1" itemPageCount="10" sortType="manual" defaultSubtotal="1"/>
    <pivotField showDropDowns="1" compact="0" numFmtId="1" outline="0" subtotalTop="0" dragToRow="1" dragToCol="1" dragToPage="1" dragToData="1" dragOff="1" showAll="0" topAutoShow="1" includeNewItemsInFilter="1" itemPageCount="10" sortType="manual" defaultSubtotal="1"/>
    <pivotField showDropDowns="1" compact="0" numFmtId="1" outline="0" subtotalTop="0" dragToRow="1" dragToCol="1" dragToPage="1" dragToData="1" dragOff="1" showAll="0" topAutoShow="1" includeNewItemsInFilter="1" itemPageCount="10" sortType="manual" defaultSubtotal="1"/>
    <pivotField showDropDowns="1" compact="0" numFmtId="1" outline="0" subtotalTop="0" dragToRow="1" dragToCol="1" dragToPage="1" dragToData="1" dragOff="1" showAll="0" topAutoShow="1" includeNewItemsInFilter="1" itemPageCount="10" sortType="manual" defaultSubtotal="1"/>
    <pivotField showDropDowns="1" compact="0" numFmtId="1" outline="0" subtotalTop="0" dragToRow="1" dragToCol="1" dragToPage="1" dragToData="1" dragOff="1" showAll="0" topAutoShow="1" includeNewItemsInFilter="1" itemPageCount="10" sortType="manual" defaultSubtotal="1"/>
    <pivotField showDropDowns="1" compact="0" numFmtId="1" outline="0" subtotalTop="0" dragToRow="1" dragToCol="1" dragToPage="1" dragToData="1" dragOff="1" showAll="0" topAutoShow="1" includeNewItemsInFilter="1" itemPageCount="10" sortType="manual" defaultSubtotal="1"/>
    <pivotField showDropDowns="1" compact="0" numFmtId="1" outline="0" subtotalTop="0" dragToRow="1" dragToCol="1" dragToPage="1" dragToData="1" dragOff="1" showAll="0" topAutoShow="1" includeNewItemsInFilter="1" itemPageCount="10" sortType="manual" defaultSubtotal="1"/>
    <pivotField showDropDowns="1" compact="0" numFmtId="1" outline="0" subtotalTop="0" dragToRow="1" dragToCol="1" dragToPage="1" dragToData="1" dragOff="1" showAll="0" topAutoShow="1" includeNewItemsInFilter="1" itemPageCount="10" sortType="manual" defaultSubtotal="1"/>
    <pivotField showDropDowns="1" compact="0" numFmtId="1" outline="0" subtotalTop="0" dragToRow="1" dragToCol="1" dragToPage="1" dragToData="1" dragOff="1" showAll="0" topAutoShow="1" includeNewItemsInFilter="1" itemPageCount="10" sortType="manual" defaultSubtotal="1"/>
    <pivotField showDropDowns="1" compact="0" numFmtId="1" outline="0" subtotalTop="0" dragToRow="1" dragToCol="1" dragToPage="1" dragToData="1" dragOff="1" showAll="0" topAutoShow="1" includeNewItemsInFilter="1" itemPageCount="10" sortType="manual" defaultSubtotal="1"/>
    <pivotField showDropDowns="1" compact="0" numFmtId="1" outline="0" subtotalTop="0" dragToRow="1" dragToCol="1" dragToPage="1" dragToData="1" dragOff="1" showAll="0" topAutoShow="1" includeNewItemsInFilter="1" itemPageCount="10" sortType="manual" defaultSubtotal="1"/>
    <pivotField showDropDowns="1" compact="0" numFmtId="1" outline="0" subtotalTop="0" dragToRow="1" dragToCol="1" dragToPage="1" dragToData="1" dragOff="1" showAll="0" topAutoShow="1" includeNewItemsInFilter="1" itemPageCount="10" sortType="manual" defaultSubtotal="1"/>
    <pivotField showDropDowns="1" compact="0" numFmtId="1" outline="0" subtotalTop="0" dragToRow="1" dragToCol="1" dragToPage="1" dragToData="1" dragOff="1" showAll="0" topAutoShow="1" includeNewItemsInFilter="1" itemPageCount="10" sortType="manual" defaultSubtotal="1"/>
    <pivotField showDropDowns="1" compact="0" numFmtId="1" outline="0" subtotalTop="0" dragToRow="1" dragToCol="1" dragToPage="1" dragToData="1" dragOff="1" showAll="0" topAutoShow="1" includeNewItemsInFilter="1" itemPageCount="10" sortType="manual" defaultSubtotal="1"/>
    <pivotField showDropDowns="1" compact="0" numFmtId="1" outline="0" subtotalTop="0" dragToRow="1" dragToCol="1" dragToPage="1" dragToData="1" dragOff="1" showAll="0" topAutoShow="1" includeNewItemsInFilter="1" itemPageCount="10" sortType="manual" defaultSubtotal="1"/>
    <pivotField showDropDowns="1" compact="0" numFmtId="1" outline="0" subtotalTop="0" dragToRow="1" dragToCol="1" dragToPage="1" dragToData="1" dragOff="1" showAll="0" topAutoShow="1" includeNewItemsInFilter="1" itemPageCount="10" sortType="manual" defaultSubtotal="1"/>
    <pivotField showDropDowns="1" compact="0" numFmtId="1" outline="0" subtotalTop="0" dragToRow="1" dragToCol="1" dragToPage="1" dragToData="1" dragOff="1" showAll="0" topAutoShow="1" includeNewItemsInFilter="1" itemPageCount="10" sortType="manual" defaultSubtotal="1"/>
    <pivotField showDropDowns="1" compact="0" numFmtId="1" outline="0" subtotalTop="0" dragToRow="1" dragToCol="1" dragToPage="1" dragToData="1" dragOff="1" showAll="0" topAutoShow="1" includeNewItemsInFilter="1" itemPageCount="10" sortType="manual" defaultSubtotal="1"/>
    <pivotField showDropDowns="1" compact="0" numFmtId="1" outline="0" subtotalTop="0" dragToRow="1" dragToCol="1" dragToPage="1" dragToData="1" dragOff="1" showAll="0" topAutoShow="1" includeNewItemsInFilter="1" itemPageCount="10" sortType="manual" defaultSubtotal="1"/>
    <pivotField showDropDowns="1" compact="0" numFmtId="1" outline="0" subtotalTop="0" dragToRow="1" dragToCol="1" dragToPage="1" dragToData="1" dragOff="1" showAll="0" topAutoShow="1" includeNewItemsInFilter="1" itemPageCount="10" sortType="manual" defaultSubtotal="1"/>
    <pivotField showDropDowns="1" compact="0" outline="0" subtotalTop="0" dragToRow="0" dragToCol="0" dragToPage="0" dragToData="1" dragOff="1" showAll="0" topAutoShow="1" includeNewItemsInFilter="1" itemPageCount="10" sortType="manual" defaultSubtotal="0"/>
  </pivotFields>
  <rowFields count="1">
    <field x="6"/>
  </rowFields>
  <rowItems count="13">
    <i t="data" r="0" i="0">
      <x v="9"/>
    </i>
    <i t="data" r="0" i="0">
      <x v="10"/>
    </i>
    <i t="data" r="0" i="0">
      <x v="11"/>
    </i>
    <i t="data" r="0" i="0">
      <x v="12"/>
    </i>
    <i t="data" r="0" i="0">
      <x v="13"/>
    </i>
    <i t="data" r="0" i="0">
      <x v="14"/>
    </i>
    <i t="data" r="0" i="0">
      <x v="15"/>
    </i>
    <i t="data" r="0" i="0">
      <x v="16"/>
    </i>
    <i t="data" r="0" i="0">
      <x v="17"/>
    </i>
    <i t="data" r="0" i="0">
      <x v="18"/>
    </i>
    <i t="data" r="0" i="0">
      <x v="19"/>
    </i>
    <i t="data" r="0" i="0">
      <x v="29"/>
    </i>
    <i t="grand" r="0" i="0">
      <x v="0"/>
    </i>
  </rowItems>
  <colFields count="1">
    <field x="8"/>
  </colFields>
  <colItems count="4">
    <i t="data" r="0" i="0">
      <x v="0"/>
    </i>
    <i t="data" r="0" i="0">
      <x v="1"/>
    </i>
    <i t="data" r="0" i="0">
      <x v="2"/>
    </i>
    <i t="grand" r="0" i="0">
      <x v="0"/>
    </i>
  </colItems>
  <pageFields count="1">
    <pageField fld="0" item="2" hier="0"/>
  </pageFields>
  <dataFields count="1">
    <dataField name="Sum of Total $Gamma" fld="22" subtotal="sum" showDataAs="normal" baseField="0" baseItem="0"/>
  </dataFields>
  <formats count="4">
    <format action="formatting" dxfId="11">
      <pivotArea type="normal" dataOnly="1" outline="0" fieldPosition="0"/>
    </format>
    <format action="formatting" dxfId="10">
      <pivotArea type="normal" dataOnly="0" labelOnly="1" outline="0" fieldPosition="0">
        <references count="1">
          <reference field="6">
            <x v="9"/>
            <x v="10"/>
            <x v="11"/>
            <x v="12"/>
            <x v="13"/>
            <x v="14"/>
            <x v="15"/>
            <x v="16"/>
            <x v="17"/>
            <x v="18"/>
            <x v="19"/>
            <x v="29"/>
          </reference>
        </references>
      </pivotArea>
    </format>
    <format action="formatting" dxfId="9">
      <pivotArea type="normal" dataOnly="0" labelOnly="1" grandRow="1" outline="0" fieldPosition="0"/>
    </format>
    <format action="formatting" dxfId="8">
      <pivotArea type="normal" dataOnly="1" outline="0" fieldPosition="0"/>
    </format>
  </formats>
  <pivotTableStyleInfo showRowHeaders="1" showColHeaders="1" showRowStripes="0" showColStripes="0" showLastColumn="1"/>
</pivotTableDefinition>
</file>

<file path=xl/pivotTables/pivotTable6.xml><?xml version="1.0" encoding="utf-8"?>
<pivotTableDefinition xmlns:r="http://schemas.openxmlformats.org/officeDocument/2006/relationships" xmlns="http://schemas.openxmlformats.org/spreadsheetml/2006/main" name="PivotTable1" cacheId="2" dataOnRows="1" dataCaption="Data" showError="0" showMissing="1" updatedVersion="2" minRefreshableVersion="0" asteriskTotals="1" showItems="1" editData="0" disableFieldList="0" showCalcMbrs="1" visualTotals="1" showMultipleLabel="1" showDataDropDown="1" showDrill="1" printDrill="0" showMemberPropertyTips="0" showDataTips="1" enableWizard="1" enableDrill="1" enableFieldProperties="1" preserveFormatting="1" useAutoFormatting="1" pageWrap="0" pageOverThenDown="0" subtotalHiddenItems="0" rowGrandTotals="1" colGrandTotals="1" fieldPrintTitles="0" itemPrintTitles="1" mergeItem="0" showDropZones="1" createdVersion="1" indent="0" showEmptyRow="0" showEmptyCol="0" showHeaders="1" compact="0" outline="0" outlineData="0" compactData="0" published="0" gridDropZones="1" immersive="1" multipleFieldFilters="0" chartFormat="0" fieldListSortAscending="0" mdxSubqueries="0" applyNumberFormats="0" applyBorderFormats="0" applyFontFormats="0" applyPatternFormats="0" applyAlignmentFormats="0" applyWidthHeightFormats="1" r:id="rId1">
  <location ref="C6:G20" firstHeaderRow="1" firstDataRow="2" firstDataCol="1" rowPageCount="1" colPageCount="1"/>
  <pivotFields count="44">
    <pivotField axis="axisPage" showDropDowns="1" compact="0" outline="0" subtotalTop="0" dragToRow="1" dragToCol="1" dragToPage="1" dragToData="1" dragOff="1" showAll="0" topAutoShow="1" includeNewItemsInFilter="1" itemPageCount="10" sortType="manual" defaultSubtotal="1">
      <items count="4">
        <item t="data" sd="1" x="2"/>
        <item t="data" sd="1" x="0"/>
        <item t="data" sd="1" x="1"/>
        <item t="default" sd="1"/>
      </items>
    </pivotField>
    <pivotField showDropDowns="1" compact="0" outline="0" subtotalTop="0" dragToRow="1" dragToCol="1" dragToPage="1" dragToData="1" dragOff="1" showAll="0" topAutoShow="1" includeNewItemsInFilter="1" itemPageCount="10" sortType="manual" defaultSubtotal="1"/>
    <pivotField showDropDowns="1" compact="0" outline="0" subtotalTop="0" dragToRow="1" dragToCol="1" dragToPage="1" dragToData="1" dragOff="1" showAll="0" topAutoShow="1" includeNewItemsInFilter="1" itemPageCount="10" sortType="manual" defaultSubtotal="1"/>
    <pivotField showDropDowns="1" compact="0" outline="0" subtotalTop="0" dragToRow="1" dragToCol="1" dragToPage="1" dragToData="1" dragOff="1" showAll="0" topAutoShow="1" includeNewItemsInFilter="1" itemPageCount="10" sortType="manual" defaultSubtotal="1"/>
    <pivotField showDropDowns="1" compact="0" outline="0" subtotalTop="0" dragToRow="1" dragToCol="1" dragToPage="1" dragToData="1" dragOff="1" showAll="0" topAutoShow="1" includeNewItemsInFilter="1" itemPageCount="10" sortType="manual" defaultSubtotal="1"/>
    <pivotField showDropDowns="1" compact="0" outline="0" subtotalTop="0" dragToRow="1" dragToCol="1" dragToPage="1" dragToData="1" dragOff="1" showAll="0" topAutoShow="1" includeNewItemsInFilter="1" itemPageCount="10" sortType="manual" defaultSubtotal="1"/>
    <pivotField axis="axisRow" showDropDowns="1" compact="0" outline="0" subtotalTop="0" dragToRow="1" dragToCol="1" dragToPage="1" dragToData="1" dragOff="1" showAll="0" topAutoShow="1" includeNewItemsInFilter="1" itemPageCount="10" sortType="manual" defaultSubtotal="1">
      <items count="31">
        <item t="data" sd="1" x="6"/>
        <item t="data" sd="1" x="1"/>
        <item t="data" sd="1" x="2"/>
        <item t="data" sd="1" x="4"/>
        <item t="data" sd="1" x="9"/>
        <item t="data" sd="1" x="3"/>
        <item t="data" sd="1" x="5"/>
        <item t="data" sd="1" x="8"/>
        <item t="data" sd="1" x="7"/>
        <item t="data" sd="1" x="14"/>
        <item t="data" sd="1" x="12"/>
        <item t="data" sd="1" x="20"/>
        <item t="data" sd="1" x="11"/>
        <item t="data" sd="1" x="17"/>
        <item t="data" sd="1" x="10"/>
        <item t="data" sd="1" x="13"/>
        <item t="data" sd="1" x="15"/>
        <item t="data" sd="1" x="16"/>
        <item t="data" sd="1" x="18"/>
        <item t="data" sd="1" x="19"/>
        <item t="data" sd="1" x="28"/>
        <item t="data" sd="1" x="24"/>
        <item t="data" sd="1" x="29"/>
        <item t="data" sd="1" x="22"/>
        <item t="data" sd="1" x="27"/>
        <item t="data" sd="1" x="21"/>
        <item t="data" sd="1" x="23"/>
        <item t="data" sd="1" x="25"/>
        <item t="data" sd="1" x="26"/>
        <item t="data" sd="1" x="0"/>
        <item t="default" sd="1"/>
      </items>
    </pivotField>
    <pivotField showDropDowns="1" compact="0" outline="0" subtotalTop="0" dragToRow="1" dragToCol="1" dragToPage="1" dragToData="1" dragOff="1" showAll="0" topAutoShow="1" includeNewItemsInFilter="1" itemPageCount="10" sortType="manual" defaultSubtotal="1"/>
    <pivotField axis="axisCol" showDropDowns="1" compact="0" outline="0" subtotalTop="0" dragToRow="1" dragToCol="1" dragToPage="1" dragToData="1" dragOff="1" showAll="0" topAutoShow="1" includeNewItemsInFilter="1" itemPageCount="10" sortType="manual" defaultSubtotal="1">
      <items count="4">
        <item t="data" sd="1" x="0"/>
        <item t="data" sd="1" x="1"/>
        <item t="data" sd="1" x="2"/>
        <item t="default" sd="1"/>
      </items>
    </pivotField>
    <pivotField showDropDowns="1" compact="0" outline="0" subtotalTop="0" dragToRow="1" dragToCol="1" dragToPage="1" dragToData="1" dragOff="1" showAll="0" topAutoShow="1" includeNewItemsInFilter="1" itemPageCount="10" sortType="manual" defaultSubtotal="1"/>
    <pivotField showDropDowns="1" compact="0" outline="0" subtotalTop="0" dragToRow="1" dragToCol="1" dragToPage="1" dragToData="1" dragOff="1" showAll="0" topAutoShow="1" includeNewItemsInFilter="1" itemPageCount="10" sortType="manual" defaultSubtotal="1"/>
    <pivotField showDropDowns="1" compact="0" numFmtId="2" outline="0" subtotalTop="0" dragToRow="1" dragToCol="1" dragToPage="1" dragToData="1" dragOff="1" showAll="0" topAutoShow="1" includeNewItemsInFilter="1" itemPageCount="10" sortType="manual" defaultSubtotal="1"/>
    <pivotField showDropDowns="1" compact="0" numFmtId="2" outline="0" subtotalTop="0" dragToRow="1" dragToCol="1" dragToPage="1" dragToData="1" dragOff="1" showAll="0" topAutoShow="1" includeNewItemsInFilter="1" itemPageCount="10" sortType="manual" defaultSubtotal="1"/>
    <pivotField showDropDowns="1" compact="0" outline="0" subtotalTop="0" dragToRow="1" dragToCol="1" dragToPage="1" dragToData="1" dragOff="1" showAll="0" topAutoShow="1" includeNewItemsInFilter="1" itemPageCount="10" sortType="manual" defaultSubtotal="1"/>
    <pivotField showDropDowns="1" compact="0" outline="0" subtotalTop="0" dragToRow="1" dragToCol="1" dragToPage="1" dragToData="1" dragOff="1" showAll="0" topAutoShow="1" includeNewItemsInFilter="1" itemPageCount="10" sortType="manual" defaultSubtotal="1"/>
    <pivotField showDropDowns="1" compact="0" numFmtId="1" outline="0" subtotalTop="0" dragToRow="1" dragToCol="1" dragToPage="1" dragToData="1" dragOff="1" showAll="0" topAutoShow="1" includeNewItemsInFilter="1" itemPageCount="10" sortType="manual" defaultSubtotal="1"/>
    <pivotField showDropDowns="1" compact="0" numFmtId="1" outline="0" subtotalTop="0" dragToRow="1" dragToCol="1" dragToPage="1" dragToData="1" dragOff="1" showAll="0" topAutoShow="1" includeNewItemsInFilter="1" itemPageCount="10" sortType="manual" defaultSubtotal="1"/>
    <pivotField showDropDowns="1" compact="0" outline="0" subtotalTop="0" dragToRow="1" dragToCol="1" dragToPage="1" dragToData="1" dragOff="1" showAll="0" topAutoShow="1" includeNewItemsInFilter="1" itemPageCount="10" sortType="manual" defaultSubtotal="1"/>
    <pivotField showDropDowns="1" compact="0" outline="0" subtotalTop="0" dragToRow="1" dragToCol="1" dragToPage="1" dragToData="1" dragOff="1" showAll="0" topAutoShow="1" includeNewItemsInFilter="1" itemPageCount="10" sortType="manual" defaultSubtotal="1"/>
    <pivotField showDropDowns="1" compact="0" outline="0" subtotalTop="0" dragToRow="1" dragToCol="1" dragToPage="1" dragToData="1" dragOff="1" showAll="0" topAutoShow="1" includeNewItemsInFilter="1" itemPageCount="10" sortType="manual" defaultSubtotal="1"/>
    <pivotField showDropDowns="1" compact="0" numFmtId="2" outline="0" subtotalTop="0" dragToRow="1" dragToCol="1" dragToPage="1" dragToData="1" dragOff="1" showAll="0" topAutoShow="1" includeNewItemsInFilter="1" itemPageCount="10" sortType="manual" defaultSubtotal="1"/>
    <pivotField dataField="1" showDropDowns="1" compact="0" outline="0" subtotalTop="0" dragToRow="1" dragToCol="1" dragToPage="1" dragToData="1" dragOff="1" showAll="0" topAutoShow="1" includeNewItemsInFilter="1" itemPageCount="10" sortType="manual" defaultSubtotal="1"/>
    <pivotField showDropDowns="1" compact="0" outline="0" subtotalTop="0" dragToRow="1" dragToCol="1" dragToPage="1" dragToData="1" dragOff="1" showAll="0" topAutoShow="1" includeNewItemsInFilter="1" itemPageCount="10" sortType="manual" defaultSubtotal="1"/>
    <pivotField showDropDowns="1" compact="0" outline="0" subtotalTop="0" dragToRow="1" dragToCol="1" dragToPage="1" dragToData="1" dragOff="1" showAll="0" topAutoShow="1" includeNewItemsInFilter="1" itemPageCount="10" sortType="manual" defaultSubtotal="1"/>
    <pivotField showDropDowns="1" compact="0" numFmtId="1" outline="0" subtotalTop="0" dragToRow="1" dragToCol="1" dragToPage="1" dragToData="1" dragOff="1" showAll="0" topAutoShow="1" includeNewItemsInFilter="1" itemPageCount="10" sortType="manual" defaultSubtotal="1"/>
    <pivotField showDropDowns="1" compact="0" outline="0" subtotalTop="0" dragToRow="1" dragToCol="1" dragToPage="1" dragToData="1" dragOff="1" showAll="0" topAutoShow="1" includeNewItemsInFilter="1" itemPageCount="10" sortType="manual" defaultSubtotal="1"/>
    <pivotField showDropDowns="1" compact="0" outline="0" subtotalTop="0" dragToRow="1" dragToCol="1" dragToPage="1" dragToData="1" dragOff="1" showAll="0" topAutoShow="1" includeNewItemsInFilter="1" itemPageCount="10" sortType="manual" defaultSubtotal="1"/>
    <pivotField showDropDowns="1" compact="0" numFmtId="1" outline="0" subtotalTop="0" dragToRow="1" dragToCol="1" dragToPage="1" dragToData="1" dragOff="1" showAll="0" topAutoShow="1" includeNewItemsInFilter="1" itemPageCount="10" sortType="manual" defaultSubtotal="1"/>
    <pivotField showDropDowns="1" compact="0" numFmtId="1" outline="0" subtotalTop="0" dragToRow="1" dragToCol="1" dragToPage="1" dragToData="1" dragOff="1" showAll="0" topAutoShow="1" includeNewItemsInFilter="1" itemPageCount="10" sortType="manual" defaultSubtotal="1"/>
    <pivotField showDropDowns="1" compact="0" numFmtId="1" outline="0" subtotalTop="0" dragToRow="1" dragToCol="1" dragToPage="1" dragToData="1" dragOff="1" showAll="0" topAutoShow="1" includeNewItemsInFilter="1" itemPageCount="10" sortType="manual" defaultSubtotal="1"/>
    <pivotField showDropDowns="1" compact="0" numFmtId="1" outline="0" subtotalTop="0" dragToRow="1" dragToCol="1" dragToPage="1" dragToData="1" dragOff="1" showAll="0" topAutoShow="1" includeNewItemsInFilter="1" itemPageCount="10" sortType="manual" defaultSubtotal="1"/>
    <pivotField showDropDowns="1" compact="0" numFmtId="1" outline="0" subtotalTop="0" dragToRow="1" dragToCol="1" dragToPage="1" dragToData="1" dragOff="1" showAll="0" topAutoShow="1" includeNewItemsInFilter="1" itemPageCount="10" sortType="manual" defaultSubtotal="1"/>
    <pivotField showDropDowns="1" compact="0" numFmtId="1" outline="0" subtotalTop="0" dragToRow="1" dragToCol="1" dragToPage="1" dragToData="1" dragOff="1" showAll="0" topAutoShow="1" includeNewItemsInFilter="1" itemPageCount="10" sortType="manual" defaultSubtotal="1"/>
    <pivotField showDropDowns="1" compact="0" numFmtId="1" outline="0" subtotalTop="0" dragToRow="1" dragToCol="1" dragToPage="1" dragToData="1" dragOff="1" showAll="0" topAutoShow="1" includeNewItemsInFilter="1" itemPageCount="10" sortType="manual" defaultSubtotal="1"/>
    <pivotField showDropDowns="1" compact="0" numFmtId="1" outline="0" subtotalTop="0" dragToRow="1" dragToCol="1" dragToPage="1" dragToData="1" dragOff="1" showAll="0" topAutoShow="1" includeNewItemsInFilter="1" itemPageCount="10" sortType="manual" defaultSubtotal="1"/>
    <pivotField showDropDowns="1" compact="0" numFmtId="1" outline="0" subtotalTop="0" dragToRow="1" dragToCol="1" dragToPage="1" dragToData="1" dragOff="1" showAll="0" topAutoShow="1" includeNewItemsInFilter="1" itemPageCount="10" sortType="manual" defaultSubtotal="1"/>
    <pivotField showDropDowns="1" compact="0" numFmtId="1" outline="0" subtotalTop="0" dragToRow="1" dragToCol="1" dragToPage="1" dragToData="1" dragOff="1" showAll="0" topAutoShow="1" includeNewItemsInFilter="1" itemPageCount="10" sortType="manual" defaultSubtotal="1"/>
    <pivotField showDropDowns="1" compact="0" numFmtId="1" outline="0" subtotalTop="0" dragToRow="1" dragToCol="1" dragToPage="1" dragToData="1" dragOff="1" showAll="0" topAutoShow="1" includeNewItemsInFilter="1" itemPageCount="10" sortType="manual" defaultSubtotal="1"/>
    <pivotField showDropDowns="1" compact="0" numFmtId="1" outline="0" subtotalTop="0" dragToRow="1" dragToCol="1" dragToPage="1" dragToData="1" dragOff="1" showAll="0" topAutoShow="1" includeNewItemsInFilter="1" itemPageCount="10" sortType="manual" defaultSubtotal="1"/>
    <pivotField showDropDowns="1" compact="0" numFmtId="1" outline="0" subtotalTop="0" dragToRow="1" dragToCol="1" dragToPage="1" dragToData="1" dragOff="1" showAll="0" topAutoShow="1" includeNewItemsInFilter="1" itemPageCount="10" sortType="manual" defaultSubtotal="1"/>
    <pivotField showDropDowns="1" compact="0" numFmtId="1" outline="0" subtotalTop="0" dragToRow="1" dragToCol="1" dragToPage="1" dragToData="1" dragOff="1" showAll="0" topAutoShow="1" includeNewItemsInFilter="1" itemPageCount="10" sortType="manual" defaultSubtotal="1"/>
    <pivotField showDropDowns="1" compact="0" numFmtId="1" outline="0" subtotalTop="0" dragToRow="1" dragToCol="1" dragToPage="1" dragToData="1" dragOff="1" showAll="0" topAutoShow="1" includeNewItemsInFilter="1" itemPageCount="10" sortType="manual" defaultSubtotal="1"/>
    <pivotField showDropDowns="1" compact="0" numFmtId="1" outline="0" subtotalTop="0" dragToRow="1" dragToCol="1" dragToPage="1" dragToData="1" dragOff="1" showAll="0" topAutoShow="1" includeNewItemsInFilter="1" itemPageCount="10" sortType="manual" defaultSubtotal="1"/>
    <pivotField showDropDowns="1" compact="0" outline="0" subtotalTop="0" dragToRow="0" dragToCol="0" dragToPage="0" dragToData="1" dragOff="1" showAll="0" topAutoShow="1" includeNewItemsInFilter="1" itemPageCount="10" sortType="manual" defaultSubtotal="0"/>
  </pivotFields>
  <rowFields count="1">
    <field x="6"/>
  </rowFields>
  <rowItems count="13">
    <i t="data" r="0" i="0">
      <x v="9"/>
    </i>
    <i t="data" r="0" i="0">
      <x v="10"/>
    </i>
    <i t="data" r="0" i="0">
      <x v="11"/>
    </i>
    <i t="data" r="0" i="0">
      <x v="12"/>
    </i>
    <i t="data" r="0" i="0">
      <x v="13"/>
    </i>
    <i t="data" r="0" i="0">
      <x v="14"/>
    </i>
    <i t="data" r="0" i="0">
      <x v="15"/>
    </i>
    <i t="data" r="0" i="0">
      <x v="16"/>
    </i>
    <i t="data" r="0" i="0">
      <x v="17"/>
    </i>
    <i t="data" r="0" i="0">
      <x v="18"/>
    </i>
    <i t="data" r="0" i="0">
      <x v="19"/>
    </i>
    <i t="data" r="0" i="0">
      <x v="29"/>
    </i>
    <i t="grand" r="0" i="0">
      <x v="0"/>
    </i>
  </rowItems>
  <colFields count="1">
    <field x="8"/>
  </colFields>
  <colItems count="4">
    <i t="data" r="0" i="0">
      <x v="0"/>
    </i>
    <i t="data" r="0" i="0">
      <x v="1"/>
    </i>
    <i t="data" r="0" i="0">
      <x v="2"/>
    </i>
    <i t="grand" r="0" i="0">
      <x v="0"/>
    </i>
  </colItems>
  <pageFields count="1">
    <pageField fld="0" item="2" hier="0"/>
  </pageFields>
  <dataFields count="1">
    <dataField name="Sum of Total $Delta" fld="21" subtotal="sum" showDataAs="normal" baseField="0" baseItem="0" numFmtId="38"/>
  </dataFields>
  <formats count="7">
    <format action="formatting" dxfId="7">
      <pivotArea field="6" type="normal" dataOnly="0" grandRow="1" outline="0" axis="axisRow" fieldPosition="0">
        <references count="2">
          <reference field="0" selected="0">
            <x v="1"/>
          </reference>
          <reference field="6">
            <x v="0"/>
            <x v="1"/>
            <x v="2"/>
            <x v="3"/>
            <x v="4"/>
            <x v="5"/>
            <x v="6"/>
            <x v="7"/>
            <x v="8"/>
            <x v="29"/>
          </reference>
        </references>
      </pivotArea>
    </format>
    <format action="formatting" dxfId="6">
      <pivotArea type="normal" dataOnly="0" labelOnly="1" outline="0" fieldPosition="0">
        <references count="1">
          <reference field="6">
            <x v="0"/>
            <x v="1"/>
            <x v="2"/>
            <x v="3"/>
            <x v="4"/>
            <x v="5"/>
            <x v="6"/>
            <x v="7"/>
            <x v="8"/>
            <x v="29"/>
          </reference>
        </references>
      </pivotArea>
    </format>
    <format action="formatting" dxfId="5">
      <pivotArea type="normal" dataOnly="0" labelOnly="1" grandRow="1" outline="0" fieldPosition="0"/>
    </format>
    <format action="formatting" dxfId="4">
      <pivotArea type="normal" dataOnly="1" outline="0" fieldPosition="0"/>
    </format>
    <format action="formatting" dxfId="3">
      <pivotArea type="normal" dataOnly="0" labelOnly="1" outline="0" fieldPosition="0">
        <references count="1">
          <reference field="6">
            <x v="9"/>
            <x v="10"/>
            <x v="11"/>
            <x v="12"/>
            <x v="13"/>
            <x v="14"/>
            <x v="15"/>
            <x v="16"/>
            <x v="17"/>
            <x v="18"/>
            <x v="19"/>
            <x v="29"/>
          </reference>
        </references>
      </pivotArea>
    </format>
    <format action="formatting" dxfId="2">
      <pivotArea type="normal" dataOnly="0" labelOnly="1" grandRow="1" outline="0" fieldPosition="0"/>
    </format>
    <format action="formatting" dxfId="1">
      <pivotArea type="normal" dataOnly="1" outline="0" fieldPosition="0"/>
    </format>
  </formats>
  <pivotTableStyleInfo showRowHeaders="1" showColHeaders="1" showRowStripes="0" showColStripes="0" showLastColumn="1"/>
</pivotTableDefinition>
</file>

<file path=xl/pivotTables/pivotTable7.xml><?xml version="1.0" encoding="utf-8"?>
<pivotTableDefinition xmlns:r="http://schemas.openxmlformats.org/officeDocument/2006/relationships" xmlns="http://schemas.openxmlformats.org/spreadsheetml/2006/main" name="PivotTable3" cacheId="4" dataOnRows="0" dataCaption="Values" showError="0" showMissing="1" updatedVersion="8" minRefreshableVersion="3" asteriskTotals="0" showItems="1" editData="0" disableFieldList="0" showCalcMbrs="1" visualTotals="1" showMultipleLabel="1" showDataDropDown="1" showDrill="1" printDrill="0" showMemberPropertyTips="1" showDataTips="1" enableWizard="1" enableDrill="1" enableFieldProperties="1" preserveFormatting="1" useAutoFormatting="1" pageWrap="0" pageOverThenDown="0" subtotalHiddenItems="0" rowGrandTotals="1" colGrandTotals="1" fieldPrintTitles="0" itemPrintTitles="1" mergeItem="0" showDropZones="1" createdVersion="8" indent="0" showEmptyRow="0" showEmptyCol="0" showHeaders="1" compact="1" outline="1" outlineData="1" compactData="1" published="0" gridDropZones="0" immersive="1" multipleFieldFilters="0" chartFormat="0" fieldListSortAscending="0" mdxSubqueries="0" applyNumberFormats="0" applyBorderFormats="0" applyFontFormats="0" applyPatternFormats="0" applyAlignmentFormats="0" applyWidthHeightFormats="1" r:id="rId1">
  <location ref="A5:M17" firstHeaderRow="1" firstDataRow="3" firstDataCol="1" rowPageCount="1" colPageCount="1"/>
  <pivotFields count="94">
    <pivotField axis="axisPage" showDropDowns="1" compact="1" outline="1" subtotalTop="1" dragToRow="1" dragToCol="1" multipleItemSelectionAllowed="1" dragToPage="1" dragToData="1" dragOff="1" showAll="0" topAutoShow="1" itemPageCount="10" sortType="manual" defaultSubtotal="1">
      <items count="4">
        <item t="data" h="1" sd="1" x="2"/>
        <item t="data" h="1" sd="1" x="0"/>
        <item t="data" sd="1" x="1"/>
        <item t="default" sd="1"/>
      </items>
    </pivotField>
    <pivotField showDropDowns="1" compact="1" outline="1" subtotalTop="1" dragToRow="1" dragToCol="1" dragToPage="1" dragToData="1" dragOff="1" showAll="0" topAutoShow="1" itemPageCount="10" sortType="manual" defaultSubtotal="1"/>
    <pivotField showDropDowns="1" compact="1" numFmtId="165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axis="axisRow" showDropDowns="1" compact="1" outline="1" subtotalTop="1" dragToRow="1" dragToCol="1" dragToPage="1" dragToData="1" dragOff="1" showAll="0" topAutoShow="1" itemPageCount="10" sortType="manual" defaultSubtotal="1">
      <items count="31">
        <item t="data" sd="1" x="6"/>
        <item t="data" sd="1" x="1"/>
        <item t="data" sd="1" x="2"/>
        <item t="data" sd="1" x="4"/>
        <item t="data" sd="1" x="9"/>
        <item t="data" sd="1" x="3"/>
        <item t="data" sd="1" x="5"/>
        <item t="data" sd="1" x="8"/>
        <item t="data" sd="1" x="7"/>
        <item t="data" sd="1" x="14"/>
        <item t="data" sd="1" x="12"/>
        <item t="data" sd="1" x="20"/>
        <item t="data" sd="1" x="11"/>
        <item t="data" sd="1" x="17"/>
        <item t="data" sd="1" x="10"/>
        <item t="data" sd="1" x="13"/>
        <item t="data" sd="1" x="15"/>
        <item t="data" sd="1" x="16"/>
        <item t="data" sd="1" x="18"/>
        <item t="data" sd="1" x="19"/>
        <item t="data" sd="1" x="28"/>
        <item t="data" sd="1" x="24"/>
        <item t="data" sd="1" x="29"/>
        <item t="data" sd="1" x="22"/>
        <item t="data" sd="1" x="27"/>
        <item t="data" sd="1" x="21"/>
        <item t="data" sd="1" x="23"/>
        <item t="data" sd="1" x="25"/>
        <item t="data" sd="1" x="26"/>
        <item t="data" sd="1" x="0"/>
        <item t="default" sd="1"/>
      </items>
    </pivotField>
    <pivotField showDropDowns="1" compact="1" outline="1" subtotalTop="1" dragToRow="1" dragToCol="1" dragToPage="1" dragToData="1" dragOff="1" showAll="0" topAutoShow="1" itemPageCount="10" sortType="manual" defaultSubtotal="1"/>
    <pivotField axis="axisCol" showDropDowns="1" compact="1" numFmtId="164" outline="1" subtotalTop="1" dragToRow="1" dragToCol="1" dragToPage="1" dragToData="1" dragOff="1" showAll="0" topAutoShow="1" itemPageCount="10" sortType="manual" defaultSubtotal="1">
      <items count="4">
        <item t="data" h="1" sd="1" x="0"/>
        <item t="data" sd="1" x="1"/>
        <item t="data" h="1" sd="1" x="2"/>
        <item t="default" sd="1"/>
      </items>
    </pivotField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numFmtId="2" outline="1" subtotalTop="1" dragToRow="1" dragToCol="1" dragToPage="1" dragToData="1" dragOff="1" showAll="0" topAutoShow="1" itemPageCount="10" sortType="manual" defaultSubtotal="1"/>
    <pivotField showDropDowns="1" compact="1" numFmtId="2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numFmtId="1" outline="1" subtotalTop="1" dragToRow="1" dragToCol="1" dragToPage="1" dragToData="1" dragOff="1" showAll="0" topAutoShow="1" itemPageCount="10" sortType="manual" defaultSubtotal="1"/>
    <pivotField showDropDowns="1" compact="1" numFmtId="1" outline="1" subtotalTop="1" dragToRow="1" dragToCol="1" dragToPage="1" dragToData="1" dragOff="1" showAll="0" topAutoShow="1" itemPageCount="10" sortType="manual" defaultSubtotal="1"/>
    <pivotField showDropDowns="1" compact="1" numFmtId="167" outline="1" subtotalTop="1" dragToRow="1" dragToCol="1" dragToPage="1" dragToData="1" dragOff="1" showAll="0" topAutoShow="1" itemPageCount="10" sortType="manual" defaultSubtotal="1"/>
    <pivotField showDropDowns="1" compact="1" numFmtId="167" outline="1" subtotalTop="1" dragToRow="1" dragToCol="1" dragToPage="1" dragToData="1" dragOff="1" showAll="0" topAutoShow="1" itemPageCount="10" sortType="manual" defaultSubtotal="1"/>
    <pivotField showDropDowns="1" compact="1" numFmtId="167" outline="1" subtotalTop="1" dragToRow="1" dragToCol="1" dragToPage="1" dragToData="1" dragOff="1" showAll="0" topAutoShow="1" itemPageCount="10" sortType="manual" defaultSubtotal="1"/>
    <pivotField showDropDowns="1" compact="1" numFmtId="2" outline="1" subtotalTop="1" dragToRow="1" dragToCol="1" dragToPage="1" dragToData="1" dragOff="1" showAll="0" topAutoShow="1" itemPageCount="10" sortType="manual" defaultSubtotal="1"/>
    <pivotField dataField="1" showDropDowns="1" compact="1" numFmtId="168" outline="1" subtotalTop="1" dragToRow="1" dragToCol="1" dragToPage="1" dragToData="1" dragOff="1" showAll="0" topAutoShow="1" itemPageCount="10" sortType="manual" defaultSubtotal="1"/>
    <pivotField dataField="1" showDropDowns="1" compact="1" numFmtId="168" outline="1" subtotalTop="1" dragToRow="1" dragToCol="1" dragToPage="1" dragToData="1" dragOff="1" showAll="0" topAutoShow="1" itemPageCount="10" sortType="manual" defaultSubtotal="1"/>
    <pivotField dataField="1" showDropDowns="1" compact="1" numFmtId="1" outline="1" subtotalTop="1" dragToRow="1" dragToCol="1" dragToPage="1" dragToData="1" dragOff="1" showAll="0" topAutoShow="1" itemPageCount="10" sortType="manual" defaultSubtotal="1"/>
    <pivotField dataField="1" showDropDowns="1" compact="1" numFmtId="1" outline="1" subtotalTop="1" dragToRow="1" dragToCol="1" dragToPage="1" dragToData="1" dragOff="1" showAll="0" topAutoShow="1" itemPageCount="10" sortType="manual" defaultSubtotal="1"/>
    <pivotField dataField="1" showDropDowns="1" compact="1" numFmtId="1" outline="1" subtotalTop="1" dragToRow="1" dragToCol="1" dragToPage="1" dragToData="1" dragOff="1" showAll="0" topAutoShow="1" itemPageCount="10" sortType="manual" defaultSubtotal="1"/>
    <pivotField showDropDowns="1" compact="1" numFmtId="1" outline="1" subtotalTop="1" dragToRow="1" dragToCol="1" dragToPage="1" dragToData="1" dragOff="1" showAll="0" topAutoShow="1" itemPageCount="10" sortType="manual" defaultSubtotal="1"/>
    <pivotField showDropDowns="1" compact="1" numFmtId="1" outline="1" subtotalTop="1" dragToRow="1" dragToCol="1" dragToPage="1" dragToData="1" dragOff="1" showAll="0" topAutoShow="1" itemPageCount="10" sortType="manual" defaultSubtotal="1"/>
    <pivotField showDropDowns="1" compact="1" numFmtId="1" outline="1" subtotalTop="1" dragToRow="1" dragToCol="1" dragToPage="1" dragToData="1" dragOff="1" showAll="0" topAutoShow="1" itemPageCount="10" sortType="manual" defaultSubtotal="1"/>
    <pivotField showDropDowns="1" compact="1" numFmtId="1" outline="1" subtotalTop="1" dragToRow="1" dragToCol="1" dragToPage="1" dragToData="1" dragOff="1" showAll="0" topAutoShow="1" itemPageCount="10" sortType="manual" defaultSubtotal="1"/>
    <pivotField showDropDowns="1" compact="1" numFmtId="1" outline="1" subtotalTop="1" dragToRow="1" dragToCol="1" dragToPage="1" dragToData="1" dragOff="1" showAll="0" topAutoShow="1" itemPageCount="10" sortType="manual" defaultSubtotal="1"/>
    <pivotField showDropDowns="1" compact="1" numFmtId="1" outline="1" subtotalTop="1" dragToRow="1" dragToCol="1" dragToPage="1" dragToData="1" dragOff="1" showAll="0" topAutoShow="1" itemPageCount="10" sortType="manual" defaultSubtotal="1"/>
    <pivotField showDropDowns="1" compact="1" numFmtId="1" outline="1" subtotalTop="1" dragToRow="1" dragToCol="1" dragToPage="1" dragToData="1" dragOff="1" showAll="0" topAutoShow="1" itemPageCount="10" sortType="manual" defaultSubtotal="1"/>
    <pivotField showDropDowns="1" compact="1" numFmtId="1" outline="1" subtotalTop="1" dragToRow="1" dragToCol="1" dragToPage="1" dragToData="1" dragOff="1" showAll="0" topAutoShow="1" itemPageCount="10" sortType="manual" defaultSubtotal="1"/>
    <pivotField showDropDowns="1" compact="1" numFmtId="1" outline="1" subtotalTop="1" dragToRow="1" dragToCol="1" dragToPage="1" dragToData="1" dragOff="1" showAll="0" topAutoShow="1" itemPageCount="10" sortType="manual" defaultSubtotal="1"/>
    <pivotField showDropDowns="1" compact="1" numFmtId="1" outline="1" subtotalTop="1" dragToRow="1" dragToCol="1" dragToPage="1" dragToData="1" dragOff="1" showAll="0" topAutoShow="1" itemPageCount="10" sortType="manual" defaultSubtotal="1"/>
    <pivotField showDropDowns="1" compact="1" numFmtId="1" outline="1" subtotalTop="1" dragToRow="1" dragToCol="1" dragToPage="1" dragToData="1" dragOff="1" showAll="0" topAutoShow="1" itemPageCount="10" sortType="manual" defaultSubtotal="1"/>
    <pivotField showDropDowns="1" compact="1" numFmtId="1" outline="1" subtotalTop="1" dragToRow="1" dragToCol="1" dragToPage="1" dragToData="1" dragOff="1" showAll="0" topAutoShow="1" itemPageCount="10" sortType="manual" defaultSubtotal="1"/>
    <pivotField showDropDowns="1" compact="1" numFmtId="1" outline="1" subtotalTop="1" dragToRow="1" dragToCol="1" dragToPage="1" dragToData="1" dragOff="1" showAll="0" topAutoShow="1" itemPageCount="10" sortType="manual" defaultSubtotal="1"/>
    <pivotField showDropDowns="1" compact="1" numFmtId="1" outline="1" subtotalTop="1" dragToRow="1" dragToCol="1" dragToPage="1" dragToData="1" dragOff="1" showAll="0" topAutoShow="1" itemPageCount="10" sortType="manual" defaultSubtotal="1"/>
    <pivotField showDropDowns="1" compact="1" numFmtId="1" outline="1" subtotalTop="1" dragToRow="1" dragToCol="1" dragToPage="1" dragToData="1" dragOff="1" showAll="0" topAutoShow="1" itemPageCount="10" sortType="manual" defaultSubtotal="1"/>
    <pivotField showDropDowns="1" compact="1" numFmtId="1" outline="1" subtotalTop="1" dragToRow="1" dragToCol="1" dragToPage="1" dragToData="1" dragOff="1" showAll="0" topAutoShow="1" itemPageCount="10" sortType="manual" defaultSubtotal="1"/>
    <pivotField showDropDowns="1" compact="1" numFmtId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dataField="1"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>
      <items count="369">
        <item t="data" sd="0" x="0"/>
        <item t="data" sd="0" x="1"/>
        <item t="data" sd="0" x="2"/>
        <item t="data" sd="0" x="3"/>
        <item t="data" sd="0" x="4"/>
        <item t="data" sd="0" x="5"/>
        <item t="data" sd="0" x="6"/>
        <item t="data" sd="0" x="7"/>
        <item t="data" sd="0" x="8"/>
        <item t="data" sd="0" x="9"/>
        <item t="data" sd="0" x="10"/>
        <item t="data" sd="0" x="11"/>
        <item t="data" sd="0" x="12"/>
        <item t="data" sd="0" x="13"/>
        <item t="data" sd="0" x="14"/>
        <item t="data" sd="0" x="15"/>
        <item t="data" sd="0" x="16"/>
        <item t="data" sd="0" x="17"/>
        <item t="data" sd="0" x="18"/>
        <item t="data" sd="0" x="19"/>
        <item t="data" sd="0" x="20"/>
        <item t="data" sd="0" x="21"/>
        <item t="data" sd="0" x="22"/>
        <item t="data" sd="0" x="23"/>
        <item t="data" sd="0" x="24"/>
        <item t="data" sd="0" x="25"/>
        <item t="data" sd="0" x="26"/>
        <item t="data" sd="0" x="27"/>
        <item t="data" sd="0" x="28"/>
        <item t="data" sd="0" x="29"/>
        <item t="data" sd="0" x="30"/>
        <item t="data" sd="0" x="31"/>
        <item t="data" sd="0" x="32"/>
        <item t="data" sd="0" x="33"/>
        <item t="data" sd="0" x="34"/>
        <item t="data" sd="0" x="35"/>
        <item t="data" sd="0" x="36"/>
        <item t="data" sd="0" x="37"/>
        <item t="data" sd="0" x="38"/>
        <item t="data" sd="0" x="39"/>
        <item t="data" sd="0" x="40"/>
        <item t="data" sd="0" x="41"/>
        <item t="data" sd="0" x="42"/>
        <item t="data" sd="0" x="43"/>
        <item t="data" sd="0" x="44"/>
        <item t="data" sd="0" x="45"/>
        <item t="data" sd="0" x="46"/>
        <item t="data" sd="0" x="47"/>
        <item t="data" sd="0" x="48"/>
        <item t="data" sd="0" x="49"/>
        <item t="data" sd="0" x="50"/>
        <item t="data" sd="0" x="51"/>
        <item t="data" sd="0" x="52"/>
        <item t="data" sd="0" x="53"/>
        <item t="data" sd="0" x="54"/>
        <item t="data" sd="0" x="55"/>
        <item t="data" sd="0" x="56"/>
        <item t="data" sd="0" x="57"/>
        <item t="data" sd="0" x="58"/>
        <item t="data" sd="0" x="59"/>
        <item t="data" sd="0" x="60"/>
        <item t="data" sd="0" x="61"/>
        <item t="data" sd="0" x="62"/>
        <item t="data" sd="0" x="63"/>
        <item t="data" sd="0" x="64"/>
        <item t="data" sd="0" x="65"/>
        <item t="data" sd="0" x="66"/>
        <item t="data" sd="0" x="67"/>
        <item t="data" sd="0" x="68"/>
        <item t="data" sd="0" x="69"/>
        <item t="data" sd="0" x="70"/>
        <item t="data" sd="0" x="71"/>
        <item t="data" sd="0" x="72"/>
        <item t="data" sd="0" x="73"/>
        <item t="data" sd="0" x="74"/>
        <item t="data" sd="0" x="75"/>
        <item t="data" sd="0" x="76"/>
        <item t="data" sd="0" x="77"/>
        <item t="data" sd="0" x="78"/>
        <item t="data" sd="0" x="79"/>
        <item t="data" sd="0" x="80"/>
        <item t="data" sd="0" x="81"/>
        <item t="data" sd="0" x="82"/>
        <item t="data" sd="0" x="83"/>
        <item t="data" sd="0" x="84"/>
        <item t="data" sd="0" x="85"/>
        <item t="data" sd="0" x="86"/>
        <item t="data" sd="0" x="87"/>
        <item t="data" sd="0" x="88"/>
        <item t="data" sd="0" x="89"/>
        <item t="data" sd="0" x="90"/>
        <item t="data" sd="0" x="91"/>
        <item t="data" sd="0" x="92"/>
        <item t="data" sd="0" x="93"/>
        <item t="data" sd="0" x="94"/>
        <item t="data" sd="0" x="95"/>
        <item t="data" sd="0" x="96"/>
        <item t="data" sd="0" x="97"/>
        <item t="data" sd="0" x="98"/>
        <item t="data" sd="0" x="99"/>
        <item t="data" sd="0" x="100"/>
        <item t="data" sd="0" x="101"/>
        <item t="data" sd="0" x="102"/>
        <item t="data" sd="0" x="103"/>
        <item t="data" sd="0" x="104"/>
        <item t="data" sd="0" x="105"/>
        <item t="data" sd="0" x="106"/>
        <item t="data" sd="0" x="107"/>
        <item t="data" sd="0" x="108"/>
        <item t="data" sd="0" x="109"/>
        <item t="data" sd="0" x="110"/>
        <item t="data" sd="0" x="111"/>
        <item t="data" sd="0" x="112"/>
        <item t="data" sd="0" x="113"/>
        <item t="data" sd="0" x="114"/>
        <item t="data" sd="0" x="115"/>
        <item t="data" sd="0" x="116"/>
        <item t="data" sd="0" x="117"/>
        <item t="data" sd="0" x="118"/>
        <item t="data" sd="0" x="119"/>
        <item t="data" sd="0" x="120"/>
        <item t="data" sd="0" x="121"/>
        <item t="data" sd="0" x="122"/>
        <item t="data" sd="0" x="123"/>
        <item t="data" sd="0" x="124"/>
        <item t="data" sd="0" x="125"/>
        <item t="data" sd="0" x="126"/>
        <item t="data" sd="0" x="127"/>
        <item t="data" sd="0" x="128"/>
        <item t="data" sd="0" x="129"/>
        <item t="data" sd="0" x="130"/>
        <item t="data" sd="0" x="131"/>
        <item t="data" sd="0" x="132"/>
        <item t="data" sd="0" x="133"/>
        <item t="data" sd="0" x="134"/>
        <item t="data" sd="0" x="135"/>
        <item t="data" sd="0" x="136"/>
        <item t="data" sd="0" x="137"/>
        <item t="data" sd="0" x="138"/>
        <item t="data" sd="0" x="139"/>
        <item t="data" sd="0" x="140"/>
        <item t="data" sd="0" x="141"/>
        <item t="data" sd="0" x="142"/>
        <item t="data" sd="0" x="143"/>
        <item t="data" sd="0" x="144"/>
        <item t="data" sd="0" x="145"/>
        <item t="data" sd="0" x="146"/>
        <item t="data" sd="0" x="147"/>
        <item t="data" sd="0" x="148"/>
        <item t="data" sd="0" x="149"/>
        <item t="data" sd="0" x="150"/>
        <item t="data" sd="0" x="151"/>
        <item t="data" sd="0" x="152"/>
        <item t="data" sd="0" x="153"/>
        <item t="data" sd="0" x="154"/>
        <item t="data" sd="0" x="155"/>
        <item t="data" sd="0" x="156"/>
        <item t="data" sd="0" x="157"/>
        <item t="data" sd="0" x="158"/>
        <item t="data" sd="0" x="159"/>
        <item t="data" sd="0" x="160"/>
        <item t="data" sd="0" x="161"/>
        <item t="data" sd="0" x="162"/>
        <item t="data" sd="0" x="163"/>
        <item t="data" sd="0" x="164"/>
        <item t="data" sd="0" x="165"/>
        <item t="data" sd="0" x="166"/>
        <item t="data" sd="0" x="167"/>
        <item t="data" sd="0" x="168"/>
        <item t="data" sd="0" x="169"/>
        <item t="data" sd="0" x="170"/>
        <item t="data" sd="0" x="171"/>
        <item t="data" sd="0" x="172"/>
        <item t="data" sd="0" x="173"/>
        <item t="data" sd="0" x="174"/>
        <item t="data" sd="0" x="175"/>
        <item t="data" sd="0" x="176"/>
        <item t="data" sd="0" x="177"/>
        <item t="data" sd="0" x="178"/>
        <item t="data" sd="0" x="179"/>
        <item t="data" sd="0" x="180"/>
        <item t="data" sd="0" x="181"/>
        <item t="data" sd="0" x="182"/>
        <item t="data" sd="0" x="183"/>
        <item t="data" sd="0" x="184"/>
        <item t="data" sd="0" x="185"/>
        <item t="data" sd="0" x="186"/>
        <item t="data" sd="0" x="187"/>
        <item t="data" sd="0" x="188"/>
        <item t="data" sd="0" x="189"/>
        <item t="data" sd="0" x="190"/>
        <item t="data" sd="0" x="191"/>
        <item t="data" sd="0" x="192"/>
        <item t="data" sd="0" x="193"/>
        <item t="data" sd="0" x="194"/>
        <item t="data" sd="0" x="195"/>
        <item t="data" sd="0" x="196"/>
        <item t="data" sd="0" x="197"/>
        <item t="data" sd="0" x="198"/>
        <item t="data" sd="0" x="199"/>
        <item t="data" sd="0" x="200"/>
        <item t="data" sd="0" x="201"/>
        <item t="data" sd="0" x="202"/>
        <item t="data" sd="0" x="203"/>
        <item t="data" sd="0" x="204"/>
        <item t="data" sd="0" x="205"/>
        <item t="data" sd="0" x="206"/>
        <item t="data" sd="0" x="207"/>
        <item t="data" sd="0" x="208"/>
        <item t="data" sd="0" x="209"/>
        <item t="data" sd="0" x="210"/>
        <item t="data" sd="0" x="211"/>
        <item t="data" sd="0" x="212"/>
        <item t="data" sd="0" x="213"/>
        <item t="data" sd="0" x="214"/>
        <item t="data" sd="0" x="215"/>
        <item t="data" sd="0" x="216"/>
        <item t="data" sd="0" x="217"/>
        <item t="data" sd="0" x="218"/>
        <item t="data" sd="0" x="219"/>
        <item t="data" sd="0" x="220"/>
        <item t="data" sd="0" x="221"/>
        <item t="data" sd="0" x="222"/>
        <item t="data" sd="0" x="223"/>
        <item t="data" sd="0" x="224"/>
        <item t="data" sd="0" x="225"/>
        <item t="data" sd="0" x="226"/>
        <item t="data" sd="0" x="227"/>
        <item t="data" sd="0" x="228"/>
        <item t="data" sd="0" x="229"/>
        <item t="data" sd="0" x="230"/>
        <item t="data" sd="0" x="231"/>
        <item t="data" sd="0" x="232"/>
        <item t="data" sd="0" x="233"/>
        <item t="data" sd="0" x="234"/>
        <item t="data" sd="0" x="235"/>
        <item t="data" sd="0" x="236"/>
        <item t="data" sd="0" x="237"/>
        <item t="data" sd="0" x="238"/>
        <item t="data" sd="0" x="239"/>
        <item t="data" sd="0" x="240"/>
        <item t="data" sd="0" x="241"/>
        <item t="data" sd="0" x="242"/>
        <item t="data" sd="0" x="243"/>
        <item t="data" sd="0" x="244"/>
        <item t="data" sd="0" x="245"/>
        <item t="data" sd="0" x="246"/>
        <item t="data" sd="0" x="247"/>
        <item t="data" sd="0" x="248"/>
        <item t="data" sd="0" x="249"/>
        <item t="data" sd="0" x="250"/>
        <item t="data" sd="0" x="251"/>
        <item t="data" sd="0" x="252"/>
        <item t="data" sd="0" x="253"/>
        <item t="data" sd="0" x="254"/>
        <item t="data" sd="0" x="255"/>
        <item t="data" sd="0" x="256"/>
        <item t="data" sd="0" x="257"/>
        <item t="data" sd="0" x="258"/>
        <item t="data" sd="0" x="259"/>
        <item t="data" sd="0" x="260"/>
        <item t="data" sd="0" x="261"/>
        <item t="data" sd="0" x="262"/>
        <item t="data" sd="0" x="263"/>
        <item t="data" sd="0" x="264"/>
        <item t="data" sd="0" x="265"/>
        <item t="data" sd="0" x="266"/>
        <item t="data" sd="0" x="267"/>
        <item t="data" sd="0" x="268"/>
        <item t="data" sd="0" x="269"/>
        <item t="data" sd="0" x="270"/>
        <item t="data" sd="0" x="271"/>
        <item t="data" sd="0" x="272"/>
        <item t="data" sd="0" x="273"/>
        <item t="data" sd="0" x="274"/>
        <item t="data" sd="0" x="275"/>
        <item t="data" sd="0" x="276"/>
        <item t="data" sd="0" x="277"/>
        <item t="data" sd="0" x="278"/>
        <item t="data" sd="0" x="279"/>
        <item t="data" sd="0" x="280"/>
        <item t="data" sd="0" x="281"/>
        <item t="data" sd="0" x="282"/>
        <item t="data" sd="0" x="283"/>
        <item t="data" sd="0" x="284"/>
        <item t="data" sd="0" x="285"/>
        <item t="data" sd="0" x="286"/>
        <item t="data" sd="0" x="287"/>
        <item t="data" sd="0" x="288"/>
        <item t="data" sd="0" x="289"/>
        <item t="data" sd="0" x="290"/>
        <item t="data" sd="0" x="291"/>
        <item t="data" sd="0" x="292"/>
        <item t="data" sd="0" x="293"/>
        <item t="data" sd="0" x="294"/>
        <item t="data" sd="0" x="295"/>
        <item t="data" sd="0" x="296"/>
        <item t="data" sd="0" x="297"/>
        <item t="data" sd="0" x="298"/>
        <item t="data" sd="0" x="299"/>
        <item t="data" sd="0" x="300"/>
        <item t="data" sd="0" x="301"/>
        <item t="data" sd="0" x="302"/>
        <item t="data" sd="0" x="303"/>
        <item t="data" sd="0" x="304"/>
        <item t="data" sd="0" x="305"/>
        <item t="data" sd="0" x="306"/>
        <item t="data" sd="0" x="307"/>
        <item t="data" sd="0" x="308"/>
        <item t="data" sd="0" x="309"/>
        <item t="data" sd="0" x="310"/>
        <item t="data" sd="0" x="311"/>
        <item t="data" sd="0" x="312"/>
        <item t="data" sd="0" x="313"/>
        <item t="data" sd="0" x="314"/>
        <item t="data" sd="0" x="315"/>
        <item t="data" sd="0" x="316"/>
        <item t="data" sd="0" x="317"/>
        <item t="data" sd="0" x="318"/>
        <item t="data" sd="0" x="319"/>
        <item t="data" sd="0" x="320"/>
        <item t="data" sd="0" x="321"/>
        <item t="data" sd="0" x="322"/>
        <item t="data" sd="0" x="323"/>
        <item t="data" sd="0" x="324"/>
        <item t="data" sd="0" x="325"/>
        <item t="data" sd="0" x="326"/>
        <item t="data" sd="0" x="327"/>
        <item t="data" sd="0" x="328"/>
        <item t="data" sd="0" x="329"/>
        <item t="data" sd="0" x="330"/>
        <item t="data" sd="0" x="331"/>
        <item t="data" sd="0" x="332"/>
        <item t="data" sd="0" x="333"/>
        <item t="data" sd="0" x="334"/>
        <item t="data" sd="0" x="335"/>
        <item t="data" sd="0" x="336"/>
        <item t="data" sd="0" x="337"/>
        <item t="data" sd="0" x="338"/>
        <item t="data" sd="0" x="339"/>
        <item t="data" sd="0" x="340"/>
        <item t="data" sd="0" x="341"/>
        <item t="data" sd="0" x="342"/>
        <item t="data" sd="0" x="343"/>
        <item t="data" sd="0" x="344"/>
        <item t="data" sd="0" x="345"/>
        <item t="data" sd="0" x="346"/>
        <item t="data" sd="0" x="347"/>
        <item t="data" sd="0" x="348"/>
        <item t="data" sd="0" x="349"/>
        <item t="data" sd="0" x="350"/>
        <item t="data" sd="0" x="351"/>
        <item t="data" sd="0" x="352"/>
        <item t="data" sd="0" x="353"/>
        <item t="data" sd="0" x="354"/>
        <item t="data" sd="0" x="355"/>
        <item t="data" sd="0" x="356"/>
        <item t="data" sd="0" x="357"/>
        <item t="data" sd="0" x="358"/>
        <item t="data" sd="0" x="359"/>
        <item t="data" sd="0" x="360"/>
        <item t="data" sd="0" x="361"/>
        <item t="data" sd="0" x="362"/>
        <item t="data" sd="0" x="363"/>
        <item t="data" sd="0" x="364"/>
        <item t="data" sd="0" x="365"/>
        <item t="data" sd="0" x="366"/>
        <item t="data" sd="0" x="367"/>
        <item t="default" sd="1"/>
      </items>
    </pivotField>
    <pivotField showDropDowns="1" compact="1" outline="1" subtotalTop="1" dragToRow="1" dragToCol="1" dragToPage="1" dragToData="1" dragOff="1" showAll="0" topAutoShow="1" itemPageCount="10" sortType="manual" defaultSubtotal="1">
      <items count="15">
        <item t="data" sd="0" x="0"/>
        <item t="data" sd="0" x="1"/>
        <item t="data" sd="0" x="2"/>
        <item t="data" sd="0" x="3"/>
        <item t="data" sd="0" x="4"/>
        <item t="data" sd="0" x="5"/>
        <item t="data" sd="0" x="6"/>
        <item t="data" sd="0" x="7"/>
        <item t="data" sd="0" x="8"/>
        <item t="data" sd="0" x="9"/>
        <item t="data" sd="0" x="10"/>
        <item t="data" sd="0" x="11"/>
        <item t="data" sd="0" x="12"/>
        <item t="data" sd="0" x="13"/>
        <item t="default" sd="1"/>
      </items>
    </pivotField>
  </pivotFields>
  <rowFields count="1">
    <field x="6"/>
  </rowFields>
  <rowItems count="10">
    <i t="data" r="0" i="0">
      <x v="9"/>
    </i>
    <i t="data" r="0" i="0">
      <x v="11"/>
    </i>
    <i t="data" r="0" i="0">
      <x v="12"/>
    </i>
    <i t="data" r="0" i="0">
      <x v="13"/>
    </i>
    <i t="data" r="0" i="0">
      <x v="15"/>
    </i>
    <i t="data" r="0" i="0">
      <x v="16"/>
    </i>
    <i t="data" r="0" i="0">
      <x v="17"/>
    </i>
    <i t="data" r="0" i="0">
      <x v="18"/>
    </i>
    <i t="data" r="0" i="0">
      <x v="19"/>
    </i>
    <i t="grand" r="0" i="0">
      <x v="0"/>
    </i>
  </rowItems>
  <colFields count="2">
    <field x="8"/>
    <field x="-2"/>
  </colFields>
  <colItems count="12">
    <i t="data" r="0" i="0">
      <x v="1"/>
      <x v="0"/>
    </i>
    <i t="data" r="1" i="1">
      <x v="1"/>
    </i>
    <i t="data" r="1" i="2">
      <x v="2"/>
    </i>
    <i t="data" r="1" i="3">
      <x v="3"/>
    </i>
    <i t="data" r="1" i="4">
      <x v="4"/>
    </i>
    <i t="data" r="1" i="5">
      <x v="5"/>
    </i>
    <i t="grand" r="0" i="0">
      <x v="0"/>
    </i>
    <i t="grand" r="0" i="1">
      <x v="0"/>
    </i>
    <i t="grand" r="0" i="2">
      <x v="0"/>
    </i>
    <i t="grand" r="0" i="3">
      <x v="0"/>
    </i>
    <i t="grand" r="0" i="4">
      <x v="0"/>
    </i>
    <i t="grand" r="0" i="5">
      <x v="0"/>
    </i>
  </colItems>
  <pageFields count="1">
    <pageField fld="0" hier="-1"/>
  </pageFields>
  <dataFields count="6">
    <dataField name="Sum of Total $Delta" fld="21" subtotal="sum" showDataAs="normal" baseField="0" baseItem="0"/>
    <dataField name="Sum of Total $Gamma" fld="22" subtotal="sum" showDataAs="normal" baseField="0" baseItem="0"/>
    <dataField name="Sum of Total Vega 1%" fld="23" subtotal="sum" showDataAs="normal" baseField="0" baseItem="0"/>
    <dataField name="Sum of Total Volga" fld="24" subtotal="sum" showDataAs="normal" baseField="0" baseItem="0"/>
    <dataField name="Sum of Total Vanna" fld="25" subtotal="sum" showDataAs="normal" baseField="0" baseItem="0"/>
    <dataField name="Sum of Und -10%, ImpVol 10%" fld="55" subtotal="sum" showDataAs="normal" baseField="0" baseItem="0"/>
  </dataFields>
  <formats count="1">
    <format action="formatting" dxfId="0">
      <pivotArea type="normal" dataOnly="1" outline="0" collapsedLevelsAreSubtotals="1" fieldPosition="0"/>
    </format>
  </formats>
  <pivotTableStyleInfo name="PivotStyleLight16" showRowHeaders="1" showColHeaders="1" showRowStripes="0" showColStripes="0" showLastColumn="1"/>
</pivotTableDefinition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Relationships xmlns="http://schemas.openxmlformats.org/package/2006/relationships"><Relationship Type="http://schemas.openxmlformats.org/officeDocument/2006/relationships/pivotTable" Target="/xl/pivotTables/pivotTable1.xml" Id="rId1" /><Relationship Type="http://schemas.openxmlformats.org/officeDocument/2006/relationships/pivotTable" Target="/xl/pivotTables/pivotTable2.xml" Id="rId2" /><Relationship Type="http://schemas.openxmlformats.org/officeDocument/2006/relationships/pivotTable" Target="/xl/pivotTables/pivotTable3.xml" Id="rId3" /></Relationships>
</file>

<file path=xl/worksheets/_rels/sheet2.xml.rels><Relationships xmlns="http://schemas.openxmlformats.org/package/2006/relationships"><Relationship Type="http://schemas.openxmlformats.org/officeDocument/2006/relationships/pivotTable" Target="/xl/pivotTables/pivotTable4.xml" Id="rId1" /><Relationship Type="http://schemas.openxmlformats.org/officeDocument/2006/relationships/pivotTable" Target="/xl/pivotTables/pivotTable5.xml" Id="rId2" /><Relationship Type="http://schemas.openxmlformats.org/officeDocument/2006/relationships/pivotTable" Target="/xl/pivotTables/pivotTable6.xml" Id="rId3" /></Relationships>
</file>

<file path=xl/worksheets/_rels/sheet3.xml.rels><Relationships xmlns="http://schemas.openxmlformats.org/package/2006/relationships"><Relationship Type="http://schemas.openxmlformats.org/officeDocument/2006/relationships/pivotTable" Target="/xl/pivotTables/pivotTable7.xml" Id="rId1" /></Relationships>
</file>

<file path=xl/worksheets/sheet1.xml><?xml version="1.0" encoding="utf-8"?>
<worksheet xmlns="http://schemas.openxmlformats.org/spreadsheetml/2006/main">
  <sheetPr codeName="Sheet4">
    <outlinePr summaryBelow="1" summaryRight="1"/>
    <pageSetUpPr/>
  </sheetPr>
  <dimension ref="C4:N44"/>
  <sheetViews>
    <sheetView showGridLines="0" workbookViewId="0">
      <selection activeCell="J34" sqref="J34"/>
    </sheetView>
  </sheetViews>
  <sheetFormatPr baseColWidth="8" defaultRowHeight="12.75"/>
  <cols>
    <col width="19.3984375" customWidth="1" min="3" max="3"/>
    <col width="12.86328125" customWidth="1" min="4" max="6"/>
    <col width="10.59765625" customWidth="1" min="7" max="7"/>
    <col width="10.59765625" bestFit="1" customWidth="1" min="8" max="8"/>
    <col width="16.86328125" customWidth="1" min="10" max="10"/>
    <col width="12.86328125" customWidth="1" min="11" max="13"/>
    <col width="10.59765625" customWidth="1" min="14" max="14"/>
  </cols>
  <sheetData>
    <row r="4">
      <c r="C4" s="72" t="inlineStr">
        <is>
          <t>Underlying</t>
        </is>
      </c>
      <c r="D4" s="73" t="inlineStr">
        <is>
          <t>SX5E Index</t>
        </is>
      </c>
      <c r="J4" s="72" t="inlineStr">
        <is>
          <t>Underlying</t>
        </is>
      </c>
      <c r="K4" s="73" t="inlineStr">
        <is>
          <t>SX5E Index</t>
        </is>
      </c>
    </row>
    <row r="6">
      <c r="C6" s="66" t="inlineStr">
        <is>
          <t>Sum of Total Vega 1%</t>
        </is>
      </c>
      <c r="D6" s="66" t="inlineStr">
        <is>
          <t>Maturity</t>
        </is>
      </c>
      <c r="E6" s="67" t="n"/>
      <c r="F6" s="67" t="n"/>
      <c r="G6" s="68" t="n"/>
      <c r="J6" s="66" t="inlineStr">
        <is>
          <t>Sum of Total Volga</t>
        </is>
      </c>
      <c r="K6" s="66" t="inlineStr">
        <is>
          <t>Maturity</t>
        </is>
      </c>
      <c r="L6" s="67" t="n"/>
      <c r="M6" s="67" t="n"/>
      <c r="N6" s="68" t="n"/>
    </row>
    <row r="7">
      <c r="C7" s="66" t="inlineStr">
        <is>
          <t>Strike</t>
        </is>
      </c>
      <c r="D7" s="94" t="n">
        <v>40256</v>
      </c>
      <c r="E7" s="95" t="n">
        <v>40347</v>
      </c>
      <c r="F7" s="95" t="n">
        <v>40438</v>
      </c>
      <c r="G7" s="71" t="inlineStr">
        <is>
          <t>Grand Total</t>
        </is>
      </c>
      <c r="J7" s="66" t="inlineStr">
        <is>
          <t>Strike</t>
        </is>
      </c>
      <c r="K7" s="94" t="n">
        <v>40256</v>
      </c>
      <c r="L7" s="95" t="n">
        <v>40347</v>
      </c>
      <c r="M7" s="95" t="n">
        <v>40438</v>
      </c>
      <c r="N7" s="71" t="inlineStr">
        <is>
          <t>Grand Total</t>
        </is>
      </c>
    </row>
    <row r="8">
      <c r="C8" s="74" t="n">
        <v>2469</v>
      </c>
      <c r="D8" s="80" t="n">
        <v>269.7294621528995</v>
      </c>
      <c r="E8" s="81" t="n">
        <v>60.774619256677</v>
      </c>
      <c r="F8" s="81" t="n"/>
      <c r="G8" s="82" t="n">
        <v>330.5040814095765</v>
      </c>
      <c r="J8" s="74" t="n">
        <v>2469</v>
      </c>
      <c r="K8" s="80" t="n">
        <v>24060.65423450631</v>
      </c>
      <c r="L8" s="81" t="n">
        <v>2914.218402916932</v>
      </c>
      <c r="M8" s="81" t="n"/>
      <c r="N8" s="82" t="n">
        <v>26974.87263742325</v>
      </c>
    </row>
    <row r="9">
      <c r="C9" s="75" t="n">
        <v>2556</v>
      </c>
      <c r="D9" s="83" t="n">
        <v>-137.8394519849662</v>
      </c>
      <c r="E9" s="84" t="n"/>
      <c r="F9" s="84" t="n">
        <v>40.77624516884673</v>
      </c>
      <c r="G9" s="85" t="n">
        <v>-97.06320681611943</v>
      </c>
      <c r="J9" s="75" t="n">
        <v>2556</v>
      </c>
      <c r="K9" s="83" t="n">
        <v>-9149.546620539091</v>
      </c>
      <c r="L9" s="84" t="n"/>
      <c r="M9" s="84" t="n">
        <v>1025.753368427644</v>
      </c>
      <c r="N9" s="85" t="n">
        <v>-8123.793252111447</v>
      </c>
    </row>
    <row r="10">
      <c r="C10" s="75" t="n">
        <v>2731</v>
      </c>
      <c r="D10" s="83" t="n"/>
      <c r="E10" s="84" t="n">
        <v>0</v>
      </c>
      <c r="F10" s="84" t="n">
        <v>-177.3392958485622</v>
      </c>
      <c r="G10" s="85" t="n">
        <v>-177.3392958485622</v>
      </c>
      <c r="J10" s="75" t="n">
        <v>2731</v>
      </c>
      <c r="K10" s="83" t="n"/>
      <c r="L10" s="84" t="n">
        <v>0</v>
      </c>
      <c r="M10" s="84" t="n">
        <v>-974.3716705711054</v>
      </c>
      <c r="N10" s="85" t="n">
        <v>-974.3716705711054</v>
      </c>
    </row>
    <row r="11">
      <c r="C11" s="75" t="n">
        <v>2818</v>
      </c>
      <c r="D11" s="83" t="n">
        <v>-145.6601050828108</v>
      </c>
      <c r="E11" s="84" t="n">
        <v>-294.7445163673649</v>
      </c>
      <c r="F11" s="84" t="n"/>
      <c r="G11" s="85" t="n">
        <v>-440.4046214501757</v>
      </c>
      <c r="J11" s="75" t="n">
        <v>2818</v>
      </c>
      <c r="K11" s="83" t="n">
        <v>-625.0933183598024</v>
      </c>
      <c r="L11" s="84" t="n">
        <v>20.03732855287334</v>
      </c>
      <c r="M11" s="84" t="n"/>
      <c r="N11" s="85" t="n">
        <v>-605.0559898069291</v>
      </c>
    </row>
    <row r="12">
      <c r="C12" s="75" t="n">
        <v>2905</v>
      </c>
      <c r="D12" s="83" t="n"/>
      <c r="E12" s="84" t="n">
        <v>-264.0376880955924</v>
      </c>
      <c r="F12" s="84" t="n"/>
      <c r="G12" s="85" t="n">
        <v>-264.0376880955924</v>
      </c>
      <c r="J12" s="75" t="n">
        <v>2905</v>
      </c>
      <c r="K12" s="83" t="n"/>
      <c r="L12" s="84" t="n">
        <v>1042.045242219762</v>
      </c>
      <c r="M12" s="84" t="n"/>
      <c r="N12" s="85" t="n">
        <v>1042.045242219762</v>
      </c>
    </row>
    <row r="13">
      <c r="C13" s="75" t="n">
        <v>2992</v>
      </c>
      <c r="D13" s="83" t="n">
        <v>-300.0108085929191</v>
      </c>
      <c r="E13" s="84" t="n"/>
      <c r="F13" s="84" t="n"/>
      <c r="G13" s="85" t="n">
        <v>-300.0108085929191</v>
      </c>
      <c r="J13" s="75" t="n">
        <v>2992</v>
      </c>
      <c r="K13" s="83" t="n">
        <v>-1635.408312475253</v>
      </c>
      <c r="L13" s="84" t="n"/>
      <c r="M13" s="84" t="n"/>
      <c r="N13" s="85" t="n">
        <v>-1635.408312475253</v>
      </c>
    </row>
    <row r="14">
      <c r="C14" s="75" t="n">
        <v>3079</v>
      </c>
      <c r="D14" s="83" t="n">
        <v>-388.1265671687086</v>
      </c>
      <c r="E14" s="84" t="n">
        <v>-375.9876922405754</v>
      </c>
      <c r="F14" s="84" t="n"/>
      <c r="G14" s="85" t="n">
        <v>-764.1142594092839</v>
      </c>
      <c r="J14" s="75" t="n">
        <v>3079</v>
      </c>
      <c r="K14" s="83" t="n">
        <v>-11116.49471225659</v>
      </c>
      <c r="L14" s="84" t="n">
        <v>-5953.891707860485</v>
      </c>
      <c r="M14" s="84" t="n"/>
      <c r="N14" s="85" t="n">
        <v>-17070.38642011707</v>
      </c>
    </row>
    <row r="15">
      <c r="C15" s="75" t="n">
        <v>3166</v>
      </c>
      <c r="D15" s="83" t="n">
        <v>-114.1946392709968</v>
      </c>
      <c r="E15" s="84" t="n">
        <v>-73.112252401194</v>
      </c>
      <c r="F15" s="84" t="n"/>
      <c r="G15" s="85" t="n">
        <v>-187.3068916721908</v>
      </c>
      <c r="J15" s="75" t="n">
        <v>3166</v>
      </c>
      <c r="K15" s="83" t="n">
        <v>-7759.734439387438</v>
      </c>
      <c r="L15" s="84" t="n">
        <v>-3044.085091464372</v>
      </c>
      <c r="M15" s="84" t="n"/>
      <c r="N15" s="85" t="n">
        <v>-10803.81953085181</v>
      </c>
    </row>
    <row r="16">
      <c r="C16" s="75" t="n">
        <v>3254</v>
      </c>
      <c r="D16" s="83" t="n">
        <v>208.9264865834637</v>
      </c>
      <c r="E16" s="84" t="n">
        <v>-139.7992239580873</v>
      </c>
      <c r="F16" s="84" t="n"/>
      <c r="G16" s="85" t="n">
        <v>69.12726262537635</v>
      </c>
      <c r="J16" s="75" t="n">
        <v>3254</v>
      </c>
      <c r="K16" s="83" t="n">
        <v>25653.63286732661</v>
      </c>
      <c r="L16" s="84" t="n">
        <v>-10877.91674920669</v>
      </c>
      <c r="M16" s="84" t="n"/>
      <c r="N16" s="85" t="n">
        <v>14775.71611811992</v>
      </c>
    </row>
    <row r="17">
      <c r="C17" s="75" t="n">
        <v>3341</v>
      </c>
      <c r="D17" s="83" t="n"/>
      <c r="E17" s="84" t="n">
        <v>-131.8591210364691</v>
      </c>
      <c r="F17" s="84" t="n">
        <v>-172.3378893574657</v>
      </c>
      <c r="G17" s="85" t="n">
        <v>-304.1970103939348</v>
      </c>
      <c r="J17" s="75" t="n">
        <v>3341</v>
      </c>
      <c r="K17" s="83" t="n"/>
      <c r="L17" s="84" t="n">
        <v>-16072.44260786424</v>
      </c>
      <c r="M17" s="84" t="n">
        <v>-17063.7554252489</v>
      </c>
      <c r="N17" s="85" t="n">
        <v>-33136.19803311314</v>
      </c>
    </row>
    <row r="18">
      <c r="C18" s="75" t="n">
        <v>3428</v>
      </c>
      <c r="D18" s="83" t="n"/>
      <c r="E18" s="84" t="n">
        <v>122.9576645685442</v>
      </c>
      <c r="F18" s="84" t="n"/>
      <c r="G18" s="85" t="n">
        <v>122.9576645685442</v>
      </c>
      <c r="J18" s="75" t="n">
        <v>3428</v>
      </c>
      <c r="K18" s="83" t="n"/>
      <c r="L18" s="84" t="n">
        <v>21181.61742630124</v>
      </c>
      <c r="M18" s="84" t="n"/>
      <c r="N18" s="85" t="n">
        <v>21181.61742630124</v>
      </c>
    </row>
    <row r="19">
      <c r="C19" s="76" t="inlineStr">
        <is>
          <t>(blank)</t>
        </is>
      </c>
      <c r="D19" s="83" t="n">
        <v>0</v>
      </c>
      <c r="E19" s="84" t="n"/>
      <c r="F19" s="84" t="n"/>
      <c r="G19" s="85" t="n">
        <v>0</v>
      </c>
      <c r="J19" s="75" t="inlineStr">
        <is>
          <t>(blank)</t>
        </is>
      </c>
      <c r="K19" s="83" t="n">
        <v>0</v>
      </c>
      <c r="L19" s="84" t="n"/>
      <c r="M19" s="84" t="n"/>
      <c r="N19" s="85" t="n">
        <v>0</v>
      </c>
    </row>
    <row r="20">
      <c r="C20" s="77" t="inlineStr">
        <is>
          <t>Grand Total</t>
        </is>
      </c>
      <c r="D20" s="86" t="n">
        <v>-607.1756233640383</v>
      </c>
      <c r="E20" s="87" t="n">
        <v>-1095.808210274062</v>
      </c>
      <c r="F20" s="87" t="n">
        <v>-308.9009400371811</v>
      </c>
      <c r="G20" s="88" t="n">
        <v>-2011.884773675281</v>
      </c>
      <c r="J20" s="93" t="inlineStr">
        <is>
          <t>Grand Total</t>
        </is>
      </c>
      <c r="K20" s="86" t="n">
        <v>19428.00969881475</v>
      </c>
      <c r="L20" s="87" t="n">
        <v>-10790.41775640498</v>
      </c>
      <c r="M20" s="87" t="n">
        <v>-17012.37372739237</v>
      </c>
      <c r="N20" s="88" t="n">
        <v>-8374.781784982584</v>
      </c>
    </row>
    <row r="28">
      <c r="C28" s="72" t="inlineStr">
        <is>
          <t>Underlying</t>
        </is>
      </c>
      <c r="D28" s="73" t="inlineStr">
        <is>
          <t>SX5E Index</t>
        </is>
      </c>
    </row>
    <row r="30">
      <c r="C30" s="66" t="inlineStr">
        <is>
          <t>Sum of ImpVol  +10%</t>
        </is>
      </c>
      <c r="D30" s="66" t="inlineStr">
        <is>
          <t>Maturity</t>
        </is>
      </c>
      <c r="E30" s="67" t="n"/>
      <c r="F30" s="67" t="n"/>
      <c r="G30" s="68" t="n"/>
    </row>
    <row r="31">
      <c r="C31" s="66" t="inlineStr">
        <is>
          <t>Strike</t>
        </is>
      </c>
      <c r="D31" s="94" t="n">
        <v>40256</v>
      </c>
      <c r="E31" s="95" t="n">
        <v>40347</v>
      </c>
      <c r="F31" s="95" t="n">
        <v>40438</v>
      </c>
      <c r="G31" s="92" t="inlineStr">
        <is>
          <t>Grand Total</t>
        </is>
      </c>
    </row>
    <row r="32">
      <c r="C32" s="74" t="n">
        <v>2469</v>
      </c>
      <c r="D32" s="80" t="n">
        <v>2828.351428193915</v>
      </c>
      <c r="E32" s="81" t="n">
        <v>621.8266931802634</v>
      </c>
      <c r="F32" s="81" t="n"/>
      <c r="G32" s="82" t="n">
        <v>3450.178121374178</v>
      </c>
    </row>
    <row r="33">
      <c r="C33" s="75" t="n">
        <v>2556</v>
      </c>
      <c r="D33" s="83" t="n">
        <v>-1429.745214905322</v>
      </c>
      <c r="E33" s="84" t="n"/>
      <c r="F33" s="84" t="n">
        <v>412.3812069994165</v>
      </c>
      <c r="G33" s="85" t="n">
        <v>-1017.364007905906</v>
      </c>
    </row>
    <row r="34">
      <c r="C34" s="75" t="n">
        <v>2731</v>
      </c>
      <c r="D34" s="83" t="n"/>
      <c r="E34" s="84" t="n">
        <v>0</v>
      </c>
      <c r="F34" s="84" t="n">
        <v>-1778.944279741286</v>
      </c>
      <c r="G34" s="85" t="n">
        <v>-1778.944279741286</v>
      </c>
    </row>
    <row r="35">
      <c r="C35" s="75" t="n">
        <v>2818</v>
      </c>
      <c r="D35" s="83" t="n">
        <v>-1469.299154603423</v>
      </c>
      <c r="E35" s="84" t="n">
        <v>-2954.483436186347</v>
      </c>
      <c r="F35" s="84" t="n"/>
      <c r="G35" s="85" t="n">
        <v>-4423.78259078977</v>
      </c>
    </row>
    <row r="36">
      <c r="C36" s="75" t="n">
        <v>2905</v>
      </c>
      <c r="D36" s="83" t="n"/>
      <c r="E36" s="84" t="n">
        <v>-2642.596955578639</v>
      </c>
      <c r="F36" s="84" t="n"/>
      <c r="G36" s="85" t="n">
        <v>-2642.596955578639</v>
      </c>
    </row>
    <row r="37">
      <c r="C37" s="75" t="n">
        <v>2992</v>
      </c>
      <c r="D37" s="83" t="n">
        <v>-3027.661246474104</v>
      </c>
      <c r="E37" s="84" t="n"/>
      <c r="F37" s="84" t="n"/>
      <c r="G37" s="85" t="n">
        <v>-3027.661246474104</v>
      </c>
    </row>
    <row r="38">
      <c r="C38" s="75" t="n">
        <v>3079</v>
      </c>
      <c r="D38" s="83" t="n">
        <v>-3955.240217266655</v>
      </c>
      <c r="E38" s="84" t="n">
        <v>-3792.631334355508</v>
      </c>
      <c r="F38" s="84" t="n"/>
      <c r="G38" s="85" t="n">
        <v>-7747.871551622164</v>
      </c>
    </row>
    <row r="39">
      <c r="C39" s="75" t="n">
        <v>3166</v>
      </c>
      <c r="D39" s="83" t="n">
        <v>-1183.031477382551</v>
      </c>
      <c r="E39" s="84" t="n">
        <v>-744.9984024419769</v>
      </c>
      <c r="F39" s="84" t="n"/>
      <c r="G39" s="85" t="n">
        <v>-1928.029879824528</v>
      </c>
    </row>
    <row r="40">
      <c r="C40" s="75" t="n">
        <v>3254</v>
      </c>
      <c r="D40" s="83" t="n">
        <v>2214.831085134301</v>
      </c>
      <c r="E40" s="84" t="n">
        <v>-1444.892913336423</v>
      </c>
      <c r="F40" s="84" t="n"/>
      <c r="G40" s="85" t="n">
        <v>769.9381717978781</v>
      </c>
    </row>
    <row r="41">
      <c r="C41" s="75" t="n">
        <v>3341</v>
      </c>
      <c r="D41" s="83" t="n"/>
      <c r="E41" s="84" t="n">
        <v>-1386.697125854323</v>
      </c>
      <c r="F41" s="84" t="n">
        <v>-1791.301807802206</v>
      </c>
      <c r="G41" s="85" t="n">
        <v>-3177.998933656529</v>
      </c>
    </row>
    <row r="42">
      <c r="C42" s="75" t="n">
        <v>3428</v>
      </c>
      <c r="D42" s="83" t="n"/>
      <c r="E42" s="84" t="n">
        <v>1319.171873672808</v>
      </c>
      <c r="F42" s="84" t="n"/>
      <c r="G42" s="85" t="n">
        <v>1319.171873672808</v>
      </c>
    </row>
    <row r="43">
      <c r="C43" s="75" t="inlineStr">
        <is>
          <t>(blank)</t>
        </is>
      </c>
      <c r="D43" s="83" t="n">
        <v>0</v>
      </c>
      <c r="E43" s="84" t="n"/>
      <c r="F43" s="84" t="n"/>
      <c r="G43" s="85" t="n">
        <v>0</v>
      </c>
    </row>
    <row r="44">
      <c r="C44" s="93" t="inlineStr">
        <is>
          <t>Grand Total</t>
        </is>
      </c>
      <c r="D44" s="86" t="n">
        <v>-6021.794797303839</v>
      </c>
      <c r="E44" s="87" t="n">
        <v>-11025.30160090015</v>
      </c>
      <c r="F44" s="87" t="n">
        <v>-3157.864880544075</v>
      </c>
      <c r="G44" s="88" t="n">
        <v>-20204.96127874806</v>
      </c>
    </row>
  </sheetData>
  <pageMargins left="0.75" right="0.75" top="1" bottom="1" header="0.5" footer="0.5"/>
</worksheet>
</file>

<file path=xl/worksheets/sheet2.xml><?xml version="1.0" encoding="utf-8"?>
<worksheet xmlns="http://schemas.openxmlformats.org/spreadsheetml/2006/main">
  <sheetPr codeName="Sheet2">
    <outlinePr summaryBelow="1" summaryRight="1"/>
    <pageSetUpPr/>
  </sheetPr>
  <dimension ref="C4:N44"/>
  <sheetViews>
    <sheetView showGridLines="0" workbookViewId="0">
      <selection activeCell="E34" sqref="E34"/>
    </sheetView>
  </sheetViews>
  <sheetFormatPr baseColWidth="8" defaultRowHeight="12.75"/>
  <cols>
    <col width="17.59765625" customWidth="1" min="3" max="3"/>
    <col width="12.86328125" customWidth="1" min="4" max="6"/>
    <col width="10.59765625" customWidth="1" min="7" max="7"/>
    <col width="10.59765625" bestFit="1" customWidth="1" min="8" max="8"/>
    <col width="19.86328125" customWidth="1" min="10" max="10"/>
    <col width="12.86328125" customWidth="1" min="11" max="13"/>
    <col width="10.59765625" customWidth="1" min="14" max="14"/>
    <col width="10.59765625" bestFit="1" customWidth="1" min="15" max="15"/>
  </cols>
  <sheetData>
    <row r="4">
      <c r="C4" s="72" t="inlineStr">
        <is>
          <t>Underlying</t>
        </is>
      </c>
      <c r="D4" s="73" t="inlineStr">
        <is>
          <t>SX5E Index</t>
        </is>
      </c>
      <c r="J4" s="72" t="inlineStr">
        <is>
          <t>Underlying</t>
        </is>
      </c>
      <c r="K4" s="73" t="inlineStr">
        <is>
          <t>SX5E Index</t>
        </is>
      </c>
    </row>
    <row r="6">
      <c r="C6" s="66" t="inlineStr">
        <is>
          <t>Sum of Total $Delta</t>
        </is>
      </c>
      <c r="D6" s="66" t="inlineStr">
        <is>
          <t>Maturity</t>
        </is>
      </c>
      <c r="E6" s="67" t="n"/>
      <c r="F6" s="67" t="n"/>
      <c r="G6" s="68" t="n"/>
      <c r="J6" s="66" t="inlineStr">
        <is>
          <t>Sum of Total $Gamma</t>
        </is>
      </c>
      <c r="K6" s="66" t="inlineStr">
        <is>
          <t>Maturity</t>
        </is>
      </c>
      <c r="L6" s="67" t="n"/>
      <c r="M6" s="67" t="n"/>
      <c r="N6" s="68" t="n"/>
    </row>
    <row r="7">
      <c r="C7" s="66" t="inlineStr">
        <is>
          <t>Strike</t>
        </is>
      </c>
      <c r="D7" s="69" t="n">
        <v>40256</v>
      </c>
      <c r="E7" s="70" t="n">
        <v>40347</v>
      </c>
      <c r="F7" s="70" t="n">
        <v>40438</v>
      </c>
      <c r="G7" s="71" t="inlineStr">
        <is>
          <t>Grand Total</t>
        </is>
      </c>
      <c r="J7" s="66" t="inlineStr">
        <is>
          <t>Strike</t>
        </is>
      </c>
      <c r="K7" s="69" t="n">
        <v>40256</v>
      </c>
      <c r="L7" s="70" t="n">
        <v>40347</v>
      </c>
      <c r="M7" s="70" t="n">
        <v>40438</v>
      </c>
      <c r="N7" s="71" t="inlineStr">
        <is>
          <t>Grand Total</t>
        </is>
      </c>
    </row>
    <row r="8">
      <c r="C8" s="74" t="n">
        <v>2469</v>
      </c>
      <c r="D8" s="80" t="n">
        <v>-44954.56452810813</v>
      </c>
      <c r="E8" s="81" t="n">
        <v>-7247.108119221895</v>
      </c>
      <c r="F8" s="81" t="n"/>
      <c r="G8" s="82" t="n">
        <v>-52201.67264733002</v>
      </c>
      <c r="J8" s="74" t="n">
        <v>2469</v>
      </c>
      <c r="K8" s="80" t="n">
        <v>133529.8749561152</v>
      </c>
      <c r="L8" s="81" t="n">
        <v>14301.68609906635</v>
      </c>
      <c r="M8" s="81" t="n"/>
      <c r="N8" s="82" t="n">
        <v>147831.5610551815</v>
      </c>
    </row>
    <row r="9">
      <c r="C9" s="75" t="n">
        <v>2556</v>
      </c>
      <c r="D9" s="83" t="n">
        <v>24622.72971105397</v>
      </c>
      <c r="E9" s="84" t="n"/>
      <c r="F9" s="84" t="n">
        <v>-4185.159552052956</v>
      </c>
      <c r="G9" s="85" t="n">
        <v>20437.57015900102</v>
      </c>
      <c r="J9" s="75" t="n">
        <v>2556</v>
      </c>
      <c r="K9" s="83" t="n">
        <v>-72712.45523237393</v>
      </c>
      <c r="L9" s="84" t="n"/>
      <c r="M9" s="84" t="n">
        <v>7004.392608049604</v>
      </c>
      <c r="N9" s="85" t="n">
        <v>-65708.06262432433</v>
      </c>
    </row>
    <row r="10">
      <c r="C10" s="75" t="n">
        <v>2731</v>
      </c>
      <c r="D10" s="83" t="n"/>
      <c r="E10" s="84" t="n">
        <v>0</v>
      </c>
      <c r="F10" s="84" t="n">
        <v>20533.60120296604</v>
      </c>
      <c r="G10" s="85" t="n">
        <v>20533.60120296604</v>
      </c>
      <c r="J10" s="75" t="n">
        <v>2731</v>
      </c>
      <c r="K10" s="83" t="n"/>
      <c r="L10" s="84" t="n">
        <v>0</v>
      </c>
      <c r="M10" s="84" t="n">
        <v>-34982.63618205944</v>
      </c>
      <c r="N10" s="85" t="n">
        <v>-34982.63618205944</v>
      </c>
    </row>
    <row r="11">
      <c r="C11" s="75" t="n">
        <v>2818</v>
      </c>
      <c r="D11" s="83" t="n">
        <v>-52185.31780385802</v>
      </c>
      <c r="E11" s="84" t="n">
        <v>46255.15461966213</v>
      </c>
      <c r="F11" s="84" t="n"/>
      <c r="G11" s="85" t="n">
        <v>-5930.163184195881</v>
      </c>
      <c r="J11" s="75" t="n">
        <v>2818</v>
      </c>
      <c r="K11" s="83" t="n">
        <v>-90344.81473226476</v>
      </c>
      <c r="L11" s="84" t="n">
        <v>-89247.61889474349</v>
      </c>
      <c r="M11" s="84" t="n"/>
      <c r="N11" s="85" t="n">
        <v>-179592.4336270082</v>
      </c>
    </row>
    <row r="12">
      <c r="C12" s="75" t="n">
        <v>2905</v>
      </c>
      <c r="D12" s="83" t="n"/>
      <c r="E12" s="84" t="n">
        <v>45497.15811669861</v>
      </c>
      <c r="F12" s="84" t="n"/>
      <c r="G12" s="85" t="n">
        <v>45497.15811669861</v>
      </c>
      <c r="J12" s="75" t="n">
        <v>2905</v>
      </c>
      <c r="K12" s="83" t="n"/>
      <c r="L12" s="84" t="n">
        <v>-83608.81793054235</v>
      </c>
      <c r="M12" s="84" t="n"/>
      <c r="N12" s="85" t="n">
        <v>-83608.81793054235</v>
      </c>
    </row>
    <row r="13">
      <c r="C13" s="75" t="n">
        <v>2992</v>
      </c>
      <c r="D13" s="83" t="n">
        <v>34758.7739120145</v>
      </c>
      <c r="E13" s="84" t="n"/>
      <c r="F13" s="84" t="n"/>
      <c r="G13" s="85" t="n">
        <v>34758.7739120145</v>
      </c>
      <c r="J13" s="75" t="n">
        <v>2992</v>
      </c>
      <c r="K13" s="83" t="n">
        <v>-199590.2279565147</v>
      </c>
      <c r="L13" s="84" t="n"/>
      <c r="M13" s="84" t="n"/>
      <c r="N13" s="85" t="n">
        <v>-199590.2279565147</v>
      </c>
    </row>
    <row r="14">
      <c r="C14" s="75" t="n">
        <v>3079</v>
      </c>
      <c r="D14" s="83" t="n">
        <v>-34148.18819211131</v>
      </c>
      <c r="E14" s="84" t="n">
        <v>-63624.33686316143</v>
      </c>
      <c r="F14" s="84" t="n"/>
      <c r="G14" s="85" t="n">
        <v>-97772.52505527274</v>
      </c>
      <c r="J14" s="75" t="n">
        <v>3079</v>
      </c>
      <c r="K14" s="83" t="n">
        <v>-264097.0226041425</v>
      </c>
      <c r="L14" s="84" t="n">
        <v>-126574.5080267307</v>
      </c>
      <c r="M14" s="84" t="n"/>
      <c r="N14" s="85" t="n">
        <v>-390671.5306308732</v>
      </c>
    </row>
    <row r="15">
      <c r="C15" s="75" t="n">
        <v>3166</v>
      </c>
      <c r="D15" s="83" t="n">
        <v>-24032.81366696455</v>
      </c>
      <c r="E15" s="84" t="n">
        <v>-11234.47581599477</v>
      </c>
      <c r="F15" s="84" t="n"/>
      <c r="G15" s="85" t="n">
        <v>-35267.28948295933</v>
      </c>
      <c r="J15" s="75" t="n">
        <v>3166</v>
      </c>
      <c r="K15" s="83" t="n">
        <v>-78885.60847649924</v>
      </c>
      <c r="L15" s="84" t="n">
        <v>-25046.8066059071</v>
      </c>
      <c r="M15" s="84" t="n"/>
      <c r="N15" s="85" t="n">
        <v>-103932.4150824063</v>
      </c>
    </row>
    <row r="16">
      <c r="C16" s="75" t="n">
        <v>3254</v>
      </c>
      <c r="D16" s="83" t="n">
        <v>39425.0374692019</v>
      </c>
      <c r="E16" s="84" t="n">
        <v>-19639.6055358364</v>
      </c>
      <c r="F16" s="84" t="n"/>
      <c r="G16" s="85" t="n">
        <v>19785.4319333655</v>
      </c>
      <c r="J16" s="75" t="n">
        <v>3254</v>
      </c>
      <c r="K16" s="83" t="n">
        <v>145614.0304059985</v>
      </c>
      <c r="L16" s="84" t="n">
        <v>-48389.54299323603</v>
      </c>
      <c r="M16" s="84" t="n"/>
      <c r="N16" s="85" t="n">
        <v>97224.48741276245</v>
      </c>
    </row>
    <row r="17">
      <c r="C17" s="75" t="n">
        <v>3341</v>
      </c>
      <c r="D17" s="83" t="n"/>
      <c r="E17" s="84" t="n">
        <v>-17090.00750389212</v>
      </c>
      <c r="F17" s="84" t="n">
        <v>38211.48194892682</v>
      </c>
      <c r="G17" s="85" t="n">
        <v>21121.4744450347</v>
      </c>
      <c r="J17" s="75" t="n">
        <v>3341</v>
      </c>
      <c r="K17" s="83" t="n"/>
      <c r="L17" s="84" t="n">
        <v>-45837.71155553099</v>
      </c>
      <c r="M17" s="84" t="n">
        <v>-42026.57390910976</v>
      </c>
      <c r="N17" s="85" t="n">
        <v>-87864.28546464074</v>
      </c>
    </row>
    <row r="18">
      <c r="C18" s="75" t="n">
        <v>3428</v>
      </c>
      <c r="D18" s="83" t="n"/>
      <c r="E18" s="84" t="n">
        <v>14816.6188435711</v>
      </c>
      <c r="F18" s="84" t="n"/>
      <c r="G18" s="85" t="n">
        <v>14816.6188435711</v>
      </c>
      <c r="J18" s="75" t="n">
        <v>3428</v>
      </c>
      <c r="K18" s="83" t="n"/>
      <c r="L18" s="84" t="n">
        <v>42729.35861284815</v>
      </c>
      <c r="M18" s="84" t="n"/>
      <c r="N18" s="85" t="n">
        <v>42729.35861284815</v>
      </c>
    </row>
    <row r="19">
      <c r="C19" s="76" t="inlineStr">
        <is>
          <t>(blank)</t>
        </is>
      </c>
      <c r="D19" s="83" t="n">
        <v>57858.86943823414</v>
      </c>
      <c r="E19" s="84" t="n"/>
      <c r="F19" s="84" t="n"/>
      <c r="G19" s="85" t="n">
        <v>57858.86943823414</v>
      </c>
      <c r="J19" s="75" t="inlineStr">
        <is>
          <t>(blank)</t>
        </is>
      </c>
      <c r="K19" s="83" t="n">
        <v>0</v>
      </c>
      <c r="L19" s="84" t="n"/>
      <c r="M19" s="84" t="n"/>
      <c r="N19" s="85" t="n">
        <v>0</v>
      </c>
    </row>
    <row r="20">
      <c r="C20" s="77" t="inlineStr">
        <is>
          <t>Grand Total</t>
        </is>
      </c>
      <c r="D20" s="86" t="n">
        <v>1344.5263394625</v>
      </c>
      <c r="E20" s="87" t="n">
        <v>-12266.60225817478</v>
      </c>
      <c r="F20" s="87" t="n">
        <v>54559.9235998399</v>
      </c>
      <c r="G20" s="88" t="n">
        <v>43637.84768112764</v>
      </c>
      <c r="J20" s="93" t="inlineStr">
        <is>
          <t>Grand Total</t>
        </is>
      </c>
      <c r="K20" s="86" t="n">
        <v>-426486.2236396816</v>
      </c>
      <c r="L20" s="87" t="n">
        <v>-361673.9612947761</v>
      </c>
      <c r="M20" s="87" t="n">
        <v>-70004.81748311959</v>
      </c>
      <c r="N20" s="88" t="n">
        <v>-858165.0024175772</v>
      </c>
    </row>
    <row r="28">
      <c r="C28" s="72" t="inlineStr">
        <is>
          <t>Underlying</t>
        </is>
      </c>
      <c r="D28" s="73" t="inlineStr">
        <is>
          <t>SX5E Index</t>
        </is>
      </c>
    </row>
    <row r="30">
      <c r="C30" s="66" t="inlineStr">
        <is>
          <t>Sum of PnL: Und +10%</t>
        </is>
      </c>
      <c r="D30" s="66" t="inlineStr">
        <is>
          <t>Maturity</t>
        </is>
      </c>
      <c r="E30" s="67" t="n"/>
      <c r="F30" s="67" t="n"/>
      <c r="G30" s="68" t="n"/>
    </row>
    <row r="31">
      <c r="C31" s="66" t="inlineStr">
        <is>
          <t>Strike</t>
        </is>
      </c>
      <c r="D31" s="69" t="n">
        <v>40256</v>
      </c>
      <c r="E31" s="70" t="n">
        <v>40347</v>
      </c>
      <c r="F31" s="70" t="n">
        <v>40438</v>
      </c>
      <c r="G31" s="92" t="inlineStr">
        <is>
          <t>Grand Total</t>
        </is>
      </c>
    </row>
    <row r="32">
      <c r="C32" s="74" t="n">
        <v>2469</v>
      </c>
      <c r="D32" s="80" t="n">
        <v>-3379.799757411013</v>
      </c>
      <c r="E32" s="81" t="n">
        <v>-597.1523844902129</v>
      </c>
      <c r="F32" s="81" t="n"/>
      <c r="G32" s="82" t="n">
        <v>-3976.952141901225</v>
      </c>
    </row>
    <row r="33">
      <c r="C33" s="75" t="n">
        <v>2556</v>
      </c>
      <c r="D33" s="83" t="n">
        <v>1847.258808216665</v>
      </c>
      <c r="E33" s="84" t="n"/>
      <c r="F33" s="84" t="n">
        <v>-354.6008751960238</v>
      </c>
      <c r="G33" s="85" t="n">
        <v>1492.657933020641</v>
      </c>
    </row>
    <row r="34">
      <c r="C34" s="75" t="n">
        <v>2731</v>
      </c>
      <c r="D34" s="83" t="n"/>
      <c r="E34" s="84" t="n">
        <v>0</v>
      </c>
      <c r="F34" s="84" t="n">
        <v>1730.372686048622</v>
      </c>
      <c r="G34" s="85" t="n">
        <v>1730.372686048622</v>
      </c>
    </row>
    <row r="35">
      <c r="C35" s="75" t="n">
        <v>2818</v>
      </c>
      <c r="D35" s="83" t="n">
        <v>-6030.924675963595</v>
      </c>
      <c r="E35" s="84" t="n">
        <v>3800.355130875791</v>
      </c>
      <c r="F35" s="84" t="n"/>
      <c r="G35" s="85" t="n">
        <v>-2230.569545087804</v>
      </c>
    </row>
    <row r="36">
      <c r="C36" s="75" t="n">
        <v>2905</v>
      </c>
      <c r="D36" s="83" t="n"/>
      <c r="E36" s="84" t="n">
        <v>3764.300696450695</v>
      </c>
      <c r="F36" s="84" t="n"/>
      <c r="G36" s="85" t="n">
        <v>3764.300696450695</v>
      </c>
    </row>
    <row r="37">
      <c r="C37" s="75" t="n">
        <v>2992</v>
      </c>
      <c r="D37" s="83" t="n">
        <v>1563.048835692998</v>
      </c>
      <c r="E37" s="84" t="n"/>
      <c r="F37" s="84" t="n"/>
      <c r="G37" s="85" t="n">
        <v>1563.048835692998</v>
      </c>
    </row>
    <row r="38">
      <c r="C38" s="75" t="n">
        <v>3079</v>
      </c>
      <c r="D38" s="83" t="n">
        <v>-6038.887642204936</v>
      </c>
      <c r="E38" s="84" t="n">
        <v>-7597.102544697759</v>
      </c>
      <c r="F38" s="84" t="n"/>
      <c r="G38" s="85" t="n">
        <v>-13635.99018690269</v>
      </c>
    </row>
    <row r="39">
      <c r="C39" s="75" t="n">
        <v>3166</v>
      </c>
      <c r="D39" s="83" t="n">
        <v>-3217.196260077372</v>
      </c>
      <c r="E39" s="84" t="n">
        <v>-1372.938792682594</v>
      </c>
      <c r="F39" s="84" t="n"/>
      <c r="G39" s="85" t="n">
        <v>-4590.135052759966</v>
      </c>
    </row>
    <row r="40">
      <c r="C40" s="75" t="n">
        <v>3254</v>
      </c>
      <c r="D40" s="83" t="n">
        <v>5504.042881084331</v>
      </c>
      <c r="E40" s="84" t="n">
        <v>-2456.351458659797</v>
      </c>
      <c r="F40" s="84" t="n"/>
      <c r="G40" s="85" t="n">
        <v>3047.691422424535</v>
      </c>
    </row>
    <row r="41">
      <c r="C41" s="75" t="n">
        <v>3341</v>
      </c>
      <c r="D41" s="83" t="n"/>
      <c r="E41" s="84" t="n">
        <v>-2185.122534620486</v>
      </c>
      <c r="F41" s="84" t="n">
        <v>3393.555945687117</v>
      </c>
      <c r="G41" s="85" t="n">
        <v>1208.43341106663</v>
      </c>
    </row>
    <row r="42">
      <c r="C42" s="75" t="n">
        <v>3428</v>
      </c>
      <c r="D42" s="83" t="n"/>
      <c r="E42" s="84" t="n">
        <v>1934.311276586357</v>
      </c>
      <c r="F42" s="84" t="n"/>
      <c r="G42" s="85" t="n">
        <v>1934.311276586357</v>
      </c>
    </row>
    <row r="43">
      <c r="C43" s="75" t="inlineStr">
        <is>
          <t>(blank)</t>
        </is>
      </c>
      <c r="D43" s="83" t="n">
        <v>5785.538215941997</v>
      </c>
      <c r="E43" s="84" t="n"/>
      <c r="F43" s="84" t="n"/>
      <c r="G43" s="85" t="n">
        <v>5785.538215941997</v>
      </c>
    </row>
    <row r="44">
      <c r="C44" s="93" t="inlineStr">
        <is>
          <t>Grand Total</t>
        </is>
      </c>
      <c r="D44" s="86" t="n">
        <v>-3966.919594720925</v>
      </c>
      <c r="E44" s="87" t="n">
        <v>-4709.700611238006</v>
      </c>
      <c r="F44" s="87" t="n">
        <v>4769.327756539715</v>
      </c>
      <c r="G44" s="88" t="n">
        <v>-3907.292449419214</v>
      </c>
    </row>
  </sheetData>
  <pageMargins left="0.75" right="0.75" top="1" bottom="1" header="0.5" footer="0.5"/>
</worksheet>
</file>

<file path=xl/worksheets/sheet3.xml><?xml version="1.0" encoding="utf-8"?>
<worksheet xmlns="http://schemas.openxmlformats.org/spreadsheetml/2006/main">
  <sheetPr codeName="Sheet5">
    <outlinePr summaryBelow="1" summaryRight="1"/>
    <pageSetUpPr/>
  </sheetPr>
  <dimension ref="A3:S35"/>
  <sheetViews>
    <sheetView tabSelected="1" zoomScale="70" zoomScaleNormal="70" workbookViewId="0">
      <selection activeCell="C11" sqref="C11"/>
    </sheetView>
  </sheetViews>
  <sheetFormatPr baseColWidth="8" defaultRowHeight="12.75"/>
  <cols>
    <col width="13.1328125" bestFit="1" customWidth="1" min="1" max="1"/>
    <col width="26.6640625" bestFit="1" customWidth="1" min="2" max="2"/>
    <col width="27.265625" bestFit="1" customWidth="1" min="3" max="3"/>
    <col width="26.6640625" bestFit="1" customWidth="1" min="4" max="4"/>
    <col width="27.265625" bestFit="1" customWidth="1" min="5" max="5"/>
    <col width="26.6640625" bestFit="1" customWidth="1" min="6" max="6"/>
    <col width="27.6640625" bestFit="1" customWidth="1" min="7" max="7"/>
    <col hidden="1" width="23.265625" customWidth="1" min="8" max="8"/>
    <col hidden="1" width="25.73046875" customWidth="1" min="9" max="9"/>
    <col hidden="1" width="25.3984375" customWidth="1" min="10" max="10"/>
    <col hidden="1" width="22.86328125" customWidth="1" min="11" max="11"/>
    <col hidden="1" width="28.19921875" customWidth="1" min="12" max="12"/>
    <col hidden="1" width="33.265625" customWidth="1" min="13" max="13"/>
    <col width="2.46484375" customWidth="1" min="14" max="14"/>
    <col width="27.6640625" bestFit="1" customWidth="1" min="15" max="162"/>
    <col width="32.33203125" bestFit="1" customWidth="1" min="163" max="163"/>
    <col width="31.73046875" bestFit="1" customWidth="1" min="164" max="166"/>
    <col width="32.73046875" bestFit="1" customWidth="1" min="167" max="168"/>
  </cols>
  <sheetData>
    <row r="3">
      <c r="A3" s="96" t="inlineStr">
        <is>
          <t>Underlying</t>
        </is>
      </c>
      <c r="B3" t="inlineStr">
        <is>
          <t>SX5E Index</t>
        </is>
      </c>
    </row>
    <row r="5" ht="13.15" customHeight="1">
      <c r="B5" s="96" t="inlineStr">
        <is>
          <t>Column Labels</t>
        </is>
      </c>
      <c r="O5" s="97" t="n"/>
      <c r="P5" s="97" t="n"/>
      <c r="Q5" s="97" t="n"/>
      <c r="R5" s="97" t="n"/>
      <c r="S5" s="97" t="n"/>
    </row>
    <row r="6" ht="13.15" customHeight="1">
      <c r="B6" s="6" t="n">
        <v>40347</v>
      </c>
      <c r="H6" s="6" t="inlineStr">
        <is>
          <t>Total Sum of Total $Delta</t>
        </is>
      </c>
      <c r="I6" s="6" t="inlineStr">
        <is>
          <t>Total Sum of Total $Gamma</t>
        </is>
      </c>
      <c r="J6" s="6" t="inlineStr">
        <is>
          <t>Total Sum of Total Vega 1%</t>
        </is>
      </c>
      <c r="K6" s="6" t="inlineStr">
        <is>
          <t>Total Sum of Total Volga</t>
        </is>
      </c>
      <c r="L6" s="6" t="inlineStr">
        <is>
          <t>Total Sum of Total Vanna</t>
        </is>
      </c>
      <c r="M6" s="6" t="inlineStr">
        <is>
          <t>Total Sum of Und -10%, ImpVol 10%</t>
        </is>
      </c>
      <c r="O6" s="97" t="inlineStr">
        <is>
          <t>Delta Approximation</t>
        </is>
      </c>
      <c r="P6" s="97" t="inlineStr">
        <is>
          <t>Gamma Approximation</t>
        </is>
      </c>
      <c r="Q6" s="97" t="inlineStr">
        <is>
          <t>Vega Approximation</t>
        </is>
      </c>
      <c r="R6" s="97" t="inlineStr">
        <is>
          <t>Volga Approximation</t>
        </is>
      </c>
      <c r="S6" s="97" t="inlineStr">
        <is>
          <t>Vanna Approximation</t>
        </is>
      </c>
    </row>
    <row r="7" ht="13.15" customHeight="1">
      <c r="A7" s="96" t="inlineStr">
        <is>
          <t>Row Labels</t>
        </is>
      </c>
      <c r="B7" t="inlineStr">
        <is>
          <t>Sum of Total $Delta</t>
        </is>
      </c>
      <c r="C7" t="inlineStr">
        <is>
          <t>Sum of Total $Gamma</t>
        </is>
      </c>
      <c r="D7" t="inlineStr">
        <is>
          <t>Sum of Total Vega 1%</t>
        </is>
      </c>
      <c r="E7" t="inlineStr">
        <is>
          <t>Sum of Total Volga</t>
        </is>
      </c>
      <c r="F7" t="inlineStr">
        <is>
          <t>Sum of Total Vanna</t>
        </is>
      </c>
      <c r="G7" t="inlineStr">
        <is>
          <t>Sum of Und -10%, ImpVol 10%</t>
        </is>
      </c>
      <c r="O7" s="98" t="inlineStr">
        <is>
          <t>Sum of Und -10%, ImpVol 10%</t>
        </is>
      </c>
      <c r="P7" s="98" t="inlineStr">
        <is>
          <t>Sum of Und -10%, ImpVol 10%</t>
        </is>
      </c>
      <c r="Q7" s="98" t="inlineStr">
        <is>
          <t>Sum of Und -10%, ImpVol 10%</t>
        </is>
      </c>
      <c r="R7" s="98" t="inlineStr">
        <is>
          <t>Sum of Und -10%, ImpVol 10%</t>
        </is>
      </c>
      <c r="S7" s="98" t="inlineStr">
        <is>
          <t>Sum of Und -10%, ImpVol 10%</t>
        </is>
      </c>
    </row>
    <row r="8">
      <c r="A8" s="3" t="n">
        <v>2469</v>
      </c>
      <c r="B8" s="101" t="n">
        <v>-7237.574935375407</v>
      </c>
      <c r="C8" s="101" t="n">
        <v>14337.10779532194</v>
      </c>
      <c r="D8" s="101" t="n">
        <v>60.54402337156951</v>
      </c>
      <c r="E8" s="101" t="n">
        <v>2925.399524629112</v>
      </c>
      <c r="F8" s="101" t="n">
        <v>-33.09455593411401</v>
      </c>
      <c r="G8" s="101" t="n">
        <v>1525.566173155695</v>
      </c>
      <c r="H8" s="101" t="n">
        <v>-7237.574935375407</v>
      </c>
      <c r="I8" s="101" t="n">
        <v>14337.10779532194</v>
      </c>
      <c r="J8" s="101" t="n">
        <v>60.54402337156951</v>
      </c>
      <c r="K8" s="101" t="n">
        <v>2925.399524629112</v>
      </c>
      <c r="L8" s="101" t="n">
        <v>-33.09455593411401</v>
      </c>
      <c r="M8" s="101" t="n">
        <v>1525.566173155695</v>
      </c>
      <c r="O8" s="99">
        <f>IFERROR(-GETPIVOTDATA("Sum of Total $Delta",$A$5,"Strike",$A8,"Maturity",$B$6)*0.1,0)</f>
        <v/>
      </c>
      <c r="P8" s="99">
        <f>IFERROR(GETPIVOTDATA("Sum of Total $Gamma",$A$5,"Strike",$A8,"Maturity",$B$6)*0.1*0.1,0)</f>
        <v/>
      </c>
      <c r="Q8" s="99">
        <f>IFERROR(GETPIVOTDATA("Sum of Total Vega 1%",$A$5,"Strike",$A8,"Maturity",$B$6)*10,0)</f>
        <v/>
      </c>
      <c r="R8" s="99">
        <f>IFERROR(GETPIVOTDATA("Sum of Total Volga",$A$5,"Strike",$A8,"Maturity",$B$6)*0.1*0.1*0.5,0)</f>
        <v/>
      </c>
      <c r="S8" s="99">
        <f>IFERROR(-GETPIVOTDATA("Sum of Total Vanna",$A$5,"Strike",$A8,"Maturity",$B$6)*0.1*10,0)</f>
        <v/>
      </c>
    </row>
    <row r="9">
      <c r="A9" s="3" t="n">
        <v>2731</v>
      </c>
      <c r="B9" s="101" t="n">
        <v>0</v>
      </c>
      <c r="C9" s="101" t="n">
        <v>0</v>
      </c>
      <c r="D9" s="101" t="n">
        <v>0</v>
      </c>
      <c r="E9" s="101" t="n">
        <v>0</v>
      </c>
      <c r="F9" s="101" t="n">
        <v>0</v>
      </c>
      <c r="G9" s="101" t="n">
        <v>0</v>
      </c>
      <c r="H9" s="101" t="n">
        <v>0</v>
      </c>
      <c r="I9" s="101" t="n">
        <v>0</v>
      </c>
      <c r="J9" s="101" t="n">
        <v>0</v>
      </c>
      <c r="K9" s="101" t="n">
        <v>0</v>
      </c>
      <c r="L9" s="101" t="n">
        <v>0</v>
      </c>
      <c r="M9" s="101" t="n">
        <v>0</v>
      </c>
      <c r="O9" s="99">
        <f>IFERROR(-GETPIVOTDATA("Sum of Total $Delta",$A$5,"Strike",$A9,"Maturity",$B$6)*0.1,0)</f>
        <v/>
      </c>
      <c r="P9" s="99">
        <f>IFERROR(GETPIVOTDATA("Sum of Total $Gamma",$A$5,"Strike",$A9,"Maturity",$B$6)*0.1*0.1,0)</f>
        <v/>
      </c>
      <c r="Q9" s="99">
        <f>IFERROR(GETPIVOTDATA("Sum of Total Vega 1%",$A$5,"Strike",$A9,"Maturity",$B$6)*10,0)</f>
        <v/>
      </c>
      <c r="R9" s="99">
        <f>IFERROR(GETPIVOTDATA("Sum of Total Volga",$A$5,"Strike",$A9,"Maturity",$B$6)*0.1*0.1*0.5,0)</f>
        <v/>
      </c>
      <c r="S9" s="99">
        <f>IFERROR(-GETPIVOTDATA("Sum of Total Vanna",$A$5,"Strike",$A9,"Maturity",$B$6)*0.1*10,0)</f>
        <v/>
      </c>
    </row>
    <row r="10">
      <c r="A10" s="3" t="n">
        <v>2818</v>
      </c>
      <c r="B10" s="101" t="n">
        <v>46258.52289494419</v>
      </c>
      <c r="C10" s="101" t="n">
        <v>-89533.91002060073</v>
      </c>
      <c r="D10" s="101" t="n">
        <v>-293.8406575215703</v>
      </c>
      <c r="E10" s="101" t="n">
        <v>5.083204412623901</v>
      </c>
      <c r="F10" s="101" t="n">
        <v>-0.1550500126386114</v>
      </c>
      <c r="G10" s="101" t="n">
        <v>-8276.562349743326</v>
      </c>
      <c r="H10" s="101" t="n">
        <v>46258.52289494419</v>
      </c>
      <c r="I10" s="101" t="n">
        <v>-89533.91002060073</v>
      </c>
      <c r="J10" s="101" t="n">
        <v>-293.8406575215703</v>
      </c>
      <c r="K10" s="101" t="n">
        <v>5.083204412623901</v>
      </c>
      <c r="L10" s="101" t="n">
        <v>-0.1550500126386114</v>
      </c>
      <c r="M10" s="101" t="n">
        <v>-8276.562349743326</v>
      </c>
      <c r="O10" s="99">
        <f>IFERROR(-GETPIVOTDATA("Sum of Total $Delta",$A$5,"Strike",$A10,"Maturity",$B$6)*0.1,0)</f>
        <v/>
      </c>
      <c r="P10" s="99">
        <f>IFERROR(GETPIVOTDATA("Sum of Total $Gamma",$A$5,"Strike",$A10,"Maturity",$B$6)*0.1*0.1,0)</f>
        <v/>
      </c>
      <c r="Q10" s="99">
        <f>IFERROR(GETPIVOTDATA("Sum of Total Vega 1%",$A$5,"Strike",$A10,"Maturity",$B$6)*10,0)</f>
        <v/>
      </c>
      <c r="R10" s="99">
        <f>IFERROR(GETPIVOTDATA("Sum of Total Volga",$A$5,"Strike",$A10,"Maturity",$B$6)*0.1*0.1*0.5,0)</f>
        <v/>
      </c>
      <c r="S10" s="99">
        <f>IFERROR(-GETPIVOTDATA("Sum of Total Vanna",$A$5,"Strike",$A10,"Maturity",$B$6)*0.1*10,0)</f>
        <v/>
      </c>
    </row>
    <row r="11">
      <c r="A11" s="3" t="n">
        <v>2905</v>
      </c>
      <c r="B11" s="101" t="n">
        <v>45515.0323890193</v>
      </c>
      <c r="C11" s="101" t="n">
        <v>-83880.53670635523</v>
      </c>
      <c r="D11" s="101" t="n">
        <v>-263.2392162069642</v>
      </c>
      <c r="E11" s="101" t="n">
        <v>1032.397136888878</v>
      </c>
      <c r="F11" s="101" t="n">
        <v>-64.79540151262134</v>
      </c>
      <c r="G11" s="101" t="n">
        <v>-7730.293535402689</v>
      </c>
      <c r="H11" s="101" t="n">
        <v>45515.0323890193</v>
      </c>
      <c r="I11" s="101" t="n">
        <v>-83880.53670635523</v>
      </c>
      <c r="J11" s="101" t="n">
        <v>-263.2392162069642</v>
      </c>
      <c r="K11" s="101" t="n">
        <v>1032.397136888878</v>
      </c>
      <c r="L11" s="101" t="n">
        <v>-64.79540151262134</v>
      </c>
      <c r="M11" s="101" t="n">
        <v>-7730.293535402689</v>
      </c>
      <c r="O11" s="99">
        <f>IFERROR(-GETPIVOTDATA("Sum of Total $Delta",$A$5,"Strike",$A11,"Maturity",$B$6)*0.1,0)</f>
        <v/>
      </c>
      <c r="P11" s="99">
        <f>IFERROR(GETPIVOTDATA("Sum of Total $Gamma",$A$5,"Strike",$A11,"Maturity",$B$6)*0.1*0.1,0)</f>
        <v/>
      </c>
      <c r="Q11" s="99">
        <f>IFERROR(GETPIVOTDATA("Sum of Total Vega 1%",$A$5,"Strike",$A11,"Maturity",$B$6)*10,0)</f>
        <v/>
      </c>
      <c r="R11" s="99">
        <f>IFERROR(GETPIVOTDATA("Sum of Total Volga",$A$5,"Strike",$A11,"Maturity",$B$6)*0.1*0.1*0.5,0)</f>
        <v/>
      </c>
      <c r="S11" s="99">
        <f>IFERROR(-GETPIVOTDATA("Sum of Total Vanna",$A$5,"Strike",$A11,"Maturity",$B$6)*0.1*10,0)</f>
        <v/>
      </c>
    </row>
    <row r="12">
      <c r="A12" s="3" t="n">
        <v>3079</v>
      </c>
      <c r="B12" s="101" t="n">
        <v>-63561.61032312416</v>
      </c>
      <c r="C12" s="101" t="n">
        <v>-126958.1397395013</v>
      </c>
      <c r="D12" s="101" t="n">
        <v>-374.7694369143697</v>
      </c>
      <c r="E12" s="101" t="n">
        <v>-5990.122707073638</v>
      </c>
      <c r="F12" s="101" t="n">
        <v>-310.0323693120034</v>
      </c>
      <c r="G12" s="101" t="n">
        <v>2105.227700854806</v>
      </c>
      <c r="H12" s="101" t="n">
        <v>-63561.61032312416</v>
      </c>
      <c r="I12" s="101" t="n">
        <v>-126958.1397395013</v>
      </c>
      <c r="J12" s="101" t="n">
        <v>-374.7694369143697</v>
      </c>
      <c r="K12" s="101" t="n">
        <v>-5990.122707073638</v>
      </c>
      <c r="L12" s="101" t="n">
        <v>-310.0323693120034</v>
      </c>
      <c r="M12" s="101" t="n">
        <v>2105.227700854806</v>
      </c>
      <c r="O12" s="99">
        <f>IFERROR(-GETPIVOTDATA("Sum of Total $Delta",$A$5,"Strike",$A12,"Maturity",$B$6)*0.1,0)</f>
        <v/>
      </c>
      <c r="P12" s="99">
        <f>IFERROR(GETPIVOTDATA("Sum of Total $Gamma",$A$5,"Strike",$A12,"Maturity",$B$6)*0.1*0.1,0)</f>
        <v/>
      </c>
      <c r="Q12" s="99">
        <f>IFERROR(GETPIVOTDATA("Sum of Total Vega 1%",$A$5,"Strike",$A12,"Maturity",$B$6)*10,0)</f>
        <v/>
      </c>
      <c r="R12" s="99">
        <f>IFERROR(GETPIVOTDATA("Sum of Total Volga",$A$5,"Strike",$A12,"Maturity",$B$6)*0.1*0.1*0.5,0)</f>
        <v/>
      </c>
      <c r="S12" s="99">
        <f>IFERROR(-GETPIVOTDATA("Sum of Total Vanna",$A$5,"Strike",$A12,"Maturity",$B$6)*0.1*10,0)</f>
        <v/>
      </c>
    </row>
    <row r="13">
      <c r="A13" s="3" t="n">
        <v>3166</v>
      </c>
      <c r="B13" s="101" t="n">
        <v>-11217.73831602829</v>
      </c>
      <c r="C13" s="101" t="n">
        <v>-25115.9456699528</v>
      </c>
      <c r="D13" s="101" t="n">
        <v>-72.85575905511904</v>
      </c>
      <c r="E13" s="101" t="n">
        <v>-3056.043632035626</v>
      </c>
      <c r="F13" s="101" t="n">
        <v>-82.78575167175704</v>
      </c>
      <c r="G13" s="101" t="n">
        <v>320.2312020723548</v>
      </c>
      <c r="H13" s="101" t="n">
        <v>-11217.73831602829</v>
      </c>
      <c r="I13" s="101" t="n">
        <v>-25115.9456699528</v>
      </c>
      <c r="J13" s="101" t="n">
        <v>-72.85575905511904</v>
      </c>
      <c r="K13" s="101" t="n">
        <v>-3056.043632035626</v>
      </c>
      <c r="L13" s="101" t="n">
        <v>-82.78575167175704</v>
      </c>
      <c r="M13" s="101" t="n">
        <v>320.2312020723548</v>
      </c>
      <c r="O13" s="99">
        <f>IFERROR(-GETPIVOTDATA("Sum of Total $Delta",$A$5,"Strike",$A13,"Maturity",$B$6)*0.1,0)</f>
        <v/>
      </c>
      <c r="P13" s="99">
        <f>IFERROR(GETPIVOTDATA("Sum of Total $Gamma",$A$5,"Strike",$A13,"Maturity",$B$6)*0.1*0.1,0)</f>
        <v/>
      </c>
      <c r="Q13" s="99">
        <f>IFERROR(GETPIVOTDATA("Sum of Total Vega 1%",$A$5,"Strike",$A13,"Maturity",$B$6)*10,0)</f>
        <v/>
      </c>
      <c r="R13" s="99">
        <f>IFERROR(GETPIVOTDATA("Sum of Total Volga",$A$5,"Strike",$A13,"Maturity",$B$6)*0.1*0.1*0.5,0)</f>
        <v/>
      </c>
      <c r="S13" s="99">
        <f>IFERROR(-GETPIVOTDATA("Sum of Total Vanna",$A$5,"Strike",$A13,"Maturity",$B$6)*0.1*10,0)</f>
        <v/>
      </c>
    </row>
    <row r="14">
      <c r="A14" s="3" t="n">
        <v>3254</v>
      </c>
      <c r="B14" s="101" t="n">
        <v>-19598.97864251432</v>
      </c>
      <c r="C14" s="101" t="n">
        <v>-48505.03542582811</v>
      </c>
      <c r="D14" s="101" t="n">
        <v>-139.2569553685497</v>
      </c>
      <c r="E14" s="101" t="n">
        <v>-10910.75565886585</v>
      </c>
      <c r="F14" s="101" t="n">
        <v>-201.1673593838018</v>
      </c>
      <c r="G14" s="101" t="n">
        <v>470.8494129932046</v>
      </c>
      <c r="H14" s="101" t="n">
        <v>-19598.97864251432</v>
      </c>
      <c r="I14" s="101" t="n">
        <v>-48505.03542582811</v>
      </c>
      <c r="J14" s="101" t="n">
        <v>-139.2569553685497</v>
      </c>
      <c r="K14" s="101" t="n">
        <v>-10910.75565886585</v>
      </c>
      <c r="L14" s="101" t="n">
        <v>-201.1673593838018</v>
      </c>
      <c r="M14" s="101" t="n">
        <v>470.8494129932046</v>
      </c>
      <c r="O14" s="99">
        <f>IFERROR(-GETPIVOTDATA("Sum of Total $Delta",$A$5,"Strike",$A14,"Maturity",$B$6)*0.1,0)</f>
        <v/>
      </c>
      <c r="P14" s="99">
        <f>IFERROR(GETPIVOTDATA("Sum of Total $Gamma",$A$5,"Strike",$A14,"Maturity",$B$6)*0.1*0.1,0)</f>
        <v/>
      </c>
      <c r="Q14" s="99">
        <f>IFERROR(GETPIVOTDATA("Sum of Total Vega 1%",$A$5,"Strike",$A14,"Maturity",$B$6)*10,0)</f>
        <v/>
      </c>
      <c r="R14" s="99">
        <f>IFERROR(GETPIVOTDATA("Sum of Total Volga",$A$5,"Strike",$A14,"Maturity",$B$6)*0.1*0.1*0.5,0)</f>
        <v/>
      </c>
      <c r="S14" s="99">
        <f>IFERROR(-GETPIVOTDATA("Sum of Total Vanna",$A$5,"Strike",$A14,"Maturity",$B$6)*0.1*10,0)</f>
        <v/>
      </c>
    </row>
    <row r="15">
      <c r="A15" s="3" t="n">
        <v>3341</v>
      </c>
      <c r="B15" s="101" t="n">
        <v>-17043.9151454587</v>
      </c>
      <c r="C15" s="101" t="n">
        <v>-45926.28646735758</v>
      </c>
      <c r="D15" s="101" t="n">
        <v>-131.2881834636879</v>
      </c>
      <c r="E15" s="101" t="n">
        <v>-16110.07808799056</v>
      </c>
      <c r="F15" s="101" t="n">
        <v>-227.9401889455762</v>
      </c>
      <c r="G15" s="101" t="n">
        <v>335.2818422391601</v>
      </c>
      <c r="H15" s="101" t="n">
        <v>-17043.9151454587</v>
      </c>
      <c r="I15" s="101" t="n">
        <v>-45926.28646735758</v>
      </c>
      <c r="J15" s="101" t="n">
        <v>-131.2881834636879</v>
      </c>
      <c r="K15" s="101" t="n">
        <v>-16110.07808799056</v>
      </c>
      <c r="L15" s="101" t="n">
        <v>-227.9401889455762</v>
      </c>
      <c r="M15" s="101" t="n">
        <v>335.2818422391601</v>
      </c>
      <c r="O15" s="99">
        <f>IFERROR(-GETPIVOTDATA("Sum of Total $Delta",$A$5,"Strike",$A15,"Maturity",$B$6)*0.1,0)</f>
        <v/>
      </c>
      <c r="P15" s="99">
        <f>IFERROR(GETPIVOTDATA("Sum of Total $Gamma",$A$5,"Strike",$A15,"Maturity",$B$6)*0.1*0.1,0)</f>
        <v/>
      </c>
      <c r="Q15" s="99">
        <f>IFERROR(GETPIVOTDATA("Sum of Total Vega 1%",$A$5,"Strike",$A15,"Maturity",$B$6)*10,0)</f>
        <v/>
      </c>
      <c r="R15" s="99">
        <f>IFERROR(GETPIVOTDATA("Sum of Total Volga",$A$5,"Strike",$A15,"Maturity",$B$6)*0.1*0.1*0.5,0)</f>
        <v/>
      </c>
      <c r="S15" s="99">
        <f>IFERROR(-GETPIVOTDATA("Sum of Total Vanna",$A$5,"Strike",$A15,"Maturity",$B$6)*0.1*10,0)</f>
        <v/>
      </c>
    </row>
    <row r="16">
      <c r="A16" s="3" t="n">
        <v>3428</v>
      </c>
      <c r="B16" s="101" t="n">
        <v>14766.70698798686</v>
      </c>
      <c r="C16" s="101" t="n">
        <v>42789.58127639294</v>
      </c>
      <c r="D16" s="101" t="n">
        <v>122.3614222518904</v>
      </c>
      <c r="E16" s="101" t="n">
        <v>21217.69756705152</v>
      </c>
      <c r="F16" s="101" t="n">
        <v>245.8357726585124</v>
      </c>
      <c r="G16" s="101" t="n">
        <v>-227.9848814087006</v>
      </c>
      <c r="H16" s="101" t="n">
        <v>14766.70698798686</v>
      </c>
      <c r="I16" s="101" t="n">
        <v>42789.58127639294</v>
      </c>
      <c r="J16" s="101" t="n">
        <v>122.3614222518904</v>
      </c>
      <c r="K16" s="101" t="n">
        <v>21217.69756705152</v>
      </c>
      <c r="L16" s="101" t="n">
        <v>245.8357726585124</v>
      </c>
      <c r="M16" s="101" t="n">
        <v>-227.9848814087006</v>
      </c>
      <c r="O16" s="99">
        <f>IFERROR(-GETPIVOTDATA("Sum of Total $Delta",$A$5,"Strike",$A16,"Maturity",$B$6)*0.1,0)</f>
        <v/>
      </c>
      <c r="P16" s="99">
        <f>IFERROR(GETPIVOTDATA("Sum of Total $Gamma",$A$5,"Strike",$A16,"Maturity",$B$6)*0.1*0.1,0)</f>
        <v/>
      </c>
      <c r="Q16" s="99">
        <f>IFERROR(GETPIVOTDATA("Sum of Total Vega 1%",$A$5,"Strike",$A16,"Maturity",$B$6)*10,0)</f>
        <v/>
      </c>
      <c r="R16" s="99">
        <f>IFERROR(GETPIVOTDATA("Sum of Total Volga",$A$5,"Strike",$A16,"Maturity",$B$6)*0.1*0.1*0.5,0)</f>
        <v/>
      </c>
      <c r="S16" s="99">
        <f>IFERROR(-GETPIVOTDATA("Sum of Total Vanna",$A$5,"Strike",$A16,"Maturity",$B$6)*0.1*10,0)</f>
        <v/>
      </c>
    </row>
    <row r="17" ht="13.15" customHeight="1">
      <c r="A17" s="3" t="inlineStr">
        <is>
          <t>Grand Total</t>
        </is>
      </c>
      <c r="B17" s="101" t="n">
        <v>-12119.55509055052</v>
      </c>
      <c r="C17" s="101" t="n">
        <v>-362793.164957881</v>
      </c>
      <c r="D17" s="101" t="n">
        <v>-1092.344762906801</v>
      </c>
      <c r="E17" s="101" t="n">
        <v>-10886.42265298354</v>
      </c>
      <c r="F17" s="101" t="n">
        <v>-674.1349041140001</v>
      </c>
      <c r="G17" s="101" t="n">
        <v>-11477.6844352395</v>
      </c>
      <c r="H17" s="101" t="n">
        <v>-12119.55509055052</v>
      </c>
      <c r="I17" s="101" t="n">
        <v>-362793.164957881</v>
      </c>
      <c r="J17" s="101" t="n">
        <v>-1092.344762906801</v>
      </c>
      <c r="K17" s="101" t="n">
        <v>-10886.42265298354</v>
      </c>
      <c r="L17" s="101" t="n">
        <v>-674.1349041140001</v>
      </c>
      <c r="M17" s="101" t="n">
        <v>-11477.6844352395</v>
      </c>
      <c r="O17" s="100" t="inlineStr">
        <is>
          <t>Grand Total</t>
        </is>
      </c>
      <c r="P17" s="100" t="n"/>
      <c r="Q17" s="100" t="n"/>
      <c r="R17" s="100" t="n"/>
      <c r="S17" s="100" t="n"/>
    </row>
    <row r="23" ht="13.15" customHeight="1">
      <c r="C23" s="97" t="n"/>
      <c r="D23" s="97" t="n"/>
    </row>
    <row r="24" ht="13.15" customHeight="1">
      <c r="C24" s="97" t="inlineStr">
        <is>
          <t>Total P&amp;L</t>
        </is>
      </c>
      <c r="D24" s="97" t="inlineStr">
        <is>
          <t>Higher order error</t>
        </is>
      </c>
    </row>
    <row r="25" ht="13.15" customHeight="1">
      <c r="C25" s="98" t="inlineStr">
        <is>
          <t>Sum of Und -10%, ImpVol 10%</t>
        </is>
      </c>
      <c r="D25" s="98" t="inlineStr">
        <is>
          <t>Sum of Und -10%, ImpVol 10%</t>
        </is>
      </c>
    </row>
    <row r="26">
      <c r="C26" s="99">
        <f>SUM(O8:S8)</f>
        <v/>
      </c>
      <c r="D26" s="99">
        <f>IFERROR(GETPIVOTDATA("Sum of Und -10%, ImpVol 10%",$A$5,"Strike",A8,"Maturity",$B$6)-C26,0)</f>
        <v/>
      </c>
    </row>
    <row r="27">
      <c r="C27" s="99">
        <f>SUM(O9:S9)</f>
        <v/>
      </c>
      <c r="D27" s="99">
        <f>IFERROR(GETPIVOTDATA("Sum of Und -10%, ImpVol 10%",$A$5,"Strike",A9,"Maturity",$B$6)-C27,0)</f>
        <v/>
      </c>
    </row>
    <row r="28">
      <c r="C28" s="99">
        <f>SUM(O10:S10)</f>
        <v/>
      </c>
      <c r="D28" s="99">
        <f>IFERROR(GETPIVOTDATA("Sum of Und -10%, ImpVol 10%",$A$5,"Strike",A10,"Maturity",$B$6)-C28,0)</f>
        <v/>
      </c>
    </row>
    <row r="29">
      <c r="C29" s="99">
        <f>SUM(O11:S11)</f>
        <v/>
      </c>
      <c r="D29" s="99">
        <f>IFERROR(GETPIVOTDATA("Sum of Und -10%, ImpVol 10%",$A$5,"Strike",A11,"Maturity",$B$6)-C29,0)</f>
        <v/>
      </c>
    </row>
    <row r="30">
      <c r="C30" s="99">
        <f>SUM(O12:S12)</f>
        <v/>
      </c>
      <c r="D30" s="99">
        <f>IFERROR(GETPIVOTDATA("Sum of Und -10%, ImpVol 10%",$A$5,"Strike",A12,"Maturity",$B$6)-C30,0)</f>
        <v/>
      </c>
    </row>
    <row r="31">
      <c r="C31" s="99">
        <f>SUM(O13:S13)</f>
        <v/>
      </c>
      <c r="D31" s="99">
        <f>IFERROR(GETPIVOTDATA("Sum of Und -10%, ImpVol 10%",$A$5,"Strike",A13,"Maturity",$B$6)-C31,0)</f>
        <v/>
      </c>
    </row>
    <row r="32">
      <c r="C32" s="99">
        <f>SUM(O14:S14)</f>
        <v/>
      </c>
      <c r="D32" s="99">
        <f>IFERROR(GETPIVOTDATA("Sum of Und -10%, ImpVol 10%",$A$5,"Strike",A14,"Maturity",$B$6)-C32,0)</f>
        <v/>
      </c>
    </row>
    <row r="33">
      <c r="C33" s="99">
        <f>SUM(O15:S15)</f>
        <v/>
      </c>
      <c r="D33" s="99">
        <f>IFERROR(GETPIVOTDATA("Sum of Und -10%, ImpVol 10%",$A$5,"Strike",A15,"Maturity",$B$6)-C33,0)</f>
        <v/>
      </c>
    </row>
    <row r="34">
      <c r="C34" s="99">
        <f>SUM(O16:S16)</f>
        <v/>
      </c>
      <c r="D34" s="99">
        <f>IFERROR(GETPIVOTDATA("Sum of Und -10%, ImpVol 10%",$A$5,"Strike",A16,"Maturity",$B$6)-C34,0)</f>
        <v/>
      </c>
    </row>
    <row r="35" ht="13.15" customHeight="1">
      <c r="C35" s="100" t="n"/>
      <c r="D35" s="100">
        <f>SUM(D27:D34)</f>
        <v/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>
  <sheetPr codeName="Sheet1">
    <outlinePr summaryBelow="1" summaryRight="1"/>
    <pageSetUpPr/>
  </sheetPr>
  <dimension ref="A1:CN88"/>
  <sheetViews>
    <sheetView showGridLines="0" workbookViewId="0">
      <pane xSplit="1" ySplit="4" topLeftCell="Z5" activePane="bottomRight" state="frozen"/>
      <selection pane="topRight" activeCell="B1" sqref="B1"/>
      <selection pane="bottomLeft" activeCell="A5" sqref="A5"/>
      <selection pane="bottomRight" activeCell="Z4" sqref="Z4"/>
    </sheetView>
  </sheetViews>
  <sheetFormatPr baseColWidth="8" defaultRowHeight="12.75"/>
  <cols>
    <col width="11" bestFit="1" customWidth="1" min="1" max="1"/>
    <col width="14" bestFit="1" customWidth="1" style="4" min="2" max="2"/>
    <col width="8" bestFit="1" customWidth="1" style="46" min="3" max="3"/>
    <col width="11.73046875" bestFit="1" customWidth="1" min="4" max="4"/>
    <col width="8.265625" bestFit="1" customWidth="1" min="5" max="5"/>
    <col width="7.3984375" bestFit="1" customWidth="1" min="6" max="6"/>
    <col width="6" bestFit="1" customWidth="1" style="4" min="7" max="7"/>
    <col width="6.3984375" bestFit="1" customWidth="1" min="8" max="8"/>
    <col width="9.3984375" bestFit="1" customWidth="1" style="6" min="9" max="9"/>
    <col width="7.3984375" bestFit="1" customWidth="1" style="52" min="10" max="10"/>
    <col width="12.3984375" bestFit="1" customWidth="1" style="28" min="11" max="11"/>
    <col width="11.86328125" bestFit="1" customWidth="1" style="55" min="12" max="12"/>
    <col width="16.73046875" bestFit="1" customWidth="1" style="55" min="13" max="13"/>
    <col width="14.86328125" bestFit="1" customWidth="1" min="14" max="14"/>
    <col width="6.3984375" bestFit="1" customWidth="1" min="15" max="15"/>
    <col width="10.1328125" bestFit="1" customWidth="1" style="60" min="16" max="16"/>
    <col width="10.1328125" customWidth="1" style="60" min="17" max="17"/>
    <col width="7.59765625" bestFit="1" customWidth="1" style="56" min="18" max="18"/>
    <col width="7.59765625" customWidth="1" style="58" min="19" max="19"/>
    <col width="9.86328125" bestFit="1" customWidth="1" style="58" min="20" max="20"/>
    <col width="7.73046875" bestFit="1" customWidth="1" style="2" min="21" max="21"/>
    <col width="11.1328125" bestFit="1" customWidth="1" style="59" min="22" max="22"/>
    <col width="11.1328125" customWidth="1" style="59" min="23" max="23"/>
    <col width="11.86328125" bestFit="1" customWidth="1" style="78" min="24" max="24"/>
    <col width="9.73046875" bestFit="1" customWidth="1" style="78" min="25" max="25"/>
    <col width="14.265625" bestFit="1" customWidth="1" style="78" min="26" max="26"/>
    <col width="12" bestFit="1" customWidth="1" style="78" min="27" max="27"/>
    <col width="14" bestFit="1" customWidth="1" min="28" max="28"/>
    <col width="13.59765625" bestFit="1" customWidth="1" min="29" max="29"/>
    <col width="12.59765625" bestFit="1" customWidth="1" min="30" max="30"/>
    <col width="13.3984375" bestFit="1" customWidth="1" min="31" max="33"/>
    <col width="14.265625" bestFit="1" customWidth="1" min="34" max="35"/>
    <col width="14" bestFit="1" customWidth="1" min="36" max="36"/>
    <col width="13.59765625" bestFit="1" customWidth="1" min="37" max="37"/>
    <col width="12.59765625" bestFit="1" customWidth="1" min="38" max="38"/>
    <col width="13.3984375" bestFit="1" customWidth="1" min="39" max="41"/>
    <col width="14.265625" bestFit="1" customWidth="1" min="42" max="43"/>
    <col width="23.37" customWidth="1" min="44" max="92"/>
    <col width="23.37" customWidth="1" min="45" max="45"/>
    <col width="23.37" customWidth="1" min="46" max="46"/>
    <col width="23.37" customWidth="1" min="47" max="47"/>
    <col width="23.37" customWidth="1" min="48" max="48"/>
    <col width="23.37" customWidth="1" min="49" max="49"/>
    <col width="23.37" customWidth="1" min="50" max="50"/>
    <col width="23.37" customWidth="1" min="51" max="51"/>
    <col width="23.37" customWidth="1" min="52" max="52"/>
    <col width="23.37" customWidth="1" min="53" max="53"/>
    <col width="23.37" customWidth="1" min="54" max="54"/>
    <col width="23.37" customWidth="1" min="55" max="55"/>
    <col width="23.37" customWidth="1" min="56" max="56"/>
    <col width="23.37" customWidth="1" min="57" max="57"/>
    <col width="23.37" customWidth="1" min="58" max="58"/>
    <col width="23.37" customWidth="1" min="59" max="59"/>
    <col width="23.37" customWidth="1" min="60" max="60"/>
    <col width="23.37" customWidth="1" min="61" max="61"/>
    <col width="23.37" customWidth="1" min="62" max="62"/>
    <col width="23.37" customWidth="1" min="63" max="63"/>
    <col width="23.37" customWidth="1" min="64" max="64"/>
    <col width="23.37" customWidth="1" min="65" max="65"/>
    <col width="23.37" customWidth="1" min="66" max="66"/>
    <col width="23.37" customWidth="1" min="67" max="67"/>
    <col width="23.37" customWidth="1" min="68" max="68"/>
    <col width="23.37" customWidth="1" min="69" max="69"/>
    <col width="23.37" customWidth="1" min="70" max="70"/>
    <col width="23.37" customWidth="1" min="71" max="71"/>
    <col width="23.37" customWidth="1" min="72" max="72"/>
    <col width="23.37" customWidth="1" min="73" max="73"/>
    <col width="23.37" customWidth="1" min="74" max="74"/>
    <col width="23.37" customWidth="1" min="75" max="75"/>
    <col width="23.37" customWidth="1" min="76" max="76"/>
    <col width="23.37" customWidth="1" min="77" max="77"/>
    <col width="23.37" customWidth="1" min="78" max="78"/>
    <col width="23.37" customWidth="1" min="79" max="79"/>
    <col width="23.37" customWidth="1" min="80" max="80"/>
    <col width="23.37" customWidth="1" min="81" max="81"/>
    <col width="23.37" customWidth="1" min="82" max="82"/>
    <col width="23.37" customWidth="1" min="83" max="83"/>
    <col width="23.37" customWidth="1" min="84" max="84"/>
    <col width="23.37" customWidth="1" min="85" max="85"/>
    <col width="23.37" customWidth="1" min="86" max="86"/>
    <col width="23.37" customWidth="1" min="87" max="87"/>
    <col width="23.37" customWidth="1" min="88" max="88"/>
    <col width="23.37" customWidth="1" min="89" max="89"/>
    <col width="23.37" customWidth="1" min="90" max="90"/>
    <col width="23.37" customWidth="1" min="91" max="91"/>
    <col width="23.37" customWidth="1" min="92" max="92"/>
  </cols>
  <sheetData>
    <row r="1" ht="13.5" customHeight="1" thickBot="1">
      <c r="A1" s="8" t="inlineStr">
        <is>
          <t>Value Date</t>
        </is>
      </c>
      <c r="B1" s="7" t="n">
        <v>40188</v>
      </c>
      <c r="L1" s="2" t="n"/>
      <c r="M1" s="2" t="n"/>
    </row>
    <row r="2" ht="13.15" customHeight="1" thickBot="1">
      <c r="L2" s="2" t="n"/>
      <c r="M2" s="2" t="n"/>
    </row>
    <row r="3" ht="15.4" customHeight="1" thickBot="1">
      <c r="AB3" s="102" t="inlineStr">
        <is>
          <t>Underlying Stress P&amp;L's</t>
        </is>
      </c>
      <c r="AC3" s="103" t="n"/>
      <c r="AD3" s="103" t="n"/>
      <c r="AE3" s="103" t="n"/>
      <c r="AF3" s="103" t="n"/>
      <c r="AG3" s="103" t="n"/>
      <c r="AH3" s="103" t="n"/>
      <c r="AI3" s="104" t="n"/>
      <c r="AJ3" s="102" t="inlineStr">
        <is>
          <t>Volatility Stress P&amp;L's</t>
        </is>
      </c>
      <c r="AK3" s="103" t="n"/>
      <c r="AL3" s="103" t="n"/>
      <c r="AM3" s="103" t="n"/>
      <c r="AN3" s="103" t="n"/>
      <c r="AO3" s="103" t="n"/>
      <c r="AP3" s="103" t="n"/>
      <c r="AQ3" s="104" t="n"/>
    </row>
    <row r="4" ht="10.5" customFormat="1" customHeight="1" s="21" thickBot="1">
      <c r="A4" s="22" t="inlineStr">
        <is>
          <t>Underlying</t>
        </is>
      </c>
      <c r="B4" s="21" t="inlineStr">
        <is>
          <t>Underlying Price</t>
        </is>
      </c>
      <c r="C4" s="53" t="inlineStr">
        <is>
          <t>Div. Yield</t>
        </is>
      </c>
      <c r="D4" s="21" t="inlineStr">
        <is>
          <t>Security Type</t>
        </is>
      </c>
      <c r="E4" s="21" t="inlineStr">
        <is>
          <t>Currency</t>
        </is>
      </c>
      <c r="F4" s="21" t="inlineStr">
        <is>
          <t>Position</t>
        </is>
      </c>
      <c r="G4" s="21" t="inlineStr">
        <is>
          <t>Strike</t>
        </is>
      </c>
      <c r="H4" s="21" t="inlineStr">
        <is>
          <t>CallPut</t>
        </is>
      </c>
      <c r="I4" s="23" t="inlineStr">
        <is>
          <t>Maturity</t>
        </is>
      </c>
      <c r="J4" s="53" t="inlineStr">
        <is>
          <t>Imp. Vol</t>
        </is>
      </c>
      <c r="K4" s="29" t="inlineStr">
        <is>
          <t>Risk-Free Rate</t>
        </is>
      </c>
      <c r="L4" s="54" t="inlineStr">
        <is>
          <t>Security Price</t>
        </is>
      </c>
      <c r="M4" s="54" t="inlineStr">
        <is>
          <t>Total Position Value</t>
        </is>
      </c>
      <c r="N4" s="21" t="inlineStr">
        <is>
          <t>CounterParty</t>
        </is>
      </c>
      <c r="O4" s="21" t="inlineStr">
        <is>
          <t>Margin</t>
        </is>
      </c>
      <c r="P4" s="61" t="inlineStr">
        <is>
          <t>$Delta (ESP)</t>
        </is>
      </c>
      <c r="Q4" s="61" t="inlineStr">
        <is>
          <t>$Gamma</t>
        </is>
      </c>
      <c r="R4" s="57" t="inlineStr">
        <is>
          <t>Vega 1%</t>
        </is>
      </c>
      <c r="S4" s="57" t="inlineStr">
        <is>
          <t>Volga</t>
        </is>
      </c>
      <c r="T4" s="57" t="inlineStr">
        <is>
          <t>Vanna</t>
        </is>
      </c>
      <c r="U4" s="54" t="inlineStr">
        <is>
          <t>Rho (1%)</t>
        </is>
      </c>
      <c r="V4" s="64" t="inlineStr">
        <is>
          <t>Total $Delta</t>
        </is>
      </c>
      <c r="W4" s="64" t="inlineStr">
        <is>
          <t>Total $Gamma</t>
        </is>
      </c>
      <c r="X4" s="79" t="inlineStr">
        <is>
          <t>Total Vega 1%</t>
        </is>
      </c>
      <c r="Y4" s="79" t="inlineStr">
        <is>
          <t>Total Volga</t>
        </is>
      </c>
      <c r="Z4" s="79" t="inlineStr">
        <is>
          <t>Total Vanna</t>
        </is>
      </c>
      <c r="AA4" s="79" t="inlineStr">
        <is>
          <t>Total Rho (1%)</t>
        </is>
      </c>
      <c r="AB4" s="89" t="inlineStr">
        <is>
          <t>PnL: Und  -20%</t>
        </is>
      </c>
      <c r="AC4" s="90" t="inlineStr">
        <is>
          <t>PnL: Und -10%</t>
        </is>
      </c>
      <c r="AD4" s="90" t="inlineStr">
        <is>
          <t>PnL: Und -5%</t>
        </is>
      </c>
      <c r="AE4" s="90" t="inlineStr">
        <is>
          <t>PnL: Und -2%</t>
        </is>
      </c>
      <c r="AF4" s="90" t="inlineStr">
        <is>
          <t>PnL: Und +2%</t>
        </is>
      </c>
      <c r="AG4" s="90" t="inlineStr">
        <is>
          <t>PnL: Und +5%</t>
        </is>
      </c>
      <c r="AH4" s="90" t="inlineStr">
        <is>
          <t>PnL: Und +10%</t>
        </is>
      </c>
      <c r="AI4" s="91" t="inlineStr">
        <is>
          <t>PnL: Und +20%</t>
        </is>
      </c>
      <c r="AJ4" s="89" t="inlineStr">
        <is>
          <t>ImpVol  -10%</t>
        </is>
      </c>
      <c r="AK4" s="90" t="inlineStr">
        <is>
          <t>ImpVol  -5%</t>
        </is>
      </c>
      <c r="AL4" s="90" t="inlineStr">
        <is>
          <t>ImpVol  -2%</t>
        </is>
      </c>
      <c r="AM4" s="90" t="inlineStr">
        <is>
          <t>ImpVol  -1%</t>
        </is>
      </c>
      <c r="AN4" s="90" t="inlineStr">
        <is>
          <t>ImpVol  +1%</t>
        </is>
      </c>
      <c r="AO4" s="90" t="inlineStr">
        <is>
          <t>ImpVol  +2%</t>
        </is>
      </c>
      <c r="AP4" s="90" t="inlineStr">
        <is>
          <t>ImpVol  +5%</t>
        </is>
      </c>
      <c r="AQ4" s="91" t="inlineStr">
        <is>
          <t>ImpVol  +10%</t>
        </is>
      </c>
      <c r="AR4" s="4" t="inlineStr">
        <is>
          <t>Und -20%, ImpVol -5%</t>
        </is>
      </c>
      <c r="AS4" s="4" t="inlineStr">
        <is>
          <t>Und -20%, ImpVol -2%</t>
        </is>
      </c>
      <c r="AT4" s="4" t="inlineStr">
        <is>
          <t>Und -20%, ImpVol 0%</t>
        </is>
      </c>
      <c r="AU4" s="4" t="inlineStr">
        <is>
          <t>Und -20%, ImpVol 2%</t>
        </is>
      </c>
      <c r="AV4" s="4" t="inlineStr">
        <is>
          <t>Und -20%, ImpVol 5%</t>
        </is>
      </c>
      <c r="AW4" s="4" t="inlineStr">
        <is>
          <t>Und -20%, ImpVol 10%</t>
        </is>
      </c>
      <c r="AX4" s="4" t="inlineStr">
        <is>
          <t>Und -20%, ImpVol 20%</t>
        </is>
      </c>
      <c r="AY4" s="4" t="inlineStr">
        <is>
          <t>Und -10%, ImpVol -5%</t>
        </is>
      </c>
      <c r="AZ4" s="4" t="inlineStr">
        <is>
          <t>Und -10%, ImpVol -2%</t>
        </is>
      </c>
      <c r="BA4" s="4" t="inlineStr">
        <is>
          <t>Und -10%, ImpVol 0%</t>
        </is>
      </c>
      <c r="BB4" s="4" t="inlineStr">
        <is>
          <t>Und -10%, ImpVol 2%</t>
        </is>
      </c>
      <c r="BC4" s="4" t="inlineStr">
        <is>
          <t>Und -10%, ImpVol 5%</t>
        </is>
      </c>
      <c r="BD4" s="4" t="inlineStr">
        <is>
          <t>Und -10%, ImpVol 10%</t>
        </is>
      </c>
      <c r="BE4" s="4" t="inlineStr">
        <is>
          <t>Und -10%, ImpVol 20%</t>
        </is>
      </c>
      <c r="BF4" s="4" t="inlineStr">
        <is>
          <t>Und -5%, ImpVol -5%</t>
        </is>
      </c>
      <c r="BG4" s="4" t="inlineStr">
        <is>
          <t>Und -5%, ImpVol -2%</t>
        </is>
      </c>
      <c r="BH4" s="4" t="inlineStr">
        <is>
          <t>Und -5%, ImpVol 0%</t>
        </is>
      </c>
      <c r="BI4" s="4" t="inlineStr">
        <is>
          <t>Und -5%, ImpVol 2%</t>
        </is>
      </c>
      <c r="BJ4" s="4" t="inlineStr">
        <is>
          <t>Und -5%, ImpVol 5%</t>
        </is>
      </c>
      <c r="BK4" s="4" t="inlineStr">
        <is>
          <t>Und -5%, ImpVol 10%</t>
        </is>
      </c>
      <c r="BL4" s="4" t="inlineStr">
        <is>
          <t>Und -5%, ImpVol 20%</t>
        </is>
      </c>
      <c r="BM4" s="4" t="inlineStr">
        <is>
          <t>Und 0%, ImpVol -5%</t>
        </is>
      </c>
      <c r="BN4" s="4" t="inlineStr">
        <is>
          <t>Und 0%, ImpVol -2%</t>
        </is>
      </c>
      <c r="BO4" s="4" t="inlineStr">
        <is>
          <t>Und 0%, ImpVol 0%</t>
        </is>
      </c>
      <c r="BP4" s="4" t="inlineStr">
        <is>
          <t>Und 0%, ImpVol 2%</t>
        </is>
      </c>
      <c r="BQ4" s="4" t="inlineStr">
        <is>
          <t>Und 0%, ImpVol 5%</t>
        </is>
      </c>
      <c r="BR4" s="4" t="inlineStr">
        <is>
          <t>Und 0%, ImpVol 10%</t>
        </is>
      </c>
      <c r="BS4" s="4" t="inlineStr">
        <is>
          <t>Und 0%, ImpVol 20%</t>
        </is>
      </c>
      <c r="BT4" s="4" t="inlineStr">
        <is>
          <t>Und 5%, ImpVol -5%</t>
        </is>
      </c>
      <c r="BU4" s="4" t="inlineStr">
        <is>
          <t>Und 5%, ImpVol -2%</t>
        </is>
      </c>
      <c r="BV4" s="4" t="inlineStr">
        <is>
          <t>Und 5%, ImpVol 0%</t>
        </is>
      </c>
      <c r="BW4" s="4" t="inlineStr">
        <is>
          <t>Und 5%, ImpVol 2%</t>
        </is>
      </c>
      <c r="BX4" s="4" t="inlineStr">
        <is>
          <t>Und 5%, ImpVol 5%</t>
        </is>
      </c>
      <c r="BY4" s="4" t="inlineStr">
        <is>
          <t>Und 5%, ImpVol 10%</t>
        </is>
      </c>
      <c r="BZ4" s="4" t="inlineStr">
        <is>
          <t>Und 5%, ImpVol 20%</t>
        </is>
      </c>
      <c r="CA4" s="4" t="inlineStr">
        <is>
          <t>Und 10%, ImpVol -5%</t>
        </is>
      </c>
      <c r="CB4" s="4" t="inlineStr">
        <is>
          <t>Und 10%, ImpVol -2%</t>
        </is>
      </c>
      <c r="CC4" s="4" t="inlineStr">
        <is>
          <t>Und 10%, ImpVol 0%</t>
        </is>
      </c>
      <c r="CD4" s="4" t="inlineStr">
        <is>
          <t>Und 10%, ImpVol 2%</t>
        </is>
      </c>
      <c r="CE4" s="4" t="inlineStr">
        <is>
          <t>Und 10%, ImpVol 5%</t>
        </is>
      </c>
      <c r="CF4" s="4" t="inlineStr">
        <is>
          <t>Und 10%, ImpVol 10%</t>
        </is>
      </c>
      <c r="CG4" s="4" t="inlineStr">
        <is>
          <t>Und 10%, ImpVol 20%</t>
        </is>
      </c>
      <c r="CH4" s="4" t="inlineStr">
        <is>
          <t>Und 20%, ImpVol -5%</t>
        </is>
      </c>
      <c r="CI4" s="4" t="inlineStr">
        <is>
          <t>Und 20%, ImpVol -2%</t>
        </is>
      </c>
      <c r="CJ4" s="4" t="inlineStr">
        <is>
          <t>Und 20%, ImpVol 0%</t>
        </is>
      </c>
      <c r="CK4" s="4" t="inlineStr">
        <is>
          <t>Und 20%, ImpVol 2%</t>
        </is>
      </c>
      <c r="CL4" s="4" t="inlineStr">
        <is>
          <t>Und 20%, ImpVol 5%</t>
        </is>
      </c>
      <c r="CM4" s="4" t="inlineStr">
        <is>
          <t>Und 20%, ImpVol 10%</t>
        </is>
      </c>
      <c r="CN4" s="4" t="inlineStr">
        <is>
          <t>Und 20%, ImpVol 20%</t>
        </is>
      </c>
    </row>
    <row r="5">
      <c r="A5" s="3" t="inlineStr">
        <is>
          <t>SPX Index</t>
        </is>
      </c>
      <c r="B5" s="4">
        <f>VLOOKUP(A5,PriceData!$K$4:$L$6,2,FALSE)</f>
        <v/>
      </c>
      <c r="C5" s="46">
        <f>VLOOKUP(A5,PriceData!$K$4:$M$6,3,FALSE)</f>
        <v/>
      </c>
      <c r="D5" s="4" t="inlineStr">
        <is>
          <t>Future</t>
        </is>
      </c>
      <c r="E5" s="4" t="inlineStr">
        <is>
          <t>USD</t>
        </is>
      </c>
      <c r="F5" s="4" t="n">
        <v>25</v>
      </c>
      <c r="H5" s="4" t="n"/>
      <c r="I5" s="5" t="n">
        <v>40256</v>
      </c>
      <c r="J5" s="46">
        <f>FindImpliedVol(A5, D5, G5, I5)</f>
        <v/>
      </c>
      <c r="K5" s="30" t="n"/>
      <c r="L5" s="2">
        <f>BSPrice($B5,$J5, $K5, $C5, ($I5-$B$1)/365, $G5, $H5, $D5)</f>
        <v/>
      </c>
      <c r="M5" s="2">
        <f>F5*L5</f>
        <v/>
      </c>
      <c r="N5" s="4" t="inlineStr">
        <is>
          <t>Exch</t>
        </is>
      </c>
      <c r="O5" s="4" t="n"/>
      <c r="P5" s="60">
        <f>BSDelta(B5, J5, K5, C5, (I5-$B$1)/365, G5, H5, D5)</f>
        <v/>
      </c>
      <c r="Q5" s="60">
        <f>BSGamma(B5, J5, K5, C5, (I5-$B$1)/365, G5, D5)</f>
        <v/>
      </c>
      <c r="R5" s="58">
        <f>BSVega(B5, J5, K5, C5, (I5-$B$1)/365,G5, D5)</f>
        <v/>
      </c>
      <c r="S5" s="58">
        <f>BSVolga(B5, J5, K5, C5, (I5-$B$1)/365,G5, D5)</f>
        <v/>
      </c>
      <c r="T5" s="58">
        <f>BSVanna(B5,J5,K5, C5, (I5-$B$1)/365, G5, D5)</f>
        <v/>
      </c>
      <c r="U5" s="2">
        <f>BSRho(B5, J5, K5, C5, (I5-$B$1)/365, G5, H5, D5)</f>
        <v/>
      </c>
      <c r="V5" s="65">
        <f>$F5*$P5</f>
        <v/>
      </c>
      <c r="W5" s="65">
        <f>$F5*$Q5</f>
        <v/>
      </c>
      <c r="X5" s="78">
        <f>$F5*R5</f>
        <v/>
      </c>
      <c r="Y5" s="78">
        <f>$F5*S5</f>
        <v/>
      </c>
      <c r="Z5" s="78">
        <f>$F5*T5</f>
        <v/>
      </c>
      <c r="AA5" s="78">
        <f>$F5*U5</f>
        <v/>
      </c>
      <c r="AB5" s="78">
        <f>(BSPrice($B5*0.8,$J5, $K5, $C5, ($I5-$B$1)/365, $G5, $H5, $D5) - BSPrice($B5,$J5, $K5, $C5, ($I5-$B$1)/365, $G5, $H5, $D5)) * $F5</f>
        <v/>
      </c>
      <c r="AC5" s="78">
        <f>(BSPrice($B5*0.9,$J5, $K5, $C5, ($I5-$B$1)/365, $G5, $H5, $D5) - BSPrice($B5,$J5, $K5, $C5, ($I5-$B$1)/365, $G5, $H5, $D5)) * $F5</f>
        <v/>
      </c>
      <c r="AD5" s="78">
        <f>(BSPrice($B5*0.95,$J5, $K5, $C5, ($I5-$B$1)/365, $G5, $H5, $D5) - BSPrice($B5,$J5, $K5, $C5, ($I5-$B$1)/365, $G5, $H5, $D5)) * $F5</f>
        <v/>
      </c>
      <c r="AE5" s="78">
        <f>(BSPrice($B5*0.98,$J5, $K5, $C5, ($I5-$B$1)/365, $G5, $H5, $D5) - BSPrice($B5,$J5, $K5, $C5, ($I5-$B$1)/365, $G5, $H5, $D5)) * $F5</f>
        <v/>
      </c>
      <c r="AF5" s="78">
        <f>(BSPrice($B5*1.02,$J5, $K5, $C5, ($I5-$B$1)/365, $G5, $H5, $D5) - BSPrice($B5,$J5, $K5, $C5, ($I5-$B$1)/365, $G5, $H5, $D5)) * $F5</f>
        <v/>
      </c>
      <c r="AG5" s="78">
        <f>(BSPrice($B5*1.05,$J5, $K5, $C5, ($I5-$B$1)/365, $G5, $H5, $D5) - BSPrice($B5,$J5, $K5, $C5, ($I5-$B$1)/365, $G5, $H5, $D5)) * $F5</f>
        <v/>
      </c>
      <c r="AH5" s="78">
        <f>(BSPrice($B5*1.1,$J5, $K5, $C5, ($I5-$B$1)/365, $G5, $H5, $D5) - BSPrice($B5,$J5, $K5, $C5, ($I5-$B$1)/365, $G5, $H5, $D5)) * $F5</f>
        <v/>
      </c>
      <c r="AI5" s="78">
        <f>(BSPrice($B5*1.2,$J5, $K5, $C5, ($I5-$B$1)/365, $G5, $H5, $D5) - BSPrice($B5,$J5, $K5, $C5, ($I5-$B$1)/365, $G5, $H5, $D5)) * $F5</f>
        <v/>
      </c>
      <c r="AJ5" s="78">
        <f>(BSPrice($B5,$J5-0.1, $K5, $C5, ($I5-$B$1)/365, $G5, $H5, $D5) - BSPrice($B5,$J5, $K5, $C5, ($I5-$B$1)/365, $G5, $H5, $D5)) * $F5</f>
        <v/>
      </c>
      <c r="AK5" s="78">
        <f>(BSPrice($B5,$J5-0.05,$K5,$C5,($I5-$B$1)/365,$G5,$H5,$D5)-BSPrice($B5,$J5,$K5,$C5,($I5-$B$1)/365,$G5,$H5,$D5))*$F5</f>
        <v/>
      </c>
      <c r="AL5" s="78">
        <f>(BSPrice($B5,$J5-0.02, $K5, $C5, ($I5-$B$1)/365, $G5, $H5, $D5) - BSPrice($B5,$J5, $K5, $C5, ($I5-$B$1)/365, $G5, $H5, $D5)) * $F5</f>
        <v/>
      </c>
      <c r="AM5" s="78">
        <f>(BSPrice($B5,$J5-0.01, $K5, $C5, ($I5-$B$1)/365, $G5, $H5, $D5) - BSPrice($B5,$J5, $K5, $C5, ($I5-$B$1)/365, $G5, $H5, $D5)) * $F5</f>
        <v/>
      </c>
      <c r="AN5" s="78">
        <f>(BSPrice($B5,$J5+0.01, $K5, $C5, ($I5-$B$1)/365, $G5, $H5, $D5) - BSPrice($B5,$J5, $K5, $C5, ($I5-$B$1)/365, $G5, $H5, $D5)) * $F5</f>
        <v/>
      </c>
      <c r="AO5" s="78">
        <f>(BSPrice($B5,$J5+0.02, $K5, $C5, ($I5-$B$1)/365, $G5, $H5, $D5) - BSPrice($B5,$J5, $K5, $C5, ($I5-$B$1)/365, $G5, $H5, $D5)) * $F5</f>
        <v/>
      </c>
      <c r="AP5" s="78">
        <f>(BSPrice($B5,$J5+0.05, $K5, $C5, ($I5-$B$1)/365, $G5, $H5, $D5) - BSPrice($B5,$J5, $K5, $C5, ($I5-$B$1)/365, $G5, $H5, $D5)) * $F5</f>
        <v/>
      </c>
      <c r="AQ5" s="78">
        <f>(BSPrice($B5,$J5+0.1, $K5, $C5, ($I5-$B$1)/365, $G5, $H5, $D5) - BSPrice($B5,$J5, $K5, $C5, ($I5-$B$1)/365, $G5, $H5, $D5)) * $F5</f>
        <v/>
      </c>
      <c r="AR5" s="60">
        <f>(BSPrice($B5*0.8,$J5+-0.05, $K5, $C5, ($I5-$B$1)/365, $G5, $H5, $D5) - BSPrice($B5,$J5, $K5, $C5, ($I5-$B$1)/365, $G5, $H5, $D5)) * $F5</f>
        <v/>
      </c>
      <c r="AS5" s="60">
        <f>(BSPrice($B5*0.8,$J5+-0.02, $K5, $C5, ($I5-$B$1)/365, $G5, $H5, $D5) - BSPrice($B5,$J5, $K5, $C5, ($I5-$B$1)/365, $G5, $H5, $D5)) * $F5</f>
        <v/>
      </c>
      <c r="AT5" s="60">
        <f>(BSPrice($B5*0.8,$J5+0, $K5, $C5, ($I5-$B$1)/365, $G5, $H5, $D5) - BSPrice($B5,$J5, $K5, $C5, ($I5-$B$1)/365, $G5, $H5, $D5)) * $F5</f>
        <v/>
      </c>
      <c r="AU5" s="60">
        <f>(BSPrice($B5*0.8,$J5+0.02, $K5, $C5, ($I5-$B$1)/365, $G5, $H5, $D5) - BSPrice($B5,$J5, $K5, $C5, ($I5-$B$1)/365, $G5, $H5, $D5)) * $F5</f>
        <v/>
      </c>
      <c r="AV5" s="60">
        <f>(BSPrice($B5*0.8,$J5+0.05, $K5, $C5, ($I5-$B$1)/365, $G5, $H5, $D5) - BSPrice($B5,$J5, $K5, $C5, ($I5-$B$1)/365, $G5, $H5, $D5)) * $F5</f>
        <v/>
      </c>
      <c r="AW5" s="60">
        <f>(BSPrice($B5*0.8,$J5+0.1, $K5, $C5, ($I5-$B$1)/365, $G5, $H5, $D5) - BSPrice($B5,$J5, $K5, $C5, ($I5-$B$1)/365, $G5, $H5, $D5)) * $F5</f>
        <v/>
      </c>
      <c r="AX5" s="60">
        <f>(BSPrice($B5*0.8,$J5+0.2, $K5, $C5, ($I5-$B$1)/365, $G5, $H5, $D5) - BSPrice($B5,$J5, $K5, $C5, ($I5-$B$1)/365, $G5, $H5, $D5)) * $F5</f>
        <v/>
      </c>
      <c r="AY5" s="60">
        <f>(BSPrice($B5*0.9,$J5+-0.05, $K5, $C5, ($I5-$B$1)/365, $G5, $H5, $D5) - BSPrice($B5,$J5, $K5, $C5, ($I5-$B$1)/365, $G5, $H5, $D5)) * $F5</f>
        <v/>
      </c>
      <c r="AZ5" s="60">
        <f>(BSPrice($B5*0.9,$J5+-0.02, $K5, $C5, ($I5-$B$1)/365, $G5, $H5, $D5) - BSPrice($B5,$J5, $K5, $C5, ($I5-$B$1)/365, $G5, $H5, $D5)) * $F5</f>
        <v/>
      </c>
      <c r="BA5" s="60">
        <f>(BSPrice($B5*0.9,$J5+0, $K5, $C5, ($I5-$B$1)/365, $G5, $H5, $D5) - BSPrice($B5,$J5, $K5, $C5, ($I5-$B$1)/365, $G5, $H5, $D5)) * $F5</f>
        <v/>
      </c>
      <c r="BB5" s="60">
        <f>(BSPrice($B5*0.9,$J5+0.02, $K5, $C5, ($I5-$B$1)/365, $G5, $H5, $D5) - BSPrice($B5,$J5, $K5, $C5, ($I5-$B$1)/365, $G5, $H5, $D5)) * $F5</f>
        <v/>
      </c>
      <c r="BC5" s="60">
        <f>(BSPrice($B5*0.9,$J5+0.05, $K5, $C5, ($I5-$B$1)/365, $G5, $H5, $D5) - BSPrice($B5,$J5, $K5, $C5, ($I5-$B$1)/365, $G5, $H5, $D5)) * $F5</f>
        <v/>
      </c>
      <c r="BD5" s="60">
        <f>(BSPrice($B5*0.9,$J5+0.1, $K5, $C5, ($I5-$B$1)/365, $G5, $H5, $D5) - BSPrice($B5,$J5, $K5, $C5, ($I5-$B$1)/365, $G5, $H5, $D5)) * $F5</f>
        <v/>
      </c>
      <c r="BE5" s="60">
        <f>(BSPrice($B5*0.9,$J5+0.2, $K5, $C5, ($I5-$B$1)/365, $G5, $H5, $D5) - BSPrice($B5,$J5, $K5, $C5, ($I5-$B$1)/365, $G5, $H5, $D5)) * $F5</f>
        <v/>
      </c>
      <c r="BF5" s="60">
        <f>(BSPrice($B5*0.95,$J5+-0.05, $K5, $C5, ($I5-$B$1)/365, $G5, $H5, $D5) - BSPrice($B5,$J5, $K5, $C5, ($I5-$B$1)/365, $G5, $H5, $D5)) * $F5</f>
        <v/>
      </c>
      <c r="BG5" s="60">
        <f>(BSPrice($B5*0.95,$J5+-0.02, $K5, $C5, ($I5-$B$1)/365, $G5, $H5, $D5) - BSPrice($B5,$J5, $K5, $C5, ($I5-$B$1)/365, $G5, $H5, $D5)) * $F5</f>
        <v/>
      </c>
      <c r="BH5" s="60">
        <f>(BSPrice($B5*0.95,$J5+0, $K5, $C5, ($I5-$B$1)/365, $G5, $H5, $D5) - BSPrice($B5,$J5, $K5, $C5, ($I5-$B$1)/365, $G5, $H5, $D5)) * $F5</f>
        <v/>
      </c>
      <c r="BI5" s="60">
        <f>(BSPrice($B5*0.95,$J5+0.02, $K5, $C5, ($I5-$B$1)/365, $G5, $H5, $D5) - BSPrice($B5,$J5, $K5, $C5, ($I5-$B$1)/365, $G5, $H5, $D5)) * $F5</f>
        <v/>
      </c>
      <c r="BJ5" s="60">
        <f>(BSPrice($B5*0.95,$J5+0.05, $K5, $C5, ($I5-$B$1)/365, $G5, $H5, $D5) - BSPrice($B5,$J5, $K5, $C5, ($I5-$B$1)/365, $G5, $H5, $D5)) * $F5</f>
        <v/>
      </c>
      <c r="BK5" s="60">
        <f>(BSPrice($B5*0.95,$J5+0.1, $K5, $C5, ($I5-$B$1)/365, $G5, $H5, $D5) - BSPrice($B5,$J5, $K5, $C5, ($I5-$B$1)/365, $G5, $H5, $D5)) * $F5</f>
        <v/>
      </c>
      <c r="BL5" s="60">
        <f>(BSPrice($B5*0.95,$J5+0.2, $K5, $C5, ($I5-$B$1)/365, $G5, $H5, $D5) - BSPrice($B5,$J5, $K5, $C5, ($I5-$B$1)/365, $G5, $H5, $D5)) * $F5</f>
        <v/>
      </c>
      <c r="BM5" s="60">
        <f>(BSPrice($B5*1,$J5+-0.05, $K5, $C5, ($I5-$B$1)/365, $G5, $H5, $D5) - BSPrice($B5,$J5, $K5, $C5, ($I5-$B$1)/365, $G5, $H5, $D5)) * $F5</f>
        <v/>
      </c>
      <c r="BN5" s="60">
        <f>(BSPrice($B5*1,$J5+-0.02, $K5, $C5, ($I5-$B$1)/365, $G5, $H5, $D5) - BSPrice($B5,$J5, $K5, $C5, ($I5-$B$1)/365, $G5, $H5, $D5)) * $F5</f>
        <v/>
      </c>
      <c r="BO5" s="60">
        <f>(BSPrice($B5*1,$J5+0, $K5, $C5, ($I5-$B$1)/365, $G5, $H5, $D5) - BSPrice($B5,$J5, $K5, $C5, ($I5-$B$1)/365, $G5, $H5, $D5)) * $F5</f>
        <v/>
      </c>
      <c r="BP5" s="60">
        <f>(BSPrice($B5*1,$J5+0.02, $K5, $C5, ($I5-$B$1)/365, $G5, $H5, $D5) - BSPrice($B5,$J5, $K5, $C5, ($I5-$B$1)/365, $G5, $H5, $D5)) * $F5</f>
        <v/>
      </c>
      <c r="BQ5" s="60">
        <f>(BSPrice($B5*1,$J5+0.05, $K5, $C5, ($I5-$B$1)/365, $G5, $H5, $D5) - BSPrice($B5,$J5, $K5, $C5, ($I5-$B$1)/365, $G5, $H5, $D5)) * $F5</f>
        <v/>
      </c>
      <c r="BR5" s="60">
        <f>(BSPrice($B5*1,$J5+0.1, $K5, $C5, ($I5-$B$1)/365, $G5, $H5, $D5) - BSPrice($B5,$J5, $K5, $C5, ($I5-$B$1)/365, $G5, $H5, $D5)) * $F5</f>
        <v/>
      </c>
      <c r="BS5" s="60">
        <f>(BSPrice($B5*1,$J5+0.2, $K5, $C5, ($I5-$B$1)/365, $G5, $H5, $D5) - BSPrice($B5,$J5, $K5, $C5, ($I5-$B$1)/365, $G5, $H5, $D5)) * $F5</f>
        <v/>
      </c>
      <c r="BT5" s="60">
        <f>(BSPrice($B5*1.05,$J5+-0.05, $K5, $C5, ($I5-$B$1)/365, $G5, $H5, $D5) - BSPrice($B5,$J5, $K5, $C5, ($I5-$B$1)/365, $G5, $H5, $D5)) * $F5</f>
        <v/>
      </c>
      <c r="BU5" s="60">
        <f>(BSPrice($B5*1.05,$J5+-0.02, $K5, $C5, ($I5-$B$1)/365, $G5, $H5, $D5) - BSPrice($B5,$J5, $K5, $C5, ($I5-$B$1)/365, $G5, $H5, $D5)) * $F5</f>
        <v/>
      </c>
      <c r="BV5" s="60">
        <f>(BSPrice($B5*1.05,$J5+0, $K5, $C5, ($I5-$B$1)/365, $G5, $H5, $D5) - BSPrice($B5,$J5, $K5, $C5, ($I5-$B$1)/365, $G5, $H5, $D5)) * $F5</f>
        <v/>
      </c>
      <c r="BW5" s="60">
        <f>(BSPrice($B5*1.05,$J5+0.02, $K5, $C5, ($I5-$B$1)/365, $G5, $H5, $D5) - BSPrice($B5,$J5, $K5, $C5, ($I5-$B$1)/365, $G5, $H5, $D5)) * $F5</f>
        <v/>
      </c>
      <c r="BX5" s="60">
        <f>(BSPrice($B5*1.05,$J5+0.05, $K5, $C5, ($I5-$B$1)/365, $G5, $H5, $D5) - BSPrice($B5,$J5, $K5, $C5, ($I5-$B$1)/365, $G5, $H5, $D5)) * $F5</f>
        <v/>
      </c>
      <c r="BY5" s="60">
        <f>(BSPrice($B5*1.05,$J5+0.1, $K5, $C5, ($I5-$B$1)/365, $G5, $H5, $D5) - BSPrice($B5,$J5, $K5, $C5, ($I5-$B$1)/365, $G5, $H5, $D5)) * $F5</f>
        <v/>
      </c>
      <c r="BZ5" s="60">
        <f>(BSPrice($B5*1.05,$J5+0.2, $K5, $C5, ($I5-$B$1)/365, $G5, $H5, $D5) - BSPrice($B5,$J5, $K5, $C5, ($I5-$B$1)/365, $G5, $H5, $D5)) * $F5</f>
        <v/>
      </c>
      <c r="CA5" s="60">
        <f>(BSPrice($B5*1.1,$J5+-0.05, $K5, $C5, ($I5-$B$1)/365, $G5, $H5, $D5) - BSPrice($B5,$J5, $K5, $C5, ($I5-$B$1)/365, $G5, $H5, $D5)) * $F5</f>
        <v/>
      </c>
      <c r="CB5" s="60">
        <f>(BSPrice($B5*1.1,$J5+-0.02, $K5, $C5, ($I5-$B$1)/365, $G5, $H5, $D5) - BSPrice($B5,$J5, $K5, $C5, ($I5-$B$1)/365, $G5, $H5, $D5)) * $F5</f>
        <v/>
      </c>
      <c r="CC5" s="60">
        <f>(BSPrice($B5*1.1,$J5+0, $K5, $C5, ($I5-$B$1)/365, $G5, $H5, $D5) - BSPrice($B5,$J5, $K5, $C5, ($I5-$B$1)/365, $G5, $H5, $D5)) * $F5</f>
        <v/>
      </c>
      <c r="CD5" s="60">
        <f>(BSPrice($B5*1.1,$J5+0.02, $K5, $C5, ($I5-$B$1)/365, $G5, $H5, $D5) - BSPrice($B5,$J5, $K5, $C5, ($I5-$B$1)/365, $G5, $H5, $D5)) * $F5</f>
        <v/>
      </c>
      <c r="CE5" s="60">
        <f>(BSPrice($B5*1.1,$J5+0.05, $K5, $C5, ($I5-$B$1)/365, $G5, $H5, $D5) - BSPrice($B5,$J5, $K5, $C5, ($I5-$B$1)/365, $G5, $H5, $D5)) * $F5</f>
        <v/>
      </c>
      <c r="CF5" s="60">
        <f>(BSPrice($B5*1.1,$J5+0.1, $K5, $C5, ($I5-$B$1)/365, $G5, $H5, $D5) - BSPrice($B5,$J5, $K5, $C5, ($I5-$B$1)/365, $G5, $H5, $D5)) * $F5</f>
        <v/>
      </c>
      <c r="CG5" s="60">
        <f>(BSPrice($B5*1.1,$J5+0.2, $K5, $C5, ($I5-$B$1)/365, $G5, $H5, $D5) - BSPrice($B5,$J5, $K5, $C5, ($I5-$B$1)/365, $G5, $H5, $D5)) * $F5</f>
        <v/>
      </c>
      <c r="CH5" s="60">
        <f>(BSPrice($B5*1.2,$J5+-0.05, $K5, $C5, ($I5-$B$1)/365, $G5, $H5, $D5) - BSPrice($B5,$J5, $K5, $C5, ($I5-$B$1)/365, $G5, $H5, $D5)) * $F5</f>
        <v/>
      </c>
      <c r="CI5" s="60">
        <f>(BSPrice($B5*1.2,$J5+-0.02, $K5, $C5, ($I5-$B$1)/365, $G5, $H5, $D5) - BSPrice($B5,$J5, $K5, $C5, ($I5-$B$1)/365, $G5, $H5, $D5)) * $F5</f>
        <v/>
      </c>
      <c r="CJ5" s="60">
        <f>(BSPrice($B5*1.2,$J5+0, $K5, $C5, ($I5-$B$1)/365, $G5, $H5, $D5) - BSPrice($B5,$J5, $K5, $C5, ($I5-$B$1)/365, $G5, $H5, $D5)) * $F5</f>
        <v/>
      </c>
      <c r="CK5" s="60">
        <f>(BSPrice($B5*1.2,$J5+0.02, $K5, $C5, ($I5-$B$1)/365, $G5, $H5, $D5) - BSPrice($B5,$J5, $K5, $C5, ($I5-$B$1)/365, $G5, $H5, $D5)) * $F5</f>
        <v/>
      </c>
      <c r="CL5" s="60">
        <f>(BSPrice($B5*1.2,$J5+0.05, $K5, $C5, ($I5-$B$1)/365, $G5, $H5, $D5) - BSPrice($B5,$J5, $K5, $C5, ($I5-$B$1)/365, $G5, $H5, $D5)) * $F5</f>
        <v/>
      </c>
      <c r="CM5" s="60">
        <f>(BSPrice($B5*1.2,$J5+0.1, $K5, $C5, ($I5-$B$1)/365, $G5, $H5, $D5) - BSPrice($B5,$J5, $K5, $C5, ($I5-$B$1)/365, $G5, $H5, $D5)) * $F5</f>
        <v/>
      </c>
      <c r="CN5" s="60">
        <f>(BSPrice($B5*1.2,$J5+0.2, $K5, $C5, ($I5-$B$1)/365, $G5, $H5, $D5) - BSPrice($B5,$J5, $K5, $C5, ($I5-$B$1)/365, $G5, $H5, $D5)) * $F5</f>
        <v/>
      </c>
    </row>
    <row r="6">
      <c r="A6" s="3" t="inlineStr">
        <is>
          <t>SPX Index</t>
        </is>
      </c>
      <c r="B6" s="4">
        <f>VLOOKUP(A6,PriceData!$K$4:$L$6,2,FALSE)</f>
        <v/>
      </c>
      <c r="C6" s="46">
        <f>VLOOKUP(A6,PriceData!$K$4:$M$6,3,FALSE)</f>
        <v/>
      </c>
      <c r="D6" s="4" t="inlineStr">
        <is>
          <t>Option</t>
        </is>
      </c>
      <c r="E6" s="4" t="inlineStr">
        <is>
          <t>USD</t>
        </is>
      </c>
      <c r="F6" s="4" t="n">
        <v>200</v>
      </c>
      <c r="G6" s="4" t="n">
        <v>935</v>
      </c>
      <c r="H6" s="4" t="inlineStr">
        <is>
          <t>Put</t>
        </is>
      </c>
      <c r="I6" s="5" t="n">
        <v>40256</v>
      </c>
      <c r="J6" s="46">
        <f>FindImpliedVol(A6, D6, G6, I6)</f>
        <v/>
      </c>
      <c r="K6" s="30">
        <f>VLOOKUP(I6,PriceData!$A$5:$D$7,MATCH($E6,PriceData!$A$4:$D$4,0),FALSE)</f>
        <v/>
      </c>
      <c r="L6" s="2">
        <f>BSPrice($B6,$J6, $K6, $C6, ($I6-$B$1)/365, $G6, $H6, $D6)</f>
        <v/>
      </c>
      <c r="M6" s="2">
        <f>F6*L6</f>
        <v/>
      </c>
      <c r="N6" s="4" t="inlineStr">
        <is>
          <t>Exch</t>
        </is>
      </c>
      <c r="O6" s="4" t="n"/>
      <c r="P6" s="60">
        <f>BSDelta(B6, J6, K6, C6, (I6-$B$1)/365, G6, H6, D6)</f>
        <v/>
      </c>
      <c r="Q6" s="60">
        <f>BSGamma(B6, J6, K6, C6, (I6-$B$1)/365, G6, D6)</f>
        <v/>
      </c>
      <c r="R6" s="58">
        <f>BSVega(B6, J6, K6, C6, (I6-$B$1)/365,G6, D6)</f>
        <v/>
      </c>
      <c r="S6" s="58">
        <f>BSVolga(B6, J6, K6, C6, (I6-$B$1)/365,G6, D6)</f>
        <v/>
      </c>
      <c r="T6" s="58">
        <f>BSVanna(B6,J6,K6, C6, (I6-$B$1)/365, G6, D6)</f>
        <v/>
      </c>
      <c r="U6" s="2">
        <f>BSRho(B6, J6, K6, C6, (I6-$B$1)/365, G6, H6, D6)</f>
        <v/>
      </c>
      <c r="V6" s="65">
        <f>$F6*$P6</f>
        <v/>
      </c>
      <c r="W6" s="65">
        <f>$F6*$Q6</f>
        <v/>
      </c>
      <c r="X6" s="78">
        <f>$F6*R6</f>
        <v/>
      </c>
      <c r="Y6" s="78">
        <f>$F6*S6</f>
        <v/>
      </c>
      <c r="Z6" s="78">
        <f>$F6*T6</f>
        <v/>
      </c>
      <c r="AA6" s="78">
        <f>$F6*U6</f>
        <v/>
      </c>
      <c r="AB6" s="78">
        <f>(BSPrice($B6*0.8,$J6, $K6, $C6, ($I6-$B$1)/365, $G6, $H6, $D6) - BSPrice($B6,$J6, $K6, $C6, ($I6-$B$1)/365, $G6, $H6, $D6)) * $F6</f>
        <v/>
      </c>
      <c r="AC6" s="78">
        <f>(BSPrice($B6*0.9,$J6, $K6, $C6, ($I6-$B$1)/365, $G6, $H6, $D6) - BSPrice($B6,$J6, $K6, $C6, ($I6-$B$1)/365, $G6, $H6, $D6)) * $F6</f>
        <v/>
      </c>
      <c r="AD6" s="78">
        <f>(BSPrice($B6*0.95,$J6, $K6, $C6, ($I6-$B$1)/365, $G6, $H6, $D6) - BSPrice($B6,$J6, $K6, $C6, ($I6-$B$1)/365, $G6, $H6, $D6)) * $F6</f>
        <v/>
      </c>
      <c r="AE6" s="78">
        <f>(BSPrice($B6*0.98,$J6, $K6, $C6, ($I6-$B$1)/365, $G6, $H6, $D6) - BSPrice($B6,$J6, $K6, $C6, ($I6-$B$1)/365, $G6, $H6, $D6)) * $F6</f>
        <v/>
      </c>
      <c r="AF6" s="78">
        <f>(BSPrice($B6*1.02,$J6, $K6, $C6, ($I6-$B$1)/365, $G6, $H6, $D6) - BSPrice($B6,$J6, $K6, $C6, ($I6-$B$1)/365, $G6, $H6, $D6)) * $F6</f>
        <v/>
      </c>
      <c r="AG6" s="78">
        <f>(BSPrice($B6*1.05,$J6, $K6, $C6, ($I6-$B$1)/365, $G6, $H6, $D6) - BSPrice($B6,$J6, $K6, $C6, ($I6-$B$1)/365, $G6, $H6, $D6)) * $F6</f>
        <v/>
      </c>
      <c r="AH6" s="78">
        <f>(BSPrice($B6*1.1,$J6, $K6, $C6, ($I6-$B$1)/365, $G6, $H6, $D6) - BSPrice($B6,$J6, $K6, $C6, ($I6-$B$1)/365, $G6, $H6, $D6)) * $F6</f>
        <v/>
      </c>
      <c r="AI6" s="78">
        <f>(BSPrice($B6*1.2,$J6, $K6, $C6, ($I6-$B$1)/365, $G6, $H6, $D6) - BSPrice($B6,$J6, $K6, $C6, ($I6-$B$1)/365, $G6, $H6, $D6)) * $F6</f>
        <v/>
      </c>
      <c r="AJ6" s="78">
        <f>(BSPrice($B6,$J6-0.1, $K6, $C6, ($I6-$B$1)/365, $G6, $H6, $D6) - BSPrice($B6,$J6, $K6, $C6, ($I6-$B$1)/365, $G6, $H6, $D6)) * $F6</f>
        <v/>
      </c>
      <c r="AK6" s="78">
        <f>(BSPrice($B6,$J6-0.05,$K6,$C6,($I6-$B$1)/365,$G6,$H6,$D6)-BSPrice($B6,$J6,$K6,$C6,($I6-$B$1)/365,$G6,$H6,$D6))*$F6</f>
        <v/>
      </c>
      <c r="AL6" s="78">
        <f>(BSPrice($B6,$J6-0.02, $K6, $C6, ($I6-$B$1)/365, $G6, $H6, $D6) - BSPrice($B6,$J6, $K6, $C6, ($I6-$B$1)/365, $G6, $H6, $D6)) * $F6</f>
        <v/>
      </c>
      <c r="AM6" s="78">
        <f>(BSPrice($B6,$J6-0.01, $K6, $C6, ($I6-$B$1)/365, $G6, $H6, $D6) - BSPrice($B6,$J6, $K6, $C6, ($I6-$B$1)/365, $G6, $H6, $D6)) * $F6</f>
        <v/>
      </c>
      <c r="AN6" s="78">
        <f>(BSPrice($B6,$J6+0.01, $K6, $C6, ($I6-$B$1)/365, $G6, $H6, $D6) - BSPrice($B6,$J6, $K6, $C6, ($I6-$B$1)/365, $G6, $H6, $D6)) * $F6</f>
        <v/>
      </c>
      <c r="AO6" s="78">
        <f>(BSPrice($B6,$J6+0.02, $K6, $C6, ($I6-$B$1)/365, $G6, $H6, $D6) - BSPrice($B6,$J6, $K6, $C6, ($I6-$B$1)/365, $G6, $H6, $D6)) * $F6</f>
        <v/>
      </c>
      <c r="AP6" s="78">
        <f>(BSPrice($B6,$J6+0.05, $K6, $C6, ($I6-$B$1)/365, $G6, $H6, $D6) - BSPrice($B6,$J6, $K6, $C6, ($I6-$B$1)/365, $G6, $H6, $D6)) * $F6</f>
        <v/>
      </c>
      <c r="AQ6" s="78">
        <f>(BSPrice($B6,$J6+0.1, $K6, $C6, ($I6-$B$1)/365, $G6, $H6, $D6) - BSPrice($B6,$J6, $K6, $C6, ($I6-$B$1)/365, $G6, $H6, $D6)) * $F6</f>
        <v/>
      </c>
      <c r="AR6" s="60">
        <f>(BSPrice($B6*0.8,$J6+-0.05, $K6, $C6, ($I6-$B$1)/365, $G6, $H6, $D6) - BSPrice($B6,$J6, $K6, $C6, ($I6-$B$1)/365, $G6, $H6, $D6)) * $F6</f>
        <v/>
      </c>
      <c r="AS6" s="60">
        <f>(BSPrice($B6*0.8,$J6+-0.02, $K6, $C6, ($I6-$B$1)/365, $G6, $H6, $D6) - BSPrice($B6,$J6, $K6, $C6, ($I6-$B$1)/365, $G6, $H6, $D6)) * $F6</f>
        <v/>
      </c>
      <c r="AT6" s="60">
        <f>(BSPrice($B6*0.8,$J6+0, $K6, $C6, ($I6-$B$1)/365, $G6, $H6, $D6) - BSPrice($B6,$J6, $K6, $C6, ($I6-$B$1)/365, $G6, $H6, $D6)) * $F6</f>
        <v/>
      </c>
      <c r="AU6" s="60">
        <f>(BSPrice($B6*0.8,$J6+0.02, $K6, $C6, ($I6-$B$1)/365, $G6, $H6, $D6) - BSPrice($B6,$J6, $K6, $C6, ($I6-$B$1)/365, $G6, $H6, $D6)) * $F6</f>
        <v/>
      </c>
      <c r="AV6" s="60">
        <f>(BSPrice($B6*0.8,$J6+0.05, $K6, $C6, ($I6-$B$1)/365, $G6, $H6, $D6) - BSPrice($B6,$J6, $K6, $C6, ($I6-$B$1)/365, $G6, $H6, $D6)) * $F6</f>
        <v/>
      </c>
      <c r="AW6" s="60">
        <f>(BSPrice($B6*0.8,$J6+0.1, $K6, $C6, ($I6-$B$1)/365, $G6, $H6, $D6) - BSPrice($B6,$J6, $K6, $C6, ($I6-$B$1)/365, $G6, $H6, $D6)) * $F6</f>
        <v/>
      </c>
      <c r="AX6" s="60">
        <f>(BSPrice($B6*0.8,$J6+0.2, $K6, $C6, ($I6-$B$1)/365, $G6, $H6, $D6) - BSPrice($B6,$J6, $K6, $C6, ($I6-$B$1)/365, $G6, $H6, $D6)) * $F6</f>
        <v/>
      </c>
      <c r="AY6" s="60">
        <f>(BSPrice($B6*0.9,$J6+-0.05, $K6, $C6, ($I6-$B$1)/365, $G6, $H6, $D6) - BSPrice($B6,$J6, $K6, $C6, ($I6-$B$1)/365, $G6, $H6, $D6)) * $F6</f>
        <v/>
      </c>
      <c r="AZ6" s="60">
        <f>(BSPrice($B6*0.9,$J6+-0.02, $K6, $C6, ($I6-$B$1)/365, $G6, $H6, $D6) - BSPrice($B6,$J6, $K6, $C6, ($I6-$B$1)/365, $G6, $H6, $D6)) * $F6</f>
        <v/>
      </c>
      <c r="BA6" s="60">
        <f>(BSPrice($B6*0.9,$J6+0, $K6, $C6, ($I6-$B$1)/365, $G6, $H6, $D6) - BSPrice($B6,$J6, $K6, $C6, ($I6-$B$1)/365, $G6, $H6, $D6)) * $F6</f>
        <v/>
      </c>
      <c r="BB6" s="60">
        <f>(BSPrice($B6*0.9,$J6+0.02, $K6, $C6, ($I6-$B$1)/365, $G6, $H6, $D6) - BSPrice($B6,$J6, $K6, $C6, ($I6-$B$1)/365, $G6, $H6, $D6)) * $F6</f>
        <v/>
      </c>
      <c r="BC6" s="60">
        <f>(BSPrice($B6*0.9,$J6+0.05, $K6, $C6, ($I6-$B$1)/365, $G6, $H6, $D6) - BSPrice($B6,$J6, $K6, $C6, ($I6-$B$1)/365, $G6, $H6, $D6)) * $F6</f>
        <v/>
      </c>
      <c r="BD6" s="60">
        <f>(BSPrice($B6*0.9,$J6+0.1, $K6, $C6, ($I6-$B$1)/365, $G6, $H6, $D6) - BSPrice($B6,$J6, $K6, $C6, ($I6-$B$1)/365, $G6, $H6, $D6)) * $F6</f>
        <v/>
      </c>
      <c r="BE6" s="60">
        <f>(BSPrice($B6*0.9,$J6+0.2, $K6, $C6, ($I6-$B$1)/365, $G6, $H6, $D6) - BSPrice($B6,$J6, $K6, $C6, ($I6-$B$1)/365, $G6, $H6, $D6)) * $F6</f>
        <v/>
      </c>
      <c r="BF6" s="60">
        <f>(BSPrice($B6*0.95,$J6+-0.05, $K6, $C6, ($I6-$B$1)/365, $G6, $H6, $D6) - BSPrice($B6,$J6, $K6, $C6, ($I6-$B$1)/365, $G6, $H6, $D6)) * $F6</f>
        <v/>
      </c>
      <c r="BG6" s="60">
        <f>(BSPrice($B6*0.95,$J6+-0.02, $K6, $C6, ($I6-$B$1)/365, $G6, $H6, $D6) - BSPrice($B6,$J6, $K6, $C6, ($I6-$B$1)/365, $G6, $H6, $D6)) * $F6</f>
        <v/>
      </c>
      <c r="BH6" s="60">
        <f>(BSPrice($B6*0.95,$J6+0, $K6, $C6, ($I6-$B$1)/365, $G6, $H6, $D6) - BSPrice($B6,$J6, $K6, $C6, ($I6-$B$1)/365, $G6, $H6, $D6)) * $F6</f>
        <v/>
      </c>
      <c r="BI6" s="60">
        <f>(BSPrice($B6*0.95,$J6+0.02, $K6, $C6, ($I6-$B$1)/365, $G6, $H6, $D6) - BSPrice($B6,$J6, $K6, $C6, ($I6-$B$1)/365, $G6, $H6, $D6)) * $F6</f>
        <v/>
      </c>
      <c r="BJ6" s="60">
        <f>(BSPrice($B6*0.95,$J6+0.05, $K6, $C6, ($I6-$B$1)/365, $G6, $H6, $D6) - BSPrice($B6,$J6, $K6, $C6, ($I6-$B$1)/365, $G6, $H6, $D6)) * $F6</f>
        <v/>
      </c>
      <c r="BK6" s="60">
        <f>(BSPrice($B6*0.95,$J6+0.1, $K6, $C6, ($I6-$B$1)/365, $G6, $H6, $D6) - BSPrice($B6,$J6, $K6, $C6, ($I6-$B$1)/365, $G6, $H6, $D6)) * $F6</f>
        <v/>
      </c>
      <c r="BL6" s="60">
        <f>(BSPrice($B6*0.95,$J6+0.2, $K6, $C6, ($I6-$B$1)/365, $G6, $H6, $D6) - BSPrice($B6,$J6, $K6, $C6, ($I6-$B$1)/365, $G6, $H6, $D6)) * $F6</f>
        <v/>
      </c>
      <c r="BM6" s="60">
        <f>(BSPrice($B6*1,$J6+-0.05, $K6, $C6, ($I6-$B$1)/365, $G6, $H6, $D6) - BSPrice($B6,$J6, $K6, $C6, ($I6-$B$1)/365, $G6, $H6, $D6)) * $F6</f>
        <v/>
      </c>
      <c r="BN6" s="60">
        <f>(BSPrice($B6*1,$J6+-0.02, $K6, $C6, ($I6-$B$1)/365, $G6, $H6, $D6) - BSPrice($B6,$J6, $K6, $C6, ($I6-$B$1)/365, $G6, $H6, $D6)) * $F6</f>
        <v/>
      </c>
      <c r="BO6" s="60">
        <f>(BSPrice($B6*1,$J6+0, $K6, $C6, ($I6-$B$1)/365, $G6, $H6, $D6) - BSPrice($B6,$J6, $K6, $C6, ($I6-$B$1)/365, $G6, $H6, $D6)) * $F6</f>
        <v/>
      </c>
      <c r="BP6" s="60">
        <f>(BSPrice($B6*1,$J6+0.02, $K6, $C6, ($I6-$B$1)/365, $G6, $H6, $D6) - BSPrice($B6,$J6, $K6, $C6, ($I6-$B$1)/365, $G6, $H6, $D6)) * $F6</f>
        <v/>
      </c>
      <c r="BQ6" s="60">
        <f>(BSPrice($B6*1,$J6+0.05, $K6, $C6, ($I6-$B$1)/365, $G6, $H6, $D6) - BSPrice($B6,$J6, $K6, $C6, ($I6-$B$1)/365, $G6, $H6, $D6)) * $F6</f>
        <v/>
      </c>
      <c r="BR6" s="60">
        <f>(BSPrice($B6*1,$J6+0.1, $K6, $C6, ($I6-$B$1)/365, $G6, $H6, $D6) - BSPrice($B6,$J6, $K6, $C6, ($I6-$B$1)/365, $G6, $H6, $D6)) * $F6</f>
        <v/>
      </c>
      <c r="BS6" s="60">
        <f>(BSPrice($B6*1,$J6+0.2, $K6, $C6, ($I6-$B$1)/365, $G6, $H6, $D6) - BSPrice($B6,$J6, $K6, $C6, ($I6-$B$1)/365, $G6, $H6, $D6)) * $F6</f>
        <v/>
      </c>
      <c r="BT6" s="60">
        <f>(BSPrice($B6*1.05,$J6+-0.05, $K6, $C6, ($I6-$B$1)/365, $G6, $H6, $D6) - BSPrice($B6,$J6, $K6, $C6, ($I6-$B$1)/365, $G6, $H6, $D6)) * $F6</f>
        <v/>
      </c>
      <c r="BU6" s="60">
        <f>(BSPrice($B6*1.05,$J6+-0.02, $K6, $C6, ($I6-$B$1)/365, $G6, $H6, $D6) - BSPrice($B6,$J6, $K6, $C6, ($I6-$B$1)/365, $G6, $H6, $D6)) * $F6</f>
        <v/>
      </c>
      <c r="BV6" s="60">
        <f>(BSPrice($B6*1.05,$J6+0, $K6, $C6, ($I6-$B$1)/365, $G6, $H6, $D6) - BSPrice($B6,$J6, $K6, $C6, ($I6-$B$1)/365, $G6, $H6, $D6)) * $F6</f>
        <v/>
      </c>
      <c r="BW6" s="60">
        <f>(BSPrice($B6*1.05,$J6+0.02, $K6, $C6, ($I6-$B$1)/365, $G6, $H6, $D6) - BSPrice($B6,$J6, $K6, $C6, ($I6-$B$1)/365, $G6, $H6, $D6)) * $F6</f>
        <v/>
      </c>
      <c r="BX6" s="60">
        <f>(BSPrice($B6*1.05,$J6+0.05, $K6, $C6, ($I6-$B$1)/365, $G6, $H6, $D6) - BSPrice($B6,$J6, $K6, $C6, ($I6-$B$1)/365, $G6, $H6, $D6)) * $F6</f>
        <v/>
      </c>
      <c r="BY6" s="60">
        <f>(BSPrice($B6*1.05,$J6+0.1, $K6, $C6, ($I6-$B$1)/365, $G6, $H6, $D6) - BSPrice($B6,$J6, $K6, $C6, ($I6-$B$1)/365, $G6, $H6, $D6)) * $F6</f>
        <v/>
      </c>
      <c r="BZ6" s="60">
        <f>(BSPrice($B6*1.05,$J6+0.2, $K6, $C6, ($I6-$B$1)/365, $G6, $H6, $D6) - BSPrice($B6,$J6, $K6, $C6, ($I6-$B$1)/365, $G6, $H6, $D6)) * $F6</f>
        <v/>
      </c>
      <c r="CA6" s="60">
        <f>(BSPrice($B6*1.1,$J6+-0.05, $K6, $C6, ($I6-$B$1)/365, $G6, $H6, $D6) - BSPrice($B6,$J6, $K6, $C6, ($I6-$B$1)/365, $G6, $H6, $D6)) * $F6</f>
        <v/>
      </c>
      <c r="CB6" s="60">
        <f>(BSPrice($B6*1.1,$J6+-0.02, $K6, $C6, ($I6-$B$1)/365, $G6, $H6, $D6) - BSPrice($B6,$J6, $K6, $C6, ($I6-$B$1)/365, $G6, $H6, $D6)) * $F6</f>
        <v/>
      </c>
      <c r="CC6" s="60">
        <f>(BSPrice($B6*1.1,$J6+0, $K6, $C6, ($I6-$B$1)/365, $G6, $H6, $D6) - BSPrice($B6,$J6, $K6, $C6, ($I6-$B$1)/365, $G6, $H6, $D6)) * $F6</f>
        <v/>
      </c>
      <c r="CD6" s="60">
        <f>(BSPrice($B6*1.1,$J6+0.02, $K6, $C6, ($I6-$B$1)/365, $G6, $H6, $D6) - BSPrice($B6,$J6, $K6, $C6, ($I6-$B$1)/365, $G6, $H6, $D6)) * $F6</f>
        <v/>
      </c>
      <c r="CE6" s="60">
        <f>(BSPrice($B6*1.1,$J6+0.05, $K6, $C6, ($I6-$B$1)/365, $G6, $H6, $D6) - BSPrice($B6,$J6, $K6, $C6, ($I6-$B$1)/365, $G6, $H6, $D6)) * $F6</f>
        <v/>
      </c>
      <c r="CF6" s="60">
        <f>(BSPrice($B6*1.1,$J6+0.1, $K6, $C6, ($I6-$B$1)/365, $G6, $H6, $D6) - BSPrice($B6,$J6, $K6, $C6, ($I6-$B$1)/365, $G6, $H6, $D6)) * $F6</f>
        <v/>
      </c>
      <c r="CG6" s="60">
        <f>(BSPrice($B6*1.1,$J6+0.2, $K6, $C6, ($I6-$B$1)/365, $G6, $H6, $D6) - BSPrice($B6,$J6, $K6, $C6, ($I6-$B$1)/365, $G6, $H6, $D6)) * $F6</f>
        <v/>
      </c>
      <c r="CH6" s="60">
        <f>(BSPrice($B6*1.2,$J6+-0.05, $K6, $C6, ($I6-$B$1)/365, $G6, $H6, $D6) - BSPrice($B6,$J6, $K6, $C6, ($I6-$B$1)/365, $G6, $H6, $D6)) * $F6</f>
        <v/>
      </c>
      <c r="CI6" s="60">
        <f>(BSPrice($B6*1.2,$J6+-0.02, $K6, $C6, ($I6-$B$1)/365, $G6, $H6, $D6) - BSPrice($B6,$J6, $K6, $C6, ($I6-$B$1)/365, $G6, $H6, $D6)) * $F6</f>
        <v/>
      </c>
      <c r="CJ6" s="60">
        <f>(BSPrice($B6*1.2,$J6+0, $K6, $C6, ($I6-$B$1)/365, $G6, $H6, $D6) - BSPrice($B6,$J6, $K6, $C6, ($I6-$B$1)/365, $G6, $H6, $D6)) * $F6</f>
        <v/>
      </c>
      <c r="CK6" s="60">
        <f>(BSPrice($B6*1.2,$J6+0.02, $K6, $C6, ($I6-$B$1)/365, $G6, $H6, $D6) - BSPrice($B6,$J6, $K6, $C6, ($I6-$B$1)/365, $G6, $H6, $D6)) * $F6</f>
        <v/>
      </c>
      <c r="CL6" s="60">
        <f>(BSPrice($B6*1.2,$J6+0.05, $K6, $C6, ($I6-$B$1)/365, $G6, $H6, $D6) - BSPrice($B6,$J6, $K6, $C6, ($I6-$B$1)/365, $G6, $H6, $D6)) * $F6</f>
        <v/>
      </c>
      <c r="CM6" s="60">
        <f>(BSPrice($B6*1.2,$J6+0.1, $K6, $C6, ($I6-$B$1)/365, $G6, $H6, $D6) - BSPrice($B6,$J6, $K6, $C6, ($I6-$B$1)/365, $G6, $H6, $D6)) * $F6</f>
        <v/>
      </c>
      <c r="CN6" s="60">
        <f>(BSPrice($B6*1.2,$J6+0.2, $K6, $C6, ($I6-$B$1)/365, $G6, $H6, $D6) - BSPrice($B6,$J6, $K6, $C6, ($I6-$B$1)/365, $G6, $H6, $D6)) * $F6</f>
        <v/>
      </c>
    </row>
    <row r="7">
      <c r="A7" s="3" t="inlineStr">
        <is>
          <t>SPX Index</t>
        </is>
      </c>
      <c r="B7" s="4">
        <f>VLOOKUP(A7,PriceData!$K$4:$L$6,2,FALSE)</f>
        <v/>
      </c>
      <c r="C7" s="46">
        <f>VLOOKUP(A7,PriceData!$K$4:$M$6,3,FALSE)</f>
        <v/>
      </c>
      <c r="D7" s="4" t="inlineStr">
        <is>
          <t>Option</t>
        </is>
      </c>
      <c r="E7" s="4" t="inlineStr">
        <is>
          <t>USD</t>
        </is>
      </c>
      <c r="F7" s="4" t="n">
        <v>-50</v>
      </c>
      <c r="G7" s="4" t="n">
        <v>1001</v>
      </c>
      <c r="H7" s="4" t="inlineStr">
        <is>
          <t>Put</t>
        </is>
      </c>
      <c r="I7" s="5" t="n">
        <v>40256</v>
      </c>
      <c r="J7" s="46">
        <f>FindImpliedVol(A7, D7, G7, I7)</f>
        <v/>
      </c>
      <c r="K7" s="30">
        <f>VLOOKUP(I7,PriceData!$A$5:$D$7,MATCH($E7,PriceData!$A$4:$D$4,0),FALSE)</f>
        <v/>
      </c>
      <c r="L7" s="2">
        <f>BSPrice($B7,$J7, $K7, $C7, ($I7-$B$1)/365, $G7, $H7, $D7)</f>
        <v/>
      </c>
      <c r="M7" s="2">
        <f>F7*L7</f>
        <v/>
      </c>
      <c r="N7" s="4" t="inlineStr">
        <is>
          <t>Exch</t>
        </is>
      </c>
      <c r="P7" s="60">
        <f>BSDelta(B7, J7, K7, C7, (I7-$B$1)/365, G7, H7, D7)</f>
        <v/>
      </c>
      <c r="Q7" s="60">
        <f>BSGamma(B7, J7, K7, C7, (I7-$B$1)/365, G7, D7)</f>
        <v/>
      </c>
      <c r="R7" s="58">
        <f>BSVega(B7, J7, K7, C7, (I7-$B$1)/365,G7, D7)</f>
        <v/>
      </c>
      <c r="S7" s="58">
        <f>BSVolga(B7, J7, K7, C7, (I7-$B$1)/365,G7, D7)</f>
        <v/>
      </c>
      <c r="T7" s="58">
        <f>BSVanna(B7,J7,K7, C7, (I7-$B$1)/365, G7, D7)</f>
        <v/>
      </c>
      <c r="U7" s="2">
        <f>BSRho(B7, J7, K7, C7, (I7-$B$1)/365, G7, H7, D7)</f>
        <v/>
      </c>
      <c r="V7" s="65">
        <f>$F7*$P7</f>
        <v/>
      </c>
      <c r="W7" s="65">
        <f>$F7*$Q7</f>
        <v/>
      </c>
      <c r="X7" s="78">
        <f>$F7*R7</f>
        <v/>
      </c>
      <c r="Y7" s="78">
        <f>$F7*S7</f>
        <v/>
      </c>
      <c r="Z7" s="78">
        <f>$F7*T7</f>
        <v/>
      </c>
      <c r="AA7" s="78">
        <f>$F7*U7</f>
        <v/>
      </c>
      <c r="AB7" s="78">
        <f>(BSPrice($B7*0.8,$J7, $K7, $C7, ($I7-$B$1)/365, $G7, $H7, $D7) - BSPrice($B7,$J7, $K7, $C7, ($I7-$B$1)/365, $G7, $H7, $D7)) * $F7</f>
        <v/>
      </c>
      <c r="AC7" s="78">
        <f>(BSPrice($B7*0.9,$J7, $K7, $C7, ($I7-$B$1)/365, $G7, $H7, $D7) - BSPrice($B7,$J7, $K7, $C7, ($I7-$B$1)/365, $G7, $H7, $D7)) * $F7</f>
        <v/>
      </c>
      <c r="AD7" s="78">
        <f>(BSPrice($B7*0.95,$J7, $K7, $C7, ($I7-$B$1)/365, $G7, $H7, $D7) - BSPrice($B7,$J7, $K7, $C7, ($I7-$B$1)/365, $G7, $H7, $D7)) * $F7</f>
        <v/>
      </c>
      <c r="AE7" s="78">
        <f>(BSPrice($B7*0.98,$J7, $K7, $C7, ($I7-$B$1)/365, $G7, $H7, $D7) - BSPrice($B7,$J7, $K7, $C7, ($I7-$B$1)/365, $G7, $H7, $D7)) * $F7</f>
        <v/>
      </c>
      <c r="AF7" s="78">
        <f>(BSPrice($B7*1.02,$J7, $K7, $C7, ($I7-$B$1)/365, $G7, $H7, $D7) - BSPrice($B7,$J7, $K7, $C7, ($I7-$B$1)/365, $G7, $H7, $D7)) * $F7</f>
        <v/>
      </c>
      <c r="AG7" s="78">
        <f>(BSPrice($B7*1.05,$J7, $K7, $C7, ($I7-$B$1)/365, $G7, $H7, $D7) - BSPrice($B7,$J7, $K7, $C7, ($I7-$B$1)/365, $G7, $H7, $D7)) * $F7</f>
        <v/>
      </c>
      <c r="AH7" s="78">
        <f>(BSPrice($B7*1.1,$J7, $K7, $C7, ($I7-$B$1)/365, $G7, $H7, $D7) - BSPrice($B7,$J7, $K7, $C7, ($I7-$B$1)/365, $G7, $H7, $D7)) * $F7</f>
        <v/>
      </c>
      <c r="AI7" s="78">
        <f>(BSPrice($B7*1.2,$J7, $K7, $C7, ($I7-$B$1)/365, $G7, $H7, $D7) - BSPrice($B7,$J7, $K7, $C7, ($I7-$B$1)/365, $G7, $H7, $D7)) * $F7</f>
        <v/>
      </c>
      <c r="AJ7" s="78">
        <f>(BSPrice($B7,$J7-0.1, $K7, $C7, ($I7-$B$1)/365, $G7, $H7, $D7) - BSPrice($B7,$J7, $K7, $C7, ($I7-$B$1)/365, $G7, $H7, $D7)) * $F7</f>
        <v/>
      </c>
      <c r="AK7" s="78">
        <f>(BSPrice($B7,$J7-0.05,$K7,$C7,($I7-$B$1)/365,$G7,$H7,$D7)-BSPrice($B7,$J7,$K7,$C7,($I7-$B$1)/365,$G7,$H7,$D7))*$F7</f>
        <v/>
      </c>
      <c r="AL7" s="78">
        <f>(BSPrice($B7,$J7-0.02, $K7, $C7, ($I7-$B$1)/365, $G7, $H7, $D7) - BSPrice($B7,$J7, $K7, $C7, ($I7-$B$1)/365, $G7, $H7, $D7)) * $F7</f>
        <v/>
      </c>
      <c r="AM7" s="78">
        <f>(BSPrice($B7,$J7-0.01, $K7, $C7, ($I7-$B$1)/365, $G7, $H7, $D7) - BSPrice($B7,$J7, $K7, $C7, ($I7-$B$1)/365, $G7, $H7, $D7)) * $F7</f>
        <v/>
      </c>
      <c r="AN7" s="78">
        <f>(BSPrice($B7,$J7+0.01, $K7, $C7, ($I7-$B$1)/365, $G7, $H7, $D7) - BSPrice($B7,$J7, $K7, $C7, ($I7-$B$1)/365, $G7, $H7, $D7)) * $F7</f>
        <v/>
      </c>
      <c r="AO7" s="78">
        <f>(BSPrice($B7,$J7+0.02, $K7, $C7, ($I7-$B$1)/365, $G7, $H7, $D7) - BSPrice($B7,$J7, $K7, $C7, ($I7-$B$1)/365, $G7, $H7, $D7)) * $F7</f>
        <v/>
      </c>
      <c r="AP7" s="78">
        <f>(BSPrice($B7,$J7+0.05, $K7, $C7, ($I7-$B$1)/365, $G7, $H7, $D7) - BSPrice($B7,$J7, $K7, $C7, ($I7-$B$1)/365, $G7, $H7, $D7)) * $F7</f>
        <v/>
      </c>
      <c r="AQ7" s="78">
        <f>(BSPrice($B7,$J7+0.1, $K7, $C7, ($I7-$B$1)/365, $G7, $H7, $D7) - BSPrice($B7,$J7, $K7, $C7, ($I7-$B$1)/365, $G7, $H7, $D7)) * $F7</f>
        <v/>
      </c>
      <c r="AR7" s="60">
        <f>(BSPrice($B7*0.8,$J7+-0.05, $K7, $C7, ($I7-$B$1)/365, $G7, $H7, $D7) - BSPrice($B7,$J7, $K7, $C7, ($I7-$B$1)/365, $G7, $H7, $D7)) * $F7</f>
        <v/>
      </c>
      <c r="AS7" s="60">
        <f>(BSPrice($B7*0.8,$J7+-0.02, $K7, $C7, ($I7-$B$1)/365, $G7, $H7, $D7) - BSPrice($B7,$J7, $K7, $C7, ($I7-$B$1)/365, $G7, $H7, $D7)) * $F7</f>
        <v/>
      </c>
      <c r="AT7" s="60">
        <f>(BSPrice($B7*0.8,$J7+0, $K7, $C7, ($I7-$B$1)/365, $G7, $H7, $D7) - BSPrice($B7,$J7, $K7, $C7, ($I7-$B$1)/365, $G7, $H7, $D7)) * $F7</f>
        <v/>
      </c>
      <c r="AU7" s="60">
        <f>(BSPrice($B7*0.8,$J7+0.02, $K7, $C7, ($I7-$B$1)/365, $G7, $H7, $D7) - BSPrice($B7,$J7, $K7, $C7, ($I7-$B$1)/365, $G7, $H7, $D7)) * $F7</f>
        <v/>
      </c>
      <c r="AV7" s="60">
        <f>(BSPrice($B7*0.8,$J7+0.05, $K7, $C7, ($I7-$B$1)/365, $G7, $H7, $D7) - BSPrice($B7,$J7, $K7, $C7, ($I7-$B$1)/365, $G7, $H7, $D7)) * $F7</f>
        <v/>
      </c>
      <c r="AW7" s="60">
        <f>(BSPrice($B7*0.8,$J7+0.1, $K7, $C7, ($I7-$B$1)/365, $G7, $H7, $D7) - BSPrice($B7,$J7, $K7, $C7, ($I7-$B$1)/365, $G7, $H7, $D7)) * $F7</f>
        <v/>
      </c>
      <c r="AX7" s="60">
        <f>(BSPrice($B7*0.8,$J7+0.2, $K7, $C7, ($I7-$B$1)/365, $G7, $H7, $D7) - BSPrice($B7,$J7, $K7, $C7, ($I7-$B$1)/365, $G7, $H7, $D7)) * $F7</f>
        <v/>
      </c>
      <c r="AY7" s="60">
        <f>(BSPrice($B7*0.9,$J7+-0.05, $K7, $C7, ($I7-$B$1)/365, $G7, $H7, $D7) - BSPrice($B7,$J7, $K7, $C7, ($I7-$B$1)/365, $G7, $H7, $D7)) * $F7</f>
        <v/>
      </c>
      <c r="AZ7" s="60">
        <f>(BSPrice($B7*0.9,$J7+-0.02, $K7, $C7, ($I7-$B$1)/365, $G7, $H7, $D7) - BSPrice($B7,$J7, $K7, $C7, ($I7-$B$1)/365, $G7, $H7, $D7)) * $F7</f>
        <v/>
      </c>
      <c r="BA7" s="60">
        <f>(BSPrice($B7*0.9,$J7+0, $K7, $C7, ($I7-$B$1)/365, $G7, $H7, $D7) - BSPrice($B7,$J7, $K7, $C7, ($I7-$B$1)/365, $G7, $H7, $D7)) * $F7</f>
        <v/>
      </c>
      <c r="BB7" s="60">
        <f>(BSPrice($B7*0.9,$J7+0.02, $K7, $C7, ($I7-$B$1)/365, $G7, $H7, $D7) - BSPrice($B7,$J7, $K7, $C7, ($I7-$B$1)/365, $G7, $H7, $D7)) * $F7</f>
        <v/>
      </c>
      <c r="BC7" s="60">
        <f>(BSPrice($B7*0.9,$J7+0.05, $K7, $C7, ($I7-$B$1)/365, $G7, $H7, $D7) - BSPrice($B7,$J7, $K7, $C7, ($I7-$B$1)/365, $G7, $H7, $D7)) * $F7</f>
        <v/>
      </c>
      <c r="BD7" s="60">
        <f>(BSPrice($B7*0.9,$J7+0.1, $K7, $C7, ($I7-$B$1)/365, $G7, $H7, $D7) - BSPrice($B7,$J7, $K7, $C7, ($I7-$B$1)/365, $G7, $H7, $D7)) * $F7</f>
        <v/>
      </c>
      <c r="BE7" s="60">
        <f>(BSPrice($B7*0.9,$J7+0.2, $K7, $C7, ($I7-$B$1)/365, $G7, $H7, $D7) - BSPrice($B7,$J7, $K7, $C7, ($I7-$B$1)/365, $G7, $H7, $D7)) * $F7</f>
        <v/>
      </c>
      <c r="BF7" s="60">
        <f>(BSPrice($B7*0.95,$J7+-0.05, $K7, $C7, ($I7-$B$1)/365, $G7, $H7, $D7) - BSPrice($B7,$J7, $K7, $C7, ($I7-$B$1)/365, $G7, $H7, $D7)) * $F7</f>
        <v/>
      </c>
      <c r="BG7" s="60">
        <f>(BSPrice($B7*0.95,$J7+-0.02, $K7, $C7, ($I7-$B$1)/365, $G7, $H7, $D7) - BSPrice($B7,$J7, $K7, $C7, ($I7-$B$1)/365, $G7, $H7, $D7)) * $F7</f>
        <v/>
      </c>
      <c r="BH7" s="60">
        <f>(BSPrice($B7*0.95,$J7+0, $K7, $C7, ($I7-$B$1)/365, $G7, $H7, $D7) - BSPrice($B7,$J7, $K7, $C7, ($I7-$B$1)/365, $G7, $H7, $D7)) * $F7</f>
        <v/>
      </c>
      <c r="BI7" s="60">
        <f>(BSPrice($B7*0.95,$J7+0.02, $K7, $C7, ($I7-$B$1)/365, $G7, $H7, $D7) - BSPrice($B7,$J7, $K7, $C7, ($I7-$B$1)/365, $G7, $H7, $D7)) * $F7</f>
        <v/>
      </c>
      <c r="BJ7" s="60">
        <f>(BSPrice($B7*0.95,$J7+0.05, $K7, $C7, ($I7-$B$1)/365, $G7, $H7, $D7) - BSPrice($B7,$J7, $K7, $C7, ($I7-$B$1)/365, $G7, $H7, $D7)) * $F7</f>
        <v/>
      </c>
      <c r="BK7" s="60">
        <f>(BSPrice($B7*0.95,$J7+0.1, $K7, $C7, ($I7-$B$1)/365, $G7, $H7, $D7) - BSPrice($B7,$J7, $K7, $C7, ($I7-$B$1)/365, $G7, $H7, $D7)) * $F7</f>
        <v/>
      </c>
      <c r="BL7" s="60">
        <f>(BSPrice($B7*0.95,$J7+0.2, $K7, $C7, ($I7-$B$1)/365, $G7, $H7, $D7) - BSPrice($B7,$J7, $K7, $C7, ($I7-$B$1)/365, $G7, $H7, $D7)) * $F7</f>
        <v/>
      </c>
      <c r="BM7" s="60">
        <f>(BSPrice($B7*1,$J7+-0.05, $K7, $C7, ($I7-$B$1)/365, $G7, $H7, $D7) - BSPrice($B7,$J7, $K7, $C7, ($I7-$B$1)/365, $G7, $H7, $D7)) * $F7</f>
        <v/>
      </c>
      <c r="BN7" s="60">
        <f>(BSPrice($B7*1,$J7+-0.02, $K7, $C7, ($I7-$B$1)/365, $G7, $H7, $D7) - BSPrice($B7,$J7, $K7, $C7, ($I7-$B$1)/365, $G7, $H7, $D7)) * $F7</f>
        <v/>
      </c>
      <c r="BO7" s="60">
        <f>(BSPrice($B7*1,$J7+0, $K7, $C7, ($I7-$B$1)/365, $G7, $H7, $D7) - BSPrice($B7,$J7, $K7, $C7, ($I7-$B$1)/365, $G7, $H7, $D7)) * $F7</f>
        <v/>
      </c>
      <c r="BP7" s="60">
        <f>(BSPrice($B7*1,$J7+0.02, $K7, $C7, ($I7-$B$1)/365, $G7, $H7, $D7) - BSPrice($B7,$J7, $K7, $C7, ($I7-$B$1)/365, $G7, $H7, $D7)) * $F7</f>
        <v/>
      </c>
      <c r="BQ7" s="60">
        <f>(BSPrice($B7*1,$J7+0.05, $K7, $C7, ($I7-$B$1)/365, $G7, $H7, $D7) - BSPrice($B7,$J7, $K7, $C7, ($I7-$B$1)/365, $G7, $H7, $D7)) * $F7</f>
        <v/>
      </c>
      <c r="BR7" s="60">
        <f>(BSPrice($B7*1,$J7+0.1, $K7, $C7, ($I7-$B$1)/365, $G7, $H7, $D7) - BSPrice($B7,$J7, $K7, $C7, ($I7-$B$1)/365, $G7, $H7, $D7)) * $F7</f>
        <v/>
      </c>
      <c r="BS7" s="60">
        <f>(BSPrice($B7*1,$J7+0.2, $K7, $C7, ($I7-$B$1)/365, $G7, $H7, $D7) - BSPrice($B7,$J7, $K7, $C7, ($I7-$B$1)/365, $G7, $H7, $D7)) * $F7</f>
        <v/>
      </c>
      <c r="BT7" s="60">
        <f>(BSPrice($B7*1.05,$J7+-0.05, $K7, $C7, ($I7-$B$1)/365, $G7, $H7, $D7) - BSPrice($B7,$J7, $K7, $C7, ($I7-$B$1)/365, $G7, $H7, $D7)) * $F7</f>
        <v/>
      </c>
      <c r="BU7" s="60">
        <f>(BSPrice($B7*1.05,$J7+-0.02, $K7, $C7, ($I7-$B$1)/365, $G7, $H7, $D7) - BSPrice($B7,$J7, $K7, $C7, ($I7-$B$1)/365, $G7, $H7, $D7)) * $F7</f>
        <v/>
      </c>
      <c r="BV7" s="60">
        <f>(BSPrice($B7*1.05,$J7+0, $K7, $C7, ($I7-$B$1)/365, $G7, $H7, $D7) - BSPrice($B7,$J7, $K7, $C7, ($I7-$B$1)/365, $G7, $H7, $D7)) * $F7</f>
        <v/>
      </c>
      <c r="BW7" s="60">
        <f>(BSPrice($B7*1.05,$J7+0.02, $K7, $C7, ($I7-$B$1)/365, $G7, $H7, $D7) - BSPrice($B7,$J7, $K7, $C7, ($I7-$B$1)/365, $G7, $H7, $D7)) * $F7</f>
        <v/>
      </c>
      <c r="BX7" s="60">
        <f>(BSPrice($B7*1.05,$J7+0.05, $K7, $C7, ($I7-$B$1)/365, $G7, $H7, $D7) - BSPrice($B7,$J7, $K7, $C7, ($I7-$B$1)/365, $G7, $H7, $D7)) * $F7</f>
        <v/>
      </c>
      <c r="BY7" s="60">
        <f>(BSPrice($B7*1.05,$J7+0.1, $K7, $C7, ($I7-$B$1)/365, $G7, $H7, $D7) - BSPrice($B7,$J7, $K7, $C7, ($I7-$B$1)/365, $G7, $H7, $D7)) * $F7</f>
        <v/>
      </c>
      <c r="BZ7" s="60">
        <f>(BSPrice($B7*1.05,$J7+0.2, $K7, $C7, ($I7-$B$1)/365, $G7, $H7, $D7) - BSPrice($B7,$J7, $K7, $C7, ($I7-$B$1)/365, $G7, $H7, $D7)) * $F7</f>
        <v/>
      </c>
      <c r="CA7" s="60">
        <f>(BSPrice($B7*1.1,$J7+-0.05, $K7, $C7, ($I7-$B$1)/365, $G7, $H7, $D7) - BSPrice($B7,$J7, $K7, $C7, ($I7-$B$1)/365, $G7, $H7, $D7)) * $F7</f>
        <v/>
      </c>
      <c r="CB7" s="60">
        <f>(BSPrice($B7*1.1,$J7+-0.02, $K7, $C7, ($I7-$B$1)/365, $G7, $H7, $D7) - BSPrice($B7,$J7, $K7, $C7, ($I7-$B$1)/365, $G7, $H7, $D7)) * $F7</f>
        <v/>
      </c>
      <c r="CC7" s="60">
        <f>(BSPrice($B7*1.1,$J7+0, $K7, $C7, ($I7-$B$1)/365, $G7, $H7, $D7) - BSPrice($B7,$J7, $K7, $C7, ($I7-$B$1)/365, $G7, $H7, $D7)) * $F7</f>
        <v/>
      </c>
      <c r="CD7" s="60">
        <f>(BSPrice($B7*1.1,$J7+0.02, $K7, $C7, ($I7-$B$1)/365, $G7, $H7, $D7) - BSPrice($B7,$J7, $K7, $C7, ($I7-$B$1)/365, $G7, $H7, $D7)) * $F7</f>
        <v/>
      </c>
      <c r="CE7" s="60">
        <f>(BSPrice($B7*1.1,$J7+0.05, $K7, $C7, ($I7-$B$1)/365, $G7, $H7, $D7) - BSPrice($B7,$J7, $K7, $C7, ($I7-$B$1)/365, $G7, $H7, $D7)) * $F7</f>
        <v/>
      </c>
      <c r="CF7" s="60">
        <f>(BSPrice($B7*1.1,$J7+0.1, $K7, $C7, ($I7-$B$1)/365, $G7, $H7, $D7) - BSPrice($B7,$J7, $K7, $C7, ($I7-$B$1)/365, $G7, $H7, $D7)) * $F7</f>
        <v/>
      </c>
      <c r="CG7" s="60">
        <f>(BSPrice($B7*1.1,$J7+0.2, $K7, $C7, ($I7-$B$1)/365, $G7, $H7, $D7) - BSPrice($B7,$J7, $K7, $C7, ($I7-$B$1)/365, $G7, $H7, $D7)) * $F7</f>
        <v/>
      </c>
      <c r="CH7" s="60">
        <f>(BSPrice($B7*1.2,$J7+-0.05, $K7, $C7, ($I7-$B$1)/365, $G7, $H7, $D7) - BSPrice($B7,$J7, $K7, $C7, ($I7-$B$1)/365, $G7, $H7, $D7)) * $F7</f>
        <v/>
      </c>
      <c r="CI7" s="60">
        <f>(BSPrice($B7*1.2,$J7+-0.02, $K7, $C7, ($I7-$B$1)/365, $G7, $H7, $D7) - BSPrice($B7,$J7, $K7, $C7, ($I7-$B$1)/365, $G7, $H7, $D7)) * $F7</f>
        <v/>
      </c>
      <c r="CJ7" s="60">
        <f>(BSPrice($B7*1.2,$J7+0, $K7, $C7, ($I7-$B$1)/365, $G7, $H7, $D7) - BSPrice($B7,$J7, $K7, $C7, ($I7-$B$1)/365, $G7, $H7, $D7)) * $F7</f>
        <v/>
      </c>
      <c r="CK7" s="60">
        <f>(BSPrice($B7*1.2,$J7+0.02, $K7, $C7, ($I7-$B$1)/365, $G7, $H7, $D7) - BSPrice($B7,$J7, $K7, $C7, ($I7-$B$1)/365, $G7, $H7, $D7)) * $F7</f>
        <v/>
      </c>
      <c r="CL7" s="60">
        <f>(BSPrice($B7*1.2,$J7+0.05, $K7, $C7, ($I7-$B$1)/365, $G7, $H7, $D7) - BSPrice($B7,$J7, $K7, $C7, ($I7-$B$1)/365, $G7, $H7, $D7)) * $F7</f>
        <v/>
      </c>
      <c r="CM7" s="60">
        <f>(BSPrice($B7*1.2,$J7+0.1, $K7, $C7, ($I7-$B$1)/365, $G7, $H7, $D7) - BSPrice($B7,$J7, $K7, $C7, ($I7-$B$1)/365, $G7, $H7, $D7)) * $F7</f>
        <v/>
      </c>
      <c r="CN7" s="60">
        <f>(BSPrice($B7*1.2,$J7+0.2, $K7, $C7, ($I7-$B$1)/365, $G7, $H7, $D7) - BSPrice($B7,$J7, $K7, $C7, ($I7-$B$1)/365, $G7, $H7, $D7)) * $F7</f>
        <v/>
      </c>
    </row>
    <row r="8">
      <c r="A8" s="3" t="inlineStr">
        <is>
          <t>SPX Index</t>
        </is>
      </c>
      <c r="B8" s="4">
        <f>VLOOKUP(A8,PriceData!$K$4:$L$6,2,FALSE)</f>
        <v/>
      </c>
      <c r="C8" s="46">
        <f>VLOOKUP(A8,PriceData!$K$4:$M$6,3,FALSE)</f>
        <v/>
      </c>
      <c r="D8" s="4" t="inlineStr">
        <is>
          <t>Option</t>
        </is>
      </c>
      <c r="E8" s="4" t="inlineStr">
        <is>
          <t>USD</t>
        </is>
      </c>
      <c r="F8" s="4" t="n">
        <v>25</v>
      </c>
      <c r="G8" s="4" t="n">
        <v>1100</v>
      </c>
      <c r="H8" s="4" t="inlineStr">
        <is>
          <t>Put</t>
        </is>
      </c>
      <c r="I8" s="5" t="n">
        <v>40256</v>
      </c>
      <c r="J8" s="46">
        <f>FindImpliedVol(A8, D8, G8, I8)</f>
        <v/>
      </c>
      <c r="K8" s="30">
        <f>VLOOKUP(I8,PriceData!$A$5:$D$7,MATCH($E8,PriceData!$A$4:$D$4,0),FALSE)</f>
        <v/>
      </c>
      <c r="L8" s="2">
        <f>BSPrice($B8,$J8, $K8, $C8, ($I8-$B$1)/365, $G8, $H8, $D8)</f>
        <v/>
      </c>
      <c r="M8" s="2">
        <f>F8*L8</f>
        <v/>
      </c>
      <c r="N8" s="4" t="inlineStr">
        <is>
          <t>GoldMine Sacks</t>
        </is>
      </c>
      <c r="P8" s="60">
        <f>BSDelta(B8, J8, K8, C8, (I8-$B$1)/365, G8, H8, D8)</f>
        <v/>
      </c>
      <c r="Q8" s="60">
        <f>BSGamma(B8, J8, K8, C8, (I8-$B$1)/365, G8, D8)</f>
        <v/>
      </c>
      <c r="R8" s="58">
        <f>BSVega(B8, J8, K8, C8, (I8-$B$1)/365,G8, D8)</f>
        <v/>
      </c>
      <c r="S8" s="58">
        <f>BSVolga(B8, J8, K8, C8, (I8-$B$1)/365,G8, D8)</f>
        <v/>
      </c>
      <c r="T8" s="58">
        <f>BSVanna(B8,J8,K8, C8, (I8-$B$1)/365, G8, D8)</f>
        <v/>
      </c>
      <c r="U8" s="2">
        <f>BSRho(B8, J8, K8, C8, (I8-$B$1)/365, G8, H8, D8)</f>
        <v/>
      </c>
      <c r="V8" s="65">
        <f>$F8*$P8</f>
        <v/>
      </c>
      <c r="W8" s="65">
        <f>$F8*$Q8</f>
        <v/>
      </c>
      <c r="X8" s="78">
        <f>$F8*R8</f>
        <v/>
      </c>
      <c r="Y8" s="78">
        <f>$F8*S8</f>
        <v/>
      </c>
      <c r="Z8" s="78">
        <f>$F8*T8</f>
        <v/>
      </c>
      <c r="AA8" s="78">
        <f>$F8*U8</f>
        <v/>
      </c>
      <c r="AB8" s="78">
        <f>(BSPrice($B8*0.8,$J8, $K8, $C8, ($I8-$B$1)/365, $G8, $H8, $D8) - BSPrice($B8,$J8, $K8, $C8, ($I8-$B$1)/365, $G8, $H8, $D8)) * $F8</f>
        <v/>
      </c>
      <c r="AC8" s="78">
        <f>(BSPrice($B8*0.9,$J8, $K8, $C8, ($I8-$B$1)/365, $G8, $H8, $D8) - BSPrice($B8,$J8, $K8, $C8, ($I8-$B$1)/365, $G8, $H8, $D8)) * $F8</f>
        <v/>
      </c>
      <c r="AD8" s="78">
        <f>(BSPrice($B8*0.95,$J8, $K8, $C8, ($I8-$B$1)/365, $G8, $H8, $D8) - BSPrice($B8,$J8, $K8, $C8, ($I8-$B$1)/365, $G8, $H8, $D8)) * $F8</f>
        <v/>
      </c>
      <c r="AE8" s="78">
        <f>(BSPrice($B8*0.98,$J8, $K8, $C8, ($I8-$B$1)/365, $G8, $H8, $D8) - BSPrice($B8,$J8, $K8, $C8, ($I8-$B$1)/365, $G8, $H8, $D8)) * $F8</f>
        <v/>
      </c>
      <c r="AF8" s="78">
        <f>(BSPrice($B8*1.02,$J8, $K8, $C8, ($I8-$B$1)/365, $G8, $H8, $D8) - BSPrice($B8,$J8, $K8, $C8, ($I8-$B$1)/365, $G8, $H8, $D8)) * $F8</f>
        <v/>
      </c>
      <c r="AG8" s="78">
        <f>(BSPrice($B8*1.05,$J8, $K8, $C8, ($I8-$B$1)/365, $G8, $H8, $D8) - BSPrice($B8,$J8, $K8, $C8, ($I8-$B$1)/365, $G8, $H8, $D8)) * $F8</f>
        <v/>
      </c>
      <c r="AH8" s="78">
        <f>(BSPrice($B8*1.1,$J8, $K8, $C8, ($I8-$B$1)/365, $G8, $H8, $D8) - BSPrice($B8,$J8, $K8, $C8, ($I8-$B$1)/365, $G8, $H8, $D8)) * $F8</f>
        <v/>
      </c>
      <c r="AI8" s="78">
        <f>(BSPrice($B8*1.2,$J8, $K8, $C8, ($I8-$B$1)/365, $G8, $H8, $D8) - BSPrice($B8,$J8, $K8, $C8, ($I8-$B$1)/365, $G8, $H8, $D8)) * $F8</f>
        <v/>
      </c>
      <c r="AJ8" s="78">
        <f>(BSPrice($B8,$J8-0.1, $K8, $C8, ($I8-$B$1)/365, $G8, $H8, $D8) - BSPrice($B8,$J8, $K8, $C8, ($I8-$B$1)/365, $G8, $H8, $D8)) * $F8</f>
        <v/>
      </c>
      <c r="AK8" s="78">
        <f>(BSPrice($B8,$J8-0.05,$K8,$C8,($I8-$B$1)/365,$G8,$H8,$D8)-BSPrice($B8,$J8,$K8,$C8,($I8-$B$1)/365,$G8,$H8,$D8))*$F8</f>
        <v/>
      </c>
      <c r="AL8" s="78">
        <f>(BSPrice($B8,$J8-0.02, $K8, $C8, ($I8-$B$1)/365, $G8, $H8, $D8) - BSPrice($B8,$J8, $K8, $C8, ($I8-$B$1)/365, $G8, $H8, $D8)) * $F8</f>
        <v/>
      </c>
      <c r="AM8" s="78">
        <f>(BSPrice($B8,$J8-0.01, $K8, $C8, ($I8-$B$1)/365, $G8, $H8, $D8) - BSPrice($B8,$J8, $K8, $C8, ($I8-$B$1)/365, $G8, $H8, $D8)) * $F8</f>
        <v/>
      </c>
      <c r="AN8" s="78">
        <f>(BSPrice($B8,$J8+0.01, $K8, $C8, ($I8-$B$1)/365, $G8, $H8, $D8) - BSPrice($B8,$J8, $K8, $C8, ($I8-$B$1)/365, $G8, $H8, $D8)) * $F8</f>
        <v/>
      </c>
      <c r="AO8" s="78">
        <f>(BSPrice($B8,$J8+0.02, $K8, $C8, ($I8-$B$1)/365, $G8, $H8, $D8) - BSPrice($B8,$J8, $K8, $C8, ($I8-$B$1)/365, $G8, $H8, $D8)) * $F8</f>
        <v/>
      </c>
      <c r="AP8" s="78">
        <f>(BSPrice($B8,$J8+0.05, $K8, $C8, ($I8-$B$1)/365, $G8, $H8, $D8) - BSPrice($B8,$J8, $K8, $C8, ($I8-$B$1)/365, $G8, $H8, $D8)) * $F8</f>
        <v/>
      </c>
      <c r="AQ8" s="78">
        <f>(BSPrice($B8,$J8+0.1, $K8, $C8, ($I8-$B$1)/365, $G8, $H8, $D8) - BSPrice($B8,$J8, $K8, $C8, ($I8-$B$1)/365, $G8, $H8, $D8)) * $F8</f>
        <v/>
      </c>
      <c r="AR8" s="60">
        <f>(BSPrice($B8*0.8,$J8+-0.05, $K8, $C8, ($I8-$B$1)/365, $G8, $H8, $D8) - BSPrice($B8,$J8, $K8, $C8, ($I8-$B$1)/365, $G8, $H8, $D8)) * $F8</f>
        <v/>
      </c>
      <c r="AS8" s="60">
        <f>(BSPrice($B8*0.8,$J8+-0.02, $K8, $C8, ($I8-$B$1)/365, $G8, $H8, $D8) - BSPrice($B8,$J8, $K8, $C8, ($I8-$B$1)/365, $G8, $H8, $D8)) * $F8</f>
        <v/>
      </c>
      <c r="AT8" s="60">
        <f>(BSPrice($B8*0.8,$J8+0, $K8, $C8, ($I8-$B$1)/365, $G8, $H8, $D8) - BSPrice($B8,$J8, $K8, $C8, ($I8-$B$1)/365, $G8, $H8, $D8)) * $F8</f>
        <v/>
      </c>
      <c r="AU8" s="60">
        <f>(BSPrice($B8*0.8,$J8+0.02, $K8, $C8, ($I8-$B$1)/365, $G8, $H8, $D8) - BSPrice($B8,$J8, $K8, $C8, ($I8-$B$1)/365, $G8, $H8, $D8)) * $F8</f>
        <v/>
      </c>
      <c r="AV8" s="60">
        <f>(BSPrice($B8*0.8,$J8+0.05, $K8, $C8, ($I8-$B$1)/365, $G8, $H8, $D8) - BSPrice($B8,$J8, $K8, $C8, ($I8-$B$1)/365, $G8, $H8, $D8)) * $F8</f>
        <v/>
      </c>
      <c r="AW8" s="60">
        <f>(BSPrice($B8*0.8,$J8+0.1, $K8, $C8, ($I8-$B$1)/365, $G8, $H8, $D8) - BSPrice($B8,$J8, $K8, $C8, ($I8-$B$1)/365, $G8, $H8, $D8)) * $F8</f>
        <v/>
      </c>
      <c r="AX8" s="60">
        <f>(BSPrice($B8*0.8,$J8+0.2, $K8, $C8, ($I8-$B$1)/365, $G8, $H8, $D8) - BSPrice($B8,$J8, $K8, $C8, ($I8-$B$1)/365, $G8, $H8, $D8)) * $F8</f>
        <v/>
      </c>
      <c r="AY8" s="60">
        <f>(BSPrice($B8*0.9,$J8+-0.05, $K8, $C8, ($I8-$B$1)/365, $G8, $H8, $D8) - BSPrice($B8,$J8, $K8, $C8, ($I8-$B$1)/365, $G8, $H8, $D8)) * $F8</f>
        <v/>
      </c>
      <c r="AZ8" s="60">
        <f>(BSPrice($B8*0.9,$J8+-0.02, $K8, $C8, ($I8-$B$1)/365, $G8, $H8, $D8) - BSPrice($B8,$J8, $K8, $C8, ($I8-$B$1)/365, $G8, $H8, $D8)) * $F8</f>
        <v/>
      </c>
      <c r="BA8" s="60">
        <f>(BSPrice($B8*0.9,$J8+0, $K8, $C8, ($I8-$B$1)/365, $G8, $H8, $D8) - BSPrice($B8,$J8, $K8, $C8, ($I8-$B$1)/365, $G8, $H8, $D8)) * $F8</f>
        <v/>
      </c>
      <c r="BB8" s="60">
        <f>(BSPrice($B8*0.9,$J8+0.02, $K8, $C8, ($I8-$B$1)/365, $G8, $H8, $D8) - BSPrice($B8,$J8, $K8, $C8, ($I8-$B$1)/365, $G8, $H8, $D8)) * $F8</f>
        <v/>
      </c>
      <c r="BC8" s="60">
        <f>(BSPrice($B8*0.9,$J8+0.05, $K8, $C8, ($I8-$B$1)/365, $G8, $H8, $D8) - BSPrice($B8,$J8, $K8, $C8, ($I8-$B$1)/365, $G8, $H8, $D8)) * $F8</f>
        <v/>
      </c>
      <c r="BD8" s="60">
        <f>(BSPrice($B8*0.9,$J8+0.1, $K8, $C8, ($I8-$B$1)/365, $G8, $H8, $D8) - BSPrice($B8,$J8, $K8, $C8, ($I8-$B$1)/365, $G8, $H8, $D8)) * $F8</f>
        <v/>
      </c>
      <c r="BE8" s="60">
        <f>(BSPrice($B8*0.9,$J8+0.2, $K8, $C8, ($I8-$B$1)/365, $G8, $H8, $D8) - BSPrice($B8,$J8, $K8, $C8, ($I8-$B$1)/365, $G8, $H8, $D8)) * $F8</f>
        <v/>
      </c>
      <c r="BF8" s="60">
        <f>(BSPrice($B8*0.95,$J8+-0.05, $K8, $C8, ($I8-$B$1)/365, $G8, $H8, $D8) - BSPrice($B8,$J8, $K8, $C8, ($I8-$B$1)/365, $G8, $H8, $D8)) * $F8</f>
        <v/>
      </c>
      <c r="BG8" s="60">
        <f>(BSPrice($B8*0.95,$J8+-0.02, $K8, $C8, ($I8-$B$1)/365, $G8, $H8, $D8) - BSPrice($B8,$J8, $K8, $C8, ($I8-$B$1)/365, $G8, $H8, $D8)) * $F8</f>
        <v/>
      </c>
      <c r="BH8" s="60">
        <f>(BSPrice($B8*0.95,$J8+0, $K8, $C8, ($I8-$B$1)/365, $G8, $H8, $D8) - BSPrice($B8,$J8, $K8, $C8, ($I8-$B$1)/365, $G8, $H8, $D8)) * $F8</f>
        <v/>
      </c>
      <c r="BI8" s="60">
        <f>(BSPrice($B8*0.95,$J8+0.02, $K8, $C8, ($I8-$B$1)/365, $G8, $H8, $D8) - BSPrice($B8,$J8, $K8, $C8, ($I8-$B$1)/365, $G8, $H8, $D8)) * $F8</f>
        <v/>
      </c>
      <c r="BJ8" s="60">
        <f>(BSPrice($B8*0.95,$J8+0.05, $K8, $C8, ($I8-$B$1)/365, $G8, $H8, $D8) - BSPrice($B8,$J8, $K8, $C8, ($I8-$B$1)/365, $G8, $H8, $D8)) * $F8</f>
        <v/>
      </c>
      <c r="BK8" s="60">
        <f>(BSPrice($B8*0.95,$J8+0.1, $K8, $C8, ($I8-$B$1)/365, $G8, $H8, $D8) - BSPrice($B8,$J8, $K8, $C8, ($I8-$B$1)/365, $G8, $H8, $D8)) * $F8</f>
        <v/>
      </c>
      <c r="BL8" s="60">
        <f>(BSPrice($B8*0.95,$J8+0.2, $K8, $C8, ($I8-$B$1)/365, $G8, $H8, $D8) - BSPrice($B8,$J8, $K8, $C8, ($I8-$B$1)/365, $G8, $H8, $D8)) * $F8</f>
        <v/>
      </c>
      <c r="BM8" s="60">
        <f>(BSPrice($B8*1,$J8+-0.05, $K8, $C8, ($I8-$B$1)/365, $G8, $H8, $D8) - BSPrice($B8,$J8, $K8, $C8, ($I8-$B$1)/365, $G8, $H8, $D8)) * $F8</f>
        <v/>
      </c>
      <c r="BN8" s="60">
        <f>(BSPrice($B8*1,$J8+-0.02, $K8, $C8, ($I8-$B$1)/365, $G8, $H8, $D8) - BSPrice($B8,$J8, $K8, $C8, ($I8-$B$1)/365, $G8, $H8, $D8)) * $F8</f>
        <v/>
      </c>
      <c r="BO8" s="60">
        <f>(BSPrice($B8*1,$J8+0, $K8, $C8, ($I8-$B$1)/365, $G8, $H8, $D8) - BSPrice($B8,$J8, $K8, $C8, ($I8-$B$1)/365, $G8, $H8, $D8)) * $F8</f>
        <v/>
      </c>
      <c r="BP8" s="60">
        <f>(BSPrice($B8*1,$J8+0.02, $K8, $C8, ($I8-$B$1)/365, $G8, $H8, $D8) - BSPrice($B8,$J8, $K8, $C8, ($I8-$B$1)/365, $G8, $H8, $D8)) * $F8</f>
        <v/>
      </c>
      <c r="BQ8" s="60">
        <f>(BSPrice($B8*1,$J8+0.05, $K8, $C8, ($I8-$B$1)/365, $G8, $H8, $D8) - BSPrice($B8,$J8, $K8, $C8, ($I8-$B$1)/365, $G8, $H8, $D8)) * $F8</f>
        <v/>
      </c>
      <c r="BR8" s="60">
        <f>(BSPrice($B8*1,$J8+0.1, $K8, $C8, ($I8-$B$1)/365, $G8, $H8, $D8) - BSPrice($B8,$J8, $K8, $C8, ($I8-$B$1)/365, $G8, $H8, $D8)) * $F8</f>
        <v/>
      </c>
      <c r="BS8" s="60">
        <f>(BSPrice($B8*1,$J8+0.2, $K8, $C8, ($I8-$B$1)/365, $G8, $H8, $D8) - BSPrice($B8,$J8, $K8, $C8, ($I8-$B$1)/365, $G8, $H8, $D8)) * $F8</f>
        <v/>
      </c>
      <c r="BT8" s="60">
        <f>(BSPrice($B8*1.05,$J8+-0.05, $K8, $C8, ($I8-$B$1)/365, $G8, $H8, $D8) - BSPrice($B8,$J8, $K8, $C8, ($I8-$B$1)/365, $G8, $H8, $D8)) * $F8</f>
        <v/>
      </c>
      <c r="BU8" s="60">
        <f>(BSPrice($B8*1.05,$J8+-0.02, $K8, $C8, ($I8-$B$1)/365, $G8, $H8, $D8) - BSPrice($B8,$J8, $K8, $C8, ($I8-$B$1)/365, $G8, $H8, $D8)) * $F8</f>
        <v/>
      </c>
      <c r="BV8" s="60">
        <f>(BSPrice($B8*1.05,$J8+0, $K8, $C8, ($I8-$B$1)/365, $G8, $H8, $D8) - BSPrice($B8,$J8, $K8, $C8, ($I8-$B$1)/365, $G8, $H8, $D8)) * $F8</f>
        <v/>
      </c>
      <c r="BW8" s="60">
        <f>(BSPrice($B8*1.05,$J8+0.02, $K8, $C8, ($I8-$B$1)/365, $G8, $H8, $D8) - BSPrice($B8,$J8, $K8, $C8, ($I8-$B$1)/365, $G8, $H8, $D8)) * $F8</f>
        <v/>
      </c>
      <c r="BX8" s="60">
        <f>(BSPrice($B8*1.05,$J8+0.05, $K8, $C8, ($I8-$B$1)/365, $G8, $H8, $D8) - BSPrice($B8,$J8, $K8, $C8, ($I8-$B$1)/365, $G8, $H8, $D8)) * $F8</f>
        <v/>
      </c>
      <c r="BY8" s="60">
        <f>(BSPrice($B8*1.05,$J8+0.1, $K8, $C8, ($I8-$B$1)/365, $G8, $H8, $D8) - BSPrice($B8,$J8, $K8, $C8, ($I8-$B$1)/365, $G8, $H8, $D8)) * $F8</f>
        <v/>
      </c>
      <c r="BZ8" s="60">
        <f>(BSPrice($B8*1.05,$J8+0.2, $K8, $C8, ($I8-$B$1)/365, $G8, $H8, $D8) - BSPrice($B8,$J8, $K8, $C8, ($I8-$B$1)/365, $G8, $H8, $D8)) * $F8</f>
        <v/>
      </c>
      <c r="CA8" s="60">
        <f>(BSPrice($B8*1.1,$J8+-0.05, $K8, $C8, ($I8-$B$1)/365, $G8, $H8, $D8) - BSPrice($B8,$J8, $K8, $C8, ($I8-$B$1)/365, $G8, $H8, $D8)) * $F8</f>
        <v/>
      </c>
      <c r="CB8" s="60">
        <f>(BSPrice($B8*1.1,$J8+-0.02, $K8, $C8, ($I8-$B$1)/365, $G8, $H8, $D8) - BSPrice($B8,$J8, $K8, $C8, ($I8-$B$1)/365, $G8, $H8, $D8)) * $F8</f>
        <v/>
      </c>
      <c r="CC8" s="60">
        <f>(BSPrice($B8*1.1,$J8+0, $K8, $C8, ($I8-$B$1)/365, $G8, $H8, $D8) - BSPrice($B8,$J8, $K8, $C8, ($I8-$B$1)/365, $G8, $H8, $D8)) * $F8</f>
        <v/>
      </c>
      <c r="CD8" s="60">
        <f>(BSPrice($B8*1.1,$J8+0.02, $K8, $C8, ($I8-$B$1)/365, $G8, $H8, $D8) - BSPrice($B8,$J8, $K8, $C8, ($I8-$B$1)/365, $G8, $H8, $D8)) * $F8</f>
        <v/>
      </c>
      <c r="CE8" s="60">
        <f>(BSPrice($B8*1.1,$J8+0.05, $K8, $C8, ($I8-$B$1)/365, $G8, $H8, $D8) - BSPrice($B8,$J8, $K8, $C8, ($I8-$B$1)/365, $G8, $H8, $D8)) * $F8</f>
        <v/>
      </c>
      <c r="CF8" s="60">
        <f>(BSPrice($B8*1.1,$J8+0.1, $K8, $C8, ($I8-$B$1)/365, $G8, $H8, $D8) - BSPrice($B8,$J8, $K8, $C8, ($I8-$B$1)/365, $G8, $H8, $D8)) * $F8</f>
        <v/>
      </c>
      <c r="CG8" s="60">
        <f>(BSPrice($B8*1.1,$J8+0.2, $K8, $C8, ($I8-$B$1)/365, $G8, $H8, $D8) - BSPrice($B8,$J8, $K8, $C8, ($I8-$B$1)/365, $G8, $H8, $D8)) * $F8</f>
        <v/>
      </c>
      <c r="CH8" s="60">
        <f>(BSPrice($B8*1.2,$J8+-0.05, $K8, $C8, ($I8-$B$1)/365, $G8, $H8, $D8) - BSPrice($B8,$J8, $K8, $C8, ($I8-$B$1)/365, $G8, $H8, $D8)) * $F8</f>
        <v/>
      </c>
      <c r="CI8" s="60">
        <f>(BSPrice($B8*1.2,$J8+-0.02, $K8, $C8, ($I8-$B$1)/365, $G8, $H8, $D8) - BSPrice($B8,$J8, $K8, $C8, ($I8-$B$1)/365, $G8, $H8, $D8)) * $F8</f>
        <v/>
      </c>
      <c r="CJ8" s="60">
        <f>(BSPrice($B8*1.2,$J8+0, $K8, $C8, ($I8-$B$1)/365, $G8, $H8, $D8) - BSPrice($B8,$J8, $K8, $C8, ($I8-$B$1)/365, $G8, $H8, $D8)) * $F8</f>
        <v/>
      </c>
      <c r="CK8" s="60">
        <f>(BSPrice($B8*1.2,$J8+0.02, $K8, $C8, ($I8-$B$1)/365, $G8, $H8, $D8) - BSPrice($B8,$J8, $K8, $C8, ($I8-$B$1)/365, $G8, $H8, $D8)) * $F8</f>
        <v/>
      </c>
      <c r="CL8" s="60">
        <f>(BSPrice($B8*1.2,$J8+0.05, $K8, $C8, ($I8-$B$1)/365, $G8, $H8, $D8) - BSPrice($B8,$J8, $K8, $C8, ($I8-$B$1)/365, $G8, $H8, $D8)) * $F8</f>
        <v/>
      </c>
      <c r="CM8" s="60">
        <f>(BSPrice($B8*1.2,$J8+0.1, $K8, $C8, ($I8-$B$1)/365, $G8, $H8, $D8) - BSPrice($B8,$J8, $K8, $C8, ($I8-$B$1)/365, $G8, $H8, $D8)) * $F8</f>
        <v/>
      </c>
      <c r="CN8" s="60">
        <f>(BSPrice($B8*1.2,$J8+0.2, $K8, $C8, ($I8-$B$1)/365, $G8, $H8, $D8) - BSPrice($B8,$J8, $K8, $C8, ($I8-$B$1)/365, $G8, $H8, $D8)) * $F8</f>
        <v/>
      </c>
    </row>
    <row r="9">
      <c r="A9" s="3" t="inlineStr">
        <is>
          <t>SPX Index</t>
        </is>
      </c>
      <c r="B9" s="4">
        <f>VLOOKUP(A9,PriceData!$K$4:$L$6,2,FALSE)</f>
        <v/>
      </c>
      <c r="C9" s="46">
        <f>VLOOKUP(A9,PriceData!$K$4:$M$6,3,FALSE)</f>
        <v/>
      </c>
      <c r="D9" s="4" t="inlineStr">
        <is>
          <t>Option</t>
        </is>
      </c>
      <c r="E9" s="4" t="inlineStr">
        <is>
          <t>USD</t>
        </is>
      </c>
      <c r="F9" s="4" t="n">
        <v>-25</v>
      </c>
      <c r="G9" s="4" t="n">
        <v>1034</v>
      </c>
      <c r="H9" s="4" t="inlineStr">
        <is>
          <t>Put</t>
        </is>
      </c>
      <c r="I9" s="5" t="n">
        <v>40256</v>
      </c>
      <c r="J9" s="46">
        <f>FindImpliedVol(A9, D9, G9, I9)</f>
        <v/>
      </c>
      <c r="K9" s="30">
        <f>VLOOKUP(I9,PriceData!$A$5:$D$7,MATCH($E9,PriceData!$A$4:$D$4,0),FALSE)</f>
        <v/>
      </c>
      <c r="L9" s="2">
        <f>BSPrice($B9,$J9, $K9, $C9, ($I9-$B$1)/365, $G9, $H9, $D9)</f>
        <v/>
      </c>
      <c r="M9" s="2">
        <f>F9*L9</f>
        <v/>
      </c>
      <c r="N9" s="4" t="inlineStr">
        <is>
          <t>Exch</t>
        </is>
      </c>
      <c r="P9" s="60">
        <f>BSDelta(B9, J9, K9, C9, (I9-$B$1)/365, G9, H9, D9)</f>
        <v/>
      </c>
      <c r="Q9" s="60">
        <f>BSGamma(B9, J9, K9, C9, (I9-$B$1)/365, G9, D9)</f>
        <v/>
      </c>
      <c r="R9" s="58">
        <f>BSVega(B9, J9, K9, C9, (I9-$B$1)/365,G9, D9)</f>
        <v/>
      </c>
      <c r="S9" s="58">
        <f>BSVolga(B9, J9, K9, C9, (I9-$B$1)/365,G9, D9)</f>
        <v/>
      </c>
      <c r="T9" s="58">
        <f>BSVanna(B9,J9,K9, C9, (I9-$B$1)/365, G9, D9)</f>
        <v/>
      </c>
      <c r="U9" s="2">
        <f>BSRho(B9, J9, K9, C9, (I9-$B$1)/365, G9, H9, D9)</f>
        <v/>
      </c>
      <c r="V9" s="65">
        <f>$F9*$P9</f>
        <v/>
      </c>
      <c r="W9" s="65">
        <f>$F9*$Q9</f>
        <v/>
      </c>
      <c r="X9" s="78">
        <f>$F9*R9</f>
        <v/>
      </c>
      <c r="Y9" s="78">
        <f>$F9*S9</f>
        <v/>
      </c>
      <c r="Z9" s="78">
        <f>$F9*T9</f>
        <v/>
      </c>
      <c r="AA9" s="78">
        <f>$F9*U9</f>
        <v/>
      </c>
      <c r="AB9" s="78">
        <f>(BSPrice($B9*0.8,$J9, $K9, $C9, ($I9-$B$1)/365, $G9, $H9, $D9) - BSPrice($B9,$J9, $K9, $C9, ($I9-$B$1)/365, $G9, $H9, $D9)) * $F9</f>
        <v/>
      </c>
      <c r="AC9" s="78">
        <f>(BSPrice($B9*0.9,$J9, $K9, $C9, ($I9-$B$1)/365, $G9, $H9, $D9) - BSPrice($B9,$J9, $K9, $C9, ($I9-$B$1)/365, $G9, $H9, $D9)) * $F9</f>
        <v/>
      </c>
      <c r="AD9" s="78">
        <f>(BSPrice($B9*0.95,$J9, $K9, $C9, ($I9-$B$1)/365, $G9, $H9, $D9) - BSPrice($B9,$J9, $K9, $C9, ($I9-$B$1)/365, $G9, $H9, $D9)) * $F9</f>
        <v/>
      </c>
      <c r="AE9" s="78">
        <f>(BSPrice($B9*0.98,$J9, $K9, $C9, ($I9-$B$1)/365, $G9, $H9, $D9) - BSPrice($B9,$J9, $K9, $C9, ($I9-$B$1)/365, $G9, $H9, $D9)) * $F9</f>
        <v/>
      </c>
      <c r="AF9" s="78">
        <f>(BSPrice($B9*1.02,$J9, $K9, $C9, ($I9-$B$1)/365, $G9, $H9, $D9) - BSPrice($B9,$J9, $K9, $C9, ($I9-$B$1)/365, $G9, $H9, $D9)) * $F9</f>
        <v/>
      </c>
      <c r="AG9" s="78">
        <f>(BSPrice($B9*1.05,$J9, $K9, $C9, ($I9-$B$1)/365, $G9, $H9, $D9) - BSPrice($B9,$J9, $K9, $C9, ($I9-$B$1)/365, $G9, $H9, $D9)) * $F9</f>
        <v/>
      </c>
      <c r="AH9" s="78">
        <f>(BSPrice($B9*1.1,$J9, $K9, $C9, ($I9-$B$1)/365, $G9, $H9, $D9) - BSPrice($B9,$J9, $K9, $C9, ($I9-$B$1)/365, $G9, $H9, $D9)) * $F9</f>
        <v/>
      </c>
      <c r="AI9" s="78">
        <f>(BSPrice($B9*1.2,$J9, $K9, $C9, ($I9-$B$1)/365, $G9, $H9, $D9) - BSPrice($B9,$J9, $K9, $C9, ($I9-$B$1)/365, $G9, $H9, $D9)) * $F9</f>
        <v/>
      </c>
      <c r="AJ9" s="78">
        <f>(BSPrice($B9,$J9-0.1, $K9, $C9, ($I9-$B$1)/365, $G9, $H9, $D9) - BSPrice($B9,$J9, $K9, $C9, ($I9-$B$1)/365, $G9, $H9, $D9)) * $F9</f>
        <v/>
      </c>
      <c r="AK9" s="78">
        <f>(BSPrice($B9,$J9-0.05,$K9,$C9,($I9-$B$1)/365,$G9,$H9,$D9)-BSPrice($B9,$J9,$K9,$C9,($I9-$B$1)/365,$G9,$H9,$D9))*$F9</f>
        <v/>
      </c>
      <c r="AL9" s="78">
        <f>(BSPrice($B9,$J9-0.02, $K9, $C9, ($I9-$B$1)/365, $G9, $H9, $D9) - BSPrice($B9,$J9, $K9, $C9, ($I9-$B$1)/365, $G9, $H9, $D9)) * $F9</f>
        <v/>
      </c>
      <c r="AM9" s="78">
        <f>(BSPrice($B9,$J9-0.01, $K9, $C9, ($I9-$B$1)/365, $G9, $H9, $D9) - BSPrice($B9,$J9, $K9, $C9, ($I9-$B$1)/365, $G9, $H9, $D9)) * $F9</f>
        <v/>
      </c>
      <c r="AN9" s="78">
        <f>(BSPrice($B9,$J9+0.01, $K9, $C9, ($I9-$B$1)/365, $G9, $H9, $D9) - BSPrice($B9,$J9, $K9, $C9, ($I9-$B$1)/365, $G9, $H9, $D9)) * $F9</f>
        <v/>
      </c>
      <c r="AO9" s="78">
        <f>(BSPrice($B9,$J9+0.02, $K9, $C9, ($I9-$B$1)/365, $G9, $H9, $D9) - BSPrice($B9,$J9, $K9, $C9, ($I9-$B$1)/365, $G9, $H9, $D9)) * $F9</f>
        <v/>
      </c>
      <c r="AP9" s="78">
        <f>(BSPrice($B9,$J9+0.05, $K9, $C9, ($I9-$B$1)/365, $G9, $H9, $D9) - BSPrice($B9,$J9, $K9, $C9, ($I9-$B$1)/365, $G9, $H9, $D9)) * $F9</f>
        <v/>
      </c>
      <c r="AQ9" s="78">
        <f>(BSPrice($B9,$J9+0.1, $K9, $C9, ($I9-$B$1)/365, $G9, $H9, $D9) - BSPrice($B9,$J9, $K9, $C9, ($I9-$B$1)/365, $G9, $H9, $D9)) * $F9</f>
        <v/>
      </c>
      <c r="AR9" s="60">
        <f>(BSPrice($B9*0.8,$J9+-0.05, $K9, $C9, ($I9-$B$1)/365, $G9, $H9, $D9) - BSPrice($B9,$J9, $K9, $C9, ($I9-$B$1)/365, $G9, $H9, $D9)) * $F9</f>
        <v/>
      </c>
      <c r="AS9" s="60">
        <f>(BSPrice($B9*0.8,$J9+-0.02, $K9, $C9, ($I9-$B$1)/365, $G9, $H9, $D9) - BSPrice($B9,$J9, $K9, $C9, ($I9-$B$1)/365, $G9, $H9, $D9)) * $F9</f>
        <v/>
      </c>
      <c r="AT9" s="60">
        <f>(BSPrice($B9*0.8,$J9+0, $K9, $C9, ($I9-$B$1)/365, $G9, $H9, $D9) - BSPrice($B9,$J9, $K9, $C9, ($I9-$B$1)/365, $G9, $H9, $D9)) * $F9</f>
        <v/>
      </c>
      <c r="AU9" s="60">
        <f>(BSPrice($B9*0.8,$J9+0.02, $K9, $C9, ($I9-$B$1)/365, $G9, $H9, $D9) - BSPrice($B9,$J9, $K9, $C9, ($I9-$B$1)/365, $G9, $H9, $D9)) * $F9</f>
        <v/>
      </c>
      <c r="AV9" s="60">
        <f>(BSPrice($B9*0.8,$J9+0.05, $K9, $C9, ($I9-$B$1)/365, $G9, $H9, $D9) - BSPrice($B9,$J9, $K9, $C9, ($I9-$B$1)/365, $G9, $H9, $D9)) * $F9</f>
        <v/>
      </c>
      <c r="AW9" s="60">
        <f>(BSPrice($B9*0.8,$J9+0.1, $K9, $C9, ($I9-$B$1)/365, $G9, $H9, $D9) - BSPrice($B9,$J9, $K9, $C9, ($I9-$B$1)/365, $G9, $H9, $D9)) * $F9</f>
        <v/>
      </c>
      <c r="AX9" s="60">
        <f>(BSPrice($B9*0.8,$J9+0.2, $K9, $C9, ($I9-$B$1)/365, $G9, $H9, $D9) - BSPrice($B9,$J9, $K9, $C9, ($I9-$B$1)/365, $G9, $H9, $D9)) * $F9</f>
        <v/>
      </c>
      <c r="AY9" s="60">
        <f>(BSPrice($B9*0.9,$J9+-0.05, $K9, $C9, ($I9-$B$1)/365, $G9, $H9, $D9) - BSPrice($B9,$J9, $K9, $C9, ($I9-$B$1)/365, $G9, $H9, $D9)) * $F9</f>
        <v/>
      </c>
      <c r="AZ9" s="60">
        <f>(BSPrice($B9*0.9,$J9+-0.02, $K9, $C9, ($I9-$B$1)/365, $G9, $H9, $D9) - BSPrice($B9,$J9, $K9, $C9, ($I9-$B$1)/365, $G9, $H9, $D9)) * $F9</f>
        <v/>
      </c>
      <c r="BA9" s="60">
        <f>(BSPrice($B9*0.9,$J9+0, $K9, $C9, ($I9-$B$1)/365, $G9, $H9, $D9) - BSPrice($B9,$J9, $K9, $C9, ($I9-$B$1)/365, $G9, $H9, $D9)) * $F9</f>
        <v/>
      </c>
      <c r="BB9" s="60">
        <f>(BSPrice($B9*0.9,$J9+0.02, $K9, $C9, ($I9-$B$1)/365, $G9, $H9, $D9) - BSPrice($B9,$J9, $K9, $C9, ($I9-$B$1)/365, $G9, $H9, $D9)) * $F9</f>
        <v/>
      </c>
      <c r="BC9" s="60">
        <f>(BSPrice($B9*0.9,$J9+0.05, $K9, $C9, ($I9-$B$1)/365, $G9, $H9, $D9) - BSPrice($B9,$J9, $K9, $C9, ($I9-$B$1)/365, $G9, $H9, $D9)) * $F9</f>
        <v/>
      </c>
      <c r="BD9" s="60">
        <f>(BSPrice($B9*0.9,$J9+0.1, $K9, $C9, ($I9-$B$1)/365, $G9, $H9, $D9) - BSPrice($B9,$J9, $K9, $C9, ($I9-$B$1)/365, $G9, $H9, $D9)) * $F9</f>
        <v/>
      </c>
      <c r="BE9" s="60">
        <f>(BSPrice($B9*0.9,$J9+0.2, $K9, $C9, ($I9-$B$1)/365, $G9, $H9, $D9) - BSPrice($B9,$J9, $K9, $C9, ($I9-$B$1)/365, $G9, $H9, $D9)) * $F9</f>
        <v/>
      </c>
      <c r="BF9" s="60">
        <f>(BSPrice($B9*0.95,$J9+-0.05, $K9, $C9, ($I9-$B$1)/365, $G9, $H9, $D9) - BSPrice($B9,$J9, $K9, $C9, ($I9-$B$1)/365, $G9, $H9, $D9)) * $F9</f>
        <v/>
      </c>
      <c r="BG9" s="60">
        <f>(BSPrice($B9*0.95,$J9+-0.02, $K9, $C9, ($I9-$B$1)/365, $G9, $H9, $D9) - BSPrice($B9,$J9, $K9, $C9, ($I9-$B$1)/365, $G9, $H9, $D9)) * $F9</f>
        <v/>
      </c>
      <c r="BH9" s="60">
        <f>(BSPrice($B9*0.95,$J9+0, $K9, $C9, ($I9-$B$1)/365, $G9, $H9, $D9) - BSPrice($B9,$J9, $K9, $C9, ($I9-$B$1)/365, $G9, $H9, $D9)) * $F9</f>
        <v/>
      </c>
      <c r="BI9" s="60">
        <f>(BSPrice($B9*0.95,$J9+0.02, $K9, $C9, ($I9-$B$1)/365, $G9, $H9, $D9) - BSPrice($B9,$J9, $K9, $C9, ($I9-$B$1)/365, $G9, $H9, $D9)) * $F9</f>
        <v/>
      </c>
      <c r="BJ9" s="60">
        <f>(BSPrice($B9*0.95,$J9+0.05, $K9, $C9, ($I9-$B$1)/365, $G9, $H9, $D9) - BSPrice($B9,$J9, $K9, $C9, ($I9-$B$1)/365, $G9, $H9, $D9)) * $F9</f>
        <v/>
      </c>
      <c r="BK9" s="60">
        <f>(BSPrice($B9*0.95,$J9+0.1, $K9, $C9, ($I9-$B$1)/365, $G9, $H9, $D9) - BSPrice($B9,$J9, $K9, $C9, ($I9-$B$1)/365, $G9, $H9, $D9)) * $F9</f>
        <v/>
      </c>
      <c r="BL9" s="60">
        <f>(BSPrice($B9*0.95,$J9+0.2, $K9, $C9, ($I9-$B$1)/365, $G9, $H9, $D9) - BSPrice($B9,$J9, $K9, $C9, ($I9-$B$1)/365, $G9, $H9, $D9)) * $F9</f>
        <v/>
      </c>
      <c r="BM9" s="60">
        <f>(BSPrice($B9*1,$J9+-0.05, $K9, $C9, ($I9-$B$1)/365, $G9, $H9, $D9) - BSPrice($B9,$J9, $K9, $C9, ($I9-$B$1)/365, $G9, $H9, $D9)) * $F9</f>
        <v/>
      </c>
      <c r="BN9" s="60">
        <f>(BSPrice($B9*1,$J9+-0.02, $K9, $C9, ($I9-$B$1)/365, $G9, $H9, $D9) - BSPrice($B9,$J9, $K9, $C9, ($I9-$B$1)/365, $G9, $H9, $D9)) * $F9</f>
        <v/>
      </c>
      <c r="BO9" s="60">
        <f>(BSPrice($B9*1,$J9+0, $K9, $C9, ($I9-$B$1)/365, $G9, $H9, $D9) - BSPrice($B9,$J9, $K9, $C9, ($I9-$B$1)/365, $G9, $H9, $D9)) * $F9</f>
        <v/>
      </c>
      <c r="BP9" s="60">
        <f>(BSPrice($B9*1,$J9+0.02, $K9, $C9, ($I9-$B$1)/365, $G9, $H9, $D9) - BSPrice($B9,$J9, $K9, $C9, ($I9-$B$1)/365, $G9, $H9, $D9)) * $F9</f>
        <v/>
      </c>
      <c r="BQ9" s="60">
        <f>(BSPrice($B9*1,$J9+0.05, $K9, $C9, ($I9-$B$1)/365, $G9, $H9, $D9) - BSPrice($B9,$J9, $K9, $C9, ($I9-$B$1)/365, $G9, $H9, $D9)) * $F9</f>
        <v/>
      </c>
      <c r="BR9" s="60">
        <f>(BSPrice($B9*1,$J9+0.1, $K9, $C9, ($I9-$B$1)/365, $G9, $H9, $D9) - BSPrice($B9,$J9, $K9, $C9, ($I9-$B$1)/365, $G9, $H9, $D9)) * $F9</f>
        <v/>
      </c>
      <c r="BS9" s="60">
        <f>(BSPrice($B9*1,$J9+0.2, $K9, $C9, ($I9-$B$1)/365, $G9, $H9, $D9) - BSPrice($B9,$J9, $K9, $C9, ($I9-$B$1)/365, $G9, $H9, $D9)) * $F9</f>
        <v/>
      </c>
      <c r="BT9" s="60">
        <f>(BSPrice($B9*1.05,$J9+-0.05, $K9, $C9, ($I9-$B$1)/365, $G9, $H9, $D9) - BSPrice($B9,$J9, $K9, $C9, ($I9-$B$1)/365, $G9, $H9, $D9)) * $F9</f>
        <v/>
      </c>
      <c r="BU9" s="60">
        <f>(BSPrice($B9*1.05,$J9+-0.02, $K9, $C9, ($I9-$B$1)/365, $G9, $H9, $D9) - BSPrice($B9,$J9, $K9, $C9, ($I9-$B$1)/365, $G9, $H9, $D9)) * $F9</f>
        <v/>
      </c>
      <c r="BV9" s="60">
        <f>(BSPrice($B9*1.05,$J9+0, $K9, $C9, ($I9-$B$1)/365, $G9, $H9, $D9) - BSPrice($B9,$J9, $K9, $C9, ($I9-$B$1)/365, $G9, $H9, $D9)) * $F9</f>
        <v/>
      </c>
      <c r="BW9" s="60">
        <f>(BSPrice($B9*1.05,$J9+0.02, $K9, $C9, ($I9-$B$1)/365, $G9, $H9, $D9) - BSPrice($B9,$J9, $K9, $C9, ($I9-$B$1)/365, $G9, $H9, $D9)) * $F9</f>
        <v/>
      </c>
      <c r="BX9" s="60">
        <f>(BSPrice($B9*1.05,$J9+0.05, $K9, $C9, ($I9-$B$1)/365, $G9, $H9, $D9) - BSPrice($B9,$J9, $K9, $C9, ($I9-$B$1)/365, $G9, $H9, $D9)) * $F9</f>
        <v/>
      </c>
      <c r="BY9" s="60">
        <f>(BSPrice($B9*1.05,$J9+0.1, $K9, $C9, ($I9-$B$1)/365, $G9, $H9, $D9) - BSPrice($B9,$J9, $K9, $C9, ($I9-$B$1)/365, $G9, $H9, $D9)) * $F9</f>
        <v/>
      </c>
      <c r="BZ9" s="60">
        <f>(BSPrice($B9*1.05,$J9+0.2, $K9, $C9, ($I9-$B$1)/365, $G9, $H9, $D9) - BSPrice($B9,$J9, $K9, $C9, ($I9-$B$1)/365, $G9, $H9, $D9)) * $F9</f>
        <v/>
      </c>
      <c r="CA9" s="60">
        <f>(BSPrice($B9*1.1,$J9+-0.05, $K9, $C9, ($I9-$B$1)/365, $G9, $H9, $D9) - BSPrice($B9,$J9, $K9, $C9, ($I9-$B$1)/365, $G9, $H9, $D9)) * $F9</f>
        <v/>
      </c>
      <c r="CB9" s="60">
        <f>(BSPrice($B9*1.1,$J9+-0.02, $K9, $C9, ($I9-$B$1)/365, $G9, $H9, $D9) - BSPrice($B9,$J9, $K9, $C9, ($I9-$B$1)/365, $G9, $H9, $D9)) * $F9</f>
        <v/>
      </c>
      <c r="CC9" s="60">
        <f>(BSPrice($B9*1.1,$J9+0, $K9, $C9, ($I9-$B$1)/365, $G9, $H9, $D9) - BSPrice($B9,$J9, $K9, $C9, ($I9-$B$1)/365, $G9, $H9, $D9)) * $F9</f>
        <v/>
      </c>
      <c r="CD9" s="60">
        <f>(BSPrice($B9*1.1,$J9+0.02, $K9, $C9, ($I9-$B$1)/365, $G9, $H9, $D9) - BSPrice($B9,$J9, $K9, $C9, ($I9-$B$1)/365, $G9, $H9, $D9)) * $F9</f>
        <v/>
      </c>
      <c r="CE9" s="60">
        <f>(BSPrice($B9*1.1,$J9+0.05, $K9, $C9, ($I9-$B$1)/365, $G9, $H9, $D9) - BSPrice($B9,$J9, $K9, $C9, ($I9-$B$1)/365, $G9, $H9, $D9)) * $F9</f>
        <v/>
      </c>
      <c r="CF9" s="60">
        <f>(BSPrice($B9*1.1,$J9+0.1, $K9, $C9, ($I9-$B$1)/365, $G9, $H9, $D9) - BSPrice($B9,$J9, $K9, $C9, ($I9-$B$1)/365, $G9, $H9, $D9)) * $F9</f>
        <v/>
      </c>
      <c r="CG9" s="60">
        <f>(BSPrice($B9*1.1,$J9+0.2, $K9, $C9, ($I9-$B$1)/365, $G9, $H9, $D9) - BSPrice($B9,$J9, $K9, $C9, ($I9-$B$1)/365, $G9, $H9, $D9)) * $F9</f>
        <v/>
      </c>
      <c r="CH9" s="60">
        <f>(BSPrice($B9*1.2,$J9+-0.05, $K9, $C9, ($I9-$B$1)/365, $G9, $H9, $D9) - BSPrice($B9,$J9, $K9, $C9, ($I9-$B$1)/365, $G9, $H9, $D9)) * $F9</f>
        <v/>
      </c>
      <c r="CI9" s="60">
        <f>(BSPrice($B9*1.2,$J9+-0.02, $K9, $C9, ($I9-$B$1)/365, $G9, $H9, $D9) - BSPrice($B9,$J9, $K9, $C9, ($I9-$B$1)/365, $G9, $H9, $D9)) * $F9</f>
        <v/>
      </c>
      <c r="CJ9" s="60">
        <f>(BSPrice($B9*1.2,$J9+0, $K9, $C9, ($I9-$B$1)/365, $G9, $H9, $D9) - BSPrice($B9,$J9, $K9, $C9, ($I9-$B$1)/365, $G9, $H9, $D9)) * $F9</f>
        <v/>
      </c>
      <c r="CK9" s="60">
        <f>(BSPrice($B9*1.2,$J9+0.02, $K9, $C9, ($I9-$B$1)/365, $G9, $H9, $D9) - BSPrice($B9,$J9, $K9, $C9, ($I9-$B$1)/365, $G9, $H9, $D9)) * $F9</f>
        <v/>
      </c>
      <c r="CL9" s="60">
        <f>(BSPrice($B9*1.2,$J9+0.05, $K9, $C9, ($I9-$B$1)/365, $G9, $H9, $D9) - BSPrice($B9,$J9, $K9, $C9, ($I9-$B$1)/365, $G9, $H9, $D9)) * $F9</f>
        <v/>
      </c>
      <c r="CM9" s="60">
        <f>(BSPrice($B9*1.2,$J9+0.1, $K9, $C9, ($I9-$B$1)/365, $G9, $H9, $D9) - BSPrice($B9,$J9, $K9, $C9, ($I9-$B$1)/365, $G9, $H9, $D9)) * $F9</f>
        <v/>
      </c>
      <c r="CN9" s="60">
        <f>(BSPrice($B9*1.2,$J9+0.2, $K9, $C9, ($I9-$B$1)/365, $G9, $H9, $D9) - BSPrice($B9,$J9, $K9, $C9, ($I9-$B$1)/365, $G9, $H9, $D9)) * $F9</f>
        <v/>
      </c>
    </row>
    <row r="10">
      <c r="A10" s="3" t="inlineStr">
        <is>
          <t>SPX Index</t>
        </is>
      </c>
      <c r="B10" s="4">
        <f>VLOOKUP(A10,PriceData!$K$4:$L$6,2,FALSE)</f>
        <v/>
      </c>
      <c r="C10" s="46">
        <f>VLOOKUP(A10,PriceData!$K$4:$M$6,3,FALSE)</f>
        <v/>
      </c>
      <c r="D10" s="4" t="inlineStr">
        <is>
          <t>Option</t>
        </is>
      </c>
      <c r="E10" s="4" t="inlineStr">
        <is>
          <t>USD</t>
        </is>
      </c>
      <c r="F10" s="4" t="n">
        <v>25</v>
      </c>
      <c r="G10" s="4" t="n">
        <v>1232</v>
      </c>
      <c r="H10" s="4" t="inlineStr">
        <is>
          <t>Call</t>
        </is>
      </c>
      <c r="I10" s="5" t="n">
        <v>40256</v>
      </c>
      <c r="J10" s="46">
        <f>FindImpliedVol(A10, D10, G10, I10)</f>
        <v/>
      </c>
      <c r="K10" s="30">
        <f>VLOOKUP(I10,PriceData!$A$5:$D$7,MATCH($E10,PriceData!$A$4:$D$4,0),FALSE)</f>
        <v/>
      </c>
      <c r="L10" s="2">
        <f>BSPrice($B10,$J10, $K10, $C10, ($I10-$B$1)/365, $G10, $H10, $D10)</f>
        <v/>
      </c>
      <c r="M10" s="2">
        <f>F10*L10</f>
        <v/>
      </c>
      <c r="N10" s="4" t="inlineStr">
        <is>
          <t>Exch</t>
        </is>
      </c>
      <c r="P10" s="60">
        <f>BSDelta(B10, J10, K10, C10, (I10-$B$1)/365, G10, H10, D10)</f>
        <v/>
      </c>
      <c r="Q10" s="60">
        <f>BSGamma(B10, J10, K10, C10, (I10-$B$1)/365, G10, D10)</f>
        <v/>
      </c>
      <c r="R10" s="58">
        <f>BSVega(B10, J10, K10, C10, (I10-$B$1)/365,G10, D10)</f>
        <v/>
      </c>
      <c r="S10" s="58">
        <f>BSVolga(B10, J10, K10, C10, (I10-$B$1)/365,G10, D10)</f>
        <v/>
      </c>
      <c r="T10" s="58">
        <f>BSVanna(B10,J10,K10, C10, (I10-$B$1)/365, G10, D10)</f>
        <v/>
      </c>
      <c r="U10" s="2">
        <f>BSRho(B10, J10, K10, C10, (I10-$B$1)/365, G10, H10, D10)</f>
        <v/>
      </c>
      <c r="V10" s="65">
        <f>$F10*$P10</f>
        <v/>
      </c>
      <c r="W10" s="65">
        <f>$F10*$Q10</f>
        <v/>
      </c>
      <c r="X10" s="78">
        <f>$F10*R10</f>
        <v/>
      </c>
      <c r="Y10" s="78">
        <f>$F10*S10</f>
        <v/>
      </c>
      <c r="Z10" s="78">
        <f>$F10*T10</f>
        <v/>
      </c>
      <c r="AA10" s="78">
        <f>$F10*U10</f>
        <v/>
      </c>
      <c r="AB10" s="78">
        <f>(BSPrice($B10*0.8,$J10, $K10, $C10, ($I10-$B$1)/365, $G10, $H10, $D10) - BSPrice($B10,$J10, $K10, $C10, ($I10-$B$1)/365, $G10, $H10, $D10)) * $F10</f>
        <v/>
      </c>
      <c r="AC10" s="78">
        <f>(BSPrice($B10*0.9,$J10, $K10, $C10, ($I10-$B$1)/365, $G10, $H10, $D10) - BSPrice($B10,$J10, $K10, $C10, ($I10-$B$1)/365, $G10, $H10, $D10)) * $F10</f>
        <v/>
      </c>
      <c r="AD10" s="78">
        <f>(BSPrice($B10*0.95,$J10, $K10, $C10, ($I10-$B$1)/365, $G10, $H10, $D10) - BSPrice($B10,$J10, $K10, $C10, ($I10-$B$1)/365, $G10, $H10, $D10)) * $F10</f>
        <v/>
      </c>
      <c r="AE10" s="78">
        <f>(BSPrice($B10*0.98,$J10, $K10, $C10, ($I10-$B$1)/365, $G10, $H10, $D10) - BSPrice($B10,$J10, $K10, $C10, ($I10-$B$1)/365, $G10, $H10, $D10)) * $F10</f>
        <v/>
      </c>
      <c r="AF10" s="78">
        <f>(BSPrice($B10*1.02,$J10, $K10, $C10, ($I10-$B$1)/365, $G10, $H10, $D10) - BSPrice($B10,$J10, $K10, $C10, ($I10-$B$1)/365, $G10, $H10, $D10)) * $F10</f>
        <v/>
      </c>
      <c r="AG10" s="78">
        <f>(BSPrice($B10*1.05,$J10, $K10, $C10, ($I10-$B$1)/365, $G10, $H10, $D10) - BSPrice($B10,$J10, $K10, $C10, ($I10-$B$1)/365, $G10, $H10, $D10)) * $F10</f>
        <v/>
      </c>
      <c r="AH10" s="78">
        <f>(BSPrice($B10*1.1,$J10, $K10, $C10, ($I10-$B$1)/365, $G10, $H10, $D10) - BSPrice($B10,$J10, $K10, $C10, ($I10-$B$1)/365, $G10, $H10, $D10)) * $F10</f>
        <v/>
      </c>
      <c r="AI10" s="78">
        <f>(BSPrice($B10*1.2,$J10, $K10, $C10, ($I10-$B$1)/365, $G10, $H10, $D10) - BSPrice($B10,$J10, $K10, $C10, ($I10-$B$1)/365, $G10, $H10, $D10)) * $F10</f>
        <v/>
      </c>
      <c r="AJ10" s="78">
        <f>(BSPrice($B10,$J10-0.1, $K10, $C10, ($I10-$B$1)/365, $G10, $H10, $D10) - BSPrice($B10,$J10, $K10, $C10, ($I10-$B$1)/365, $G10, $H10, $D10)) * $F10</f>
        <v/>
      </c>
      <c r="AK10" s="78">
        <f>(BSPrice($B10,$J10-0.05,$K10,$C10,($I10-$B$1)/365,$G10,$H10,$D10)-BSPrice($B10,$J10,$K10,$C10,($I10-$B$1)/365,$G10,$H10,$D10))*$F10</f>
        <v/>
      </c>
      <c r="AL10" s="78">
        <f>(BSPrice($B10,$J10-0.02, $K10, $C10, ($I10-$B$1)/365, $G10, $H10, $D10) - BSPrice($B10,$J10, $K10, $C10, ($I10-$B$1)/365, $G10, $H10, $D10)) * $F10</f>
        <v/>
      </c>
      <c r="AM10" s="78">
        <f>(BSPrice($B10,$J10-0.01, $K10, $C10, ($I10-$B$1)/365, $G10, $H10, $D10) - BSPrice($B10,$J10, $K10, $C10, ($I10-$B$1)/365, $G10, $H10, $D10)) * $F10</f>
        <v/>
      </c>
      <c r="AN10" s="78">
        <f>(BSPrice($B10,$J10+0.01, $K10, $C10, ($I10-$B$1)/365, $G10, $H10, $D10) - BSPrice($B10,$J10, $K10, $C10, ($I10-$B$1)/365, $G10, $H10, $D10)) * $F10</f>
        <v/>
      </c>
      <c r="AO10" s="78">
        <f>(BSPrice($B10,$J10+0.02, $K10, $C10, ($I10-$B$1)/365, $G10, $H10, $D10) - BSPrice($B10,$J10, $K10, $C10, ($I10-$B$1)/365, $G10, $H10, $D10)) * $F10</f>
        <v/>
      </c>
      <c r="AP10" s="78">
        <f>(BSPrice($B10,$J10+0.05, $K10, $C10, ($I10-$B$1)/365, $G10, $H10, $D10) - BSPrice($B10,$J10, $K10, $C10, ($I10-$B$1)/365, $G10, $H10, $D10)) * $F10</f>
        <v/>
      </c>
      <c r="AQ10" s="78">
        <f>(BSPrice($B10,$J10+0.1, $K10, $C10, ($I10-$B$1)/365, $G10, $H10, $D10) - BSPrice($B10,$J10, $K10, $C10, ($I10-$B$1)/365, $G10, $H10, $D10)) * $F10</f>
        <v/>
      </c>
      <c r="AR10" s="60">
        <f>(BSPrice($B10*0.8,$J10+-0.05, $K10, $C10, ($I10-$B$1)/365, $G10, $H10, $D10) - BSPrice($B10,$J10, $K10, $C10, ($I10-$B$1)/365, $G10, $H10, $D10)) * $F10</f>
        <v/>
      </c>
      <c r="AS10" s="60">
        <f>(BSPrice($B10*0.8,$J10+-0.02, $K10, $C10, ($I10-$B$1)/365, $G10, $H10, $D10) - BSPrice($B10,$J10, $K10, $C10, ($I10-$B$1)/365, $G10, $H10, $D10)) * $F10</f>
        <v/>
      </c>
      <c r="AT10" s="60">
        <f>(BSPrice($B10*0.8,$J10+0, $K10, $C10, ($I10-$B$1)/365, $G10, $H10, $D10) - BSPrice($B10,$J10, $K10, $C10, ($I10-$B$1)/365, $G10, $H10, $D10)) * $F10</f>
        <v/>
      </c>
      <c r="AU10" s="60">
        <f>(BSPrice($B10*0.8,$J10+0.02, $K10, $C10, ($I10-$B$1)/365, $G10, $H10, $D10) - BSPrice($B10,$J10, $K10, $C10, ($I10-$B$1)/365, $G10, $H10, $D10)) * $F10</f>
        <v/>
      </c>
      <c r="AV10" s="60">
        <f>(BSPrice($B10*0.8,$J10+0.05, $K10, $C10, ($I10-$B$1)/365, $G10, $H10, $D10) - BSPrice($B10,$J10, $K10, $C10, ($I10-$B$1)/365, $G10, $H10, $D10)) * $F10</f>
        <v/>
      </c>
      <c r="AW10" s="60">
        <f>(BSPrice($B10*0.8,$J10+0.1, $K10, $C10, ($I10-$B$1)/365, $G10, $H10, $D10) - BSPrice($B10,$J10, $K10, $C10, ($I10-$B$1)/365, $G10, $H10, $D10)) * $F10</f>
        <v/>
      </c>
      <c r="AX10" s="60">
        <f>(BSPrice($B10*0.8,$J10+0.2, $K10, $C10, ($I10-$B$1)/365, $G10, $H10, $D10) - BSPrice($B10,$J10, $K10, $C10, ($I10-$B$1)/365, $G10, $H10, $D10)) * $F10</f>
        <v/>
      </c>
      <c r="AY10" s="60">
        <f>(BSPrice($B10*0.9,$J10+-0.05, $K10, $C10, ($I10-$B$1)/365, $G10, $H10, $D10) - BSPrice($B10,$J10, $K10, $C10, ($I10-$B$1)/365, $G10, $H10, $D10)) * $F10</f>
        <v/>
      </c>
      <c r="AZ10" s="60">
        <f>(BSPrice($B10*0.9,$J10+-0.02, $K10, $C10, ($I10-$B$1)/365, $G10, $H10, $D10) - BSPrice($B10,$J10, $K10, $C10, ($I10-$B$1)/365, $G10, $H10, $D10)) * $F10</f>
        <v/>
      </c>
      <c r="BA10" s="60">
        <f>(BSPrice($B10*0.9,$J10+0, $K10, $C10, ($I10-$B$1)/365, $G10, $H10, $D10) - BSPrice($B10,$J10, $K10, $C10, ($I10-$B$1)/365, $G10, $H10, $D10)) * $F10</f>
        <v/>
      </c>
      <c r="BB10" s="60">
        <f>(BSPrice($B10*0.9,$J10+0.02, $K10, $C10, ($I10-$B$1)/365, $G10, $H10, $D10) - BSPrice($B10,$J10, $K10, $C10, ($I10-$B$1)/365, $G10, $H10, $D10)) * $F10</f>
        <v/>
      </c>
      <c r="BC10" s="60">
        <f>(BSPrice($B10*0.9,$J10+0.05, $K10, $C10, ($I10-$B$1)/365, $G10, $H10, $D10) - BSPrice($B10,$J10, $K10, $C10, ($I10-$B$1)/365, $G10, $H10, $D10)) * $F10</f>
        <v/>
      </c>
      <c r="BD10" s="60">
        <f>(BSPrice($B10*0.9,$J10+0.1, $K10, $C10, ($I10-$B$1)/365, $G10, $H10, $D10) - BSPrice($B10,$J10, $K10, $C10, ($I10-$B$1)/365, $G10, $H10, $D10)) * $F10</f>
        <v/>
      </c>
      <c r="BE10" s="60">
        <f>(BSPrice($B10*0.9,$J10+0.2, $K10, $C10, ($I10-$B$1)/365, $G10, $H10, $D10) - BSPrice($B10,$J10, $K10, $C10, ($I10-$B$1)/365, $G10, $H10, $D10)) * $F10</f>
        <v/>
      </c>
      <c r="BF10" s="60">
        <f>(BSPrice($B10*0.95,$J10+-0.05, $K10, $C10, ($I10-$B$1)/365, $G10, $H10, $D10) - BSPrice($B10,$J10, $K10, $C10, ($I10-$B$1)/365, $G10, $H10, $D10)) * $F10</f>
        <v/>
      </c>
      <c r="BG10" s="60">
        <f>(BSPrice($B10*0.95,$J10+-0.02, $K10, $C10, ($I10-$B$1)/365, $G10, $H10, $D10) - BSPrice($B10,$J10, $K10, $C10, ($I10-$B$1)/365, $G10, $H10, $D10)) * $F10</f>
        <v/>
      </c>
      <c r="BH10" s="60">
        <f>(BSPrice($B10*0.95,$J10+0, $K10, $C10, ($I10-$B$1)/365, $G10, $H10, $D10) - BSPrice($B10,$J10, $K10, $C10, ($I10-$B$1)/365, $G10, $H10, $D10)) * $F10</f>
        <v/>
      </c>
      <c r="BI10" s="60">
        <f>(BSPrice($B10*0.95,$J10+0.02, $K10, $C10, ($I10-$B$1)/365, $G10, $H10, $D10) - BSPrice($B10,$J10, $K10, $C10, ($I10-$B$1)/365, $G10, $H10, $D10)) * $F10</f>
        <v/>
      </c>
      <c r="BJ10" s="60">
        <f>(BSPrice($B10*0.95,$J10+0.05, $K10, $C10, ($I10-$B$1)/365, $G10, $H10, $D10) - BSPrice($B10,$J10, $K10, $C10, ($I10-$B$1)/365, $G10, $H10, $D10)) * $F10</f>
        <v/>
      </c>
      <c r="BK10" s="60">
        <f>(BSPrice($B10*0.95,$J10+0.1, $K10, $C10, ($I10-$B$1)/365, $G10, $H10, $D10) - BSPrice($B10,$J10, $K10, $C10, ($I10-$B$1)/365, $G10, $H10, $D10)) * $F10</f>
        <v/>
      </c>
      <c r="BL10" s="60">
        <f>(BSPrice($B10*0.95,$J10+0.2, $K10, $C10, ($I10-$B$1)/365, $G10, $H10, $D10) - BSPrice($B10,$J10, $K10, $C10, ($I10-$B$1)/365, $G10, $H10, $D10)) * $F10</f>
        <v/>
      </c>
      <c r="BM10" s="60">
        <f>(BSPrice($B10*1,$J10+-0.05, $K10, $C10, ($I10-$B$1)/365, $G10, $H10, $D10) - BSPrice($B10,$J10, $K10, $C10, ($I10-$B$1)/365, $G10, $H10, $D10)) * $F10</f>
        <v/>
      </c>
      <c r="BN10" s="60">
        <f>(BSPrice($B10*1,$J10+-0.02, $K10, $C10, ($I10-$B$1)/365, $G10, $H10, $D10) - BSPrice($B10,$J10, $K10, $C10, ($I10-$B$1)/365, $G10, $H10, $D10)) * $F10</f>
        <v/>
      </c>
      <c r="BO10" s="60">
        <f>(BSPrice($B10*1,$J10+0, $K10, $C10, ($I10-$B$1)/365, $G10, $H10, $D10) - BSPrice($B10,$J10, $K10, $C10, ($I10-$B$1)/365, $G10, $H10, $D10)) * $F10</f>
        <v/>
      </c>
      <c r="BP10" s="60">
        <f>(BSPrice($B10*1,$J10+0.02, $K10, $C10, ($I10-$B$1)/365, $G10, $H10, $D10) - BSPrice($B10,$J10, $K10, $C10, ($I10-$B$1)/365, $G10, $H10, $D10)) * $F10</f>
        <v/>
      </c>
      <c r="BQ10" s="60">
        <f>(BSPrice($B10*1,$J10+0.05, $K10, $C10, ($I10-$B$1)/365, $G10, $H10, $D10) - BSPrice($B10,$J10, $K10, $C10, ($I10-$B$1)/365, $G10, $H10, $D10)) * $F10</f>
        <v/>
      </c>
      <c r="BR10" s="60">
        <f>(BSPrice($B10*1,$J10+0.1, $K10, $C10, ($I10-$B$1)/365, $G10, $H10, $D10) - BSPrice($B10,$J10, $K10, $C10, ($I10-$B$1)/365, $G10, $H10, $D10)) * $F10</f>
        <v/>
      </c>
      <c r="BS10" s="60">
        <f>(BSPrice($B10*1,$J10+0.2, $K10, $C10, ($I10-$B$1)/365, $G10, $H10, $D10) - BSPrice($B10,$J10, $K10, $C10, ($I10-$B$1)/365, $G10, $H10, $D10)) * $F10</f>
        <v/>
      </c>
      <c r="BT10" s="60">
        <f>(BSPrice($B10*1.05,$J10+-0.05, $K10, $C10, ($I10-$B$1)/365, $G10, $H10, $D10) - BSPrice($B10,$J10, $K10, $C10, ($I10-$B$1)/365, $G10, $H10, $D10)) * $F10</f>
        <v/>
      </c>
      <c r="BU10" s="60">
        <f>(BSPrice($B10*1.05,$J10+-0.02, $K10, $C10, ($I10-$B$1)/365, $G10, $H10, $D10) - BSPrice($B10,$J10, $K10, $C10, ($I10-$B$1)/365, $G10, $H10, $D10)) * $F10</f>
        <v/>
      </c>
      <c r="BV10" s="60">
        <f>(BSPrice($B10*1.05,$J10+0, $K10, $C10, ($I10-$B$1)/365, $G10, $H10, $D10) - BSPrice($B10,$J10, $K10, $C10, ($I10-$B$1)/365, $G10, $H10, $D10)) * $F10</f>
        <v/>
      </c>
      <c r="BW10" s="60">
        <f>(BSPrice($B10*1.05,$J10+0.02, $K10, $C10, ($I10-$B$1)/365, $G10, $H10, $D10) - BSPrice($B10,$J10, $K10, $C10, ($I10-$B$1)/365, $G10, $H10, $D10)) * $F10</f>
        <v/>
      </c>
      <c r="BX10" s="60">
        <f>(BSPrice($B10*1.05,$J10+0.05, $K10, $C10, ($I10-$B$1)/365, $G10, $H10, $D10) - BSPrice($B10,$J10, $K10, $C10, ($I10-$B$1)/365, $G10, $H10, $D10)) * $F10</f>
        <v/>
      </c>
      <c r="BY10" s="60">
        <f>(BSPrice($B10*1.05,$J10+0.1, $K10, $C10, ($I10-$B$1)/365, $G10, $H10, $D10) - BSPrice($B10,$J10, $K10, $C10, ($I10-$B$1)/365, $G10, $H10, $D10)) * $F10</f>
        <v/>
      </c>
      <c r="BZ10" s="60">
        <f>(BSPrice($B10*1.05,$J10+0.2, $K10, $C10, ($I10-$B$1)/365, $G10, $H10, $D10) - BSPrice($B10,$J10, $K10, $C10, ($I10-$B$1)/365, $G10, $H10, $D10)) * $F10</f>
        <v/>
      </c>
      <c r="CA10" s="60">
        <f>(BSPrice($B10*1.1,$J10+-0.05, $K10, $C10, ($I10-$B$1)/365, $G10, $H10, $D10) - BSPrice($B10,$J10, $K10, $C10, ($I10-$B$1)/365, $G10, $H10, $D10)) * $F10</f>
        <v/>
      </c>
      <c r="CB10" s="60">
        <f>(BSPrice($B10*1.1,$J10+-0.02, $K10, $C10, ($I10-$B$1)/365, $G10, $H10, $D10) - BSPrice($B10,$J10, $K10, $C10, ($I10-$B$1)/365, $G10, $H10, $D10)) * $F10</f>
        <v/>
      </c>
      <c r="CC10" s="60">
        <f>(BSPrice($B10*1.1,$J10+0, $K10, $C10, ($I10-$B$1)/365, $G10, $H10, $D10) - BSPrice($B10,$J10, $K10, $C10, ($I10-$B$1)/365, $G10, $H10, $D10)) * $F10</f>
        <v/>
      </c>
      <c r="CD10" s="60">
        <f>(BSPrice($B10*1.1,$J10+0.02, $K10, $C10, ($I10-$B$1)/365, $G10, $H10, $D10) - BSPrice($B10,$J10, $K10, $C10, ($I10-$B$1)/365, $G10, $H10, $D10)) * $F10</f>
        <v/>
      </c>
      <c r="CE10" s="60">
        <f>(BSPrice($B10*1.1,$J10+0.05, $K10, $C10, ($I10-$B$1)/365, $G10, $H10, $D10) - BSPrice($B10,$J10, $K10, $C10, ($I10-$B$1)/365, $G10, $H10, $D10)) * $F10</f>
        <v/>
      </c>
      <c r="CF10" s="60">
        <f>(BSPrice($B10*1.1,$J10+0.1, $K10, $C10, ($I10-$B$1)/365, $G10, $H10, $D10) - BSPrice($B10,$J10, $K10, $C10, ($I10-$B$1)/365, $G10, $H10, $D10)) * $F10</f>
        <v/>
      </c>
      <c r="CG10" s="60">
        <f>(BSPrice($B10*1.1,$J10+0.2, $K10, $C10, ($I10-$B$1)/365, $G10, $H10, $D10) - BSPrice($B10,$J10, $K10, $C10, ($I10-$B$1)/365, $G10, $H10, $D10)) * $F10</f>
        <v/>
      </c>
      <c r="CH10" s="60">
        <f>(BSPrice($B10*1.2,$J10+-0.05, $K10, $C10, ($I10-$B$1)/365, $G10, $H10, $D10) - BSPrice($B10,$J10, $K10, $C10, ($I10-$B$1)/365, $G10, $H10, $D10)) * $F10</f>
        <v/>
      </c>
      <c r="CI10" s="60">
        <f>(BSPrice($B10*1.2,$J10+-0.02, $K10, $C10, ($I10-$B$1)/365, $G10, $H10, $D10) - BSPrice($B10,$J10, $K10, $C10, ($I10-$B$1)/365, $G10, $H10, $D10)) * $F10</f>
        <v/>
      </c>
      <c r="CJ10" s="60">
        <f>(BSPrice($B10*1.2,$J10+0, $K10, $C10, ($I10-$B$1)/365, $G10, $H10, $D10) - BSPrice($B10,$J10, $K10, $C10, ($I10-$B$1)/365, $G10, $H10, $D10)) * $F10</f>
        <v/>
      </c>
      <c r="CK10" s="60">
        <f>(BSPrice($B10*1.2,$J10+0.02, $K10, $C10, ($I10-$B$1)/365, $G10, $H10, $D10) - BSPrice($B10,$J10, $K10, $C10, ($I10-$B$1)/365, $G10, $H10, $D10)) * $F10</f>
        <v/>
      </c>
      <c r="CL10" s="60">
        <f>(BSPrice($B10*1.2,$J10+0.05, $K10, $C10, ($I10-$B$1)/365, $G10, $H10, $D10) - BSPrice($B10,$J10, $K10, $C10, ($I10-$B$1)/365, $G10, $H10, $D10)) * $F10</f>
        <v/>
      </c>
      <c r="CM10" s="60">
        <f>(BSPrice($B10*1.2,$J10+0.1, $K10, $C10, ($I10-$B$1)/365, $G10, $H10, $D10) - BSPrice($B10,$J10, $K10, $C10, ($I10-$B$1)/365, $G10, $H10, $D10)) * $F10</f>
        <v/>
      </c>
      <c r="CN10" s="60">
        <f>(BSPrice($B10*1.2,$J10+0.2, $K10, $C10, ($I10-$B$1)/365, $G10, $H10, $D10) - BSPrice($B10,$J10, $K10, $C10, ($I10-$B$1)/365, $G10, $H10, $D10)) * $F10</f>
        <v/>
      </c>
    </row>
    <row r="11">
      <c r="A11" s="3" t="inlineStr">
        <is>
          <t>SPX Index</t>
        </is>
      </c>
      <c r="B11" s="4">
        <f>VLOOKUP(A11,PriceData!$K$4:$L$6,2,FALSE)</f>
        <v/>
      </c>
      <c r="C11" s="46">
        <f>VLOOKUP(A11,PriceData!$K$4:$M$6,3,FALSE)</f>
        <v/>
      </c>
      <c r="D11" s="4" t="inlineStr">
        <is>
          <t>Option</t>
        </is>
      </c>
      <c r="E11" s="4" t="inlineStr">
        <is>
          <t>USD</t>
        </is>
      </c>
      <c r="F11" s="4" t="n">
        <v>25</v>
      </c>
      <c r="G11" s="4" t="n">
        <v>1100</v>
      </c>
      <c r="H11" s="4" t="inlineStr">
        <is>
          <t>Call</t>
        </is>
      </c>
      <c r="I11" s="5" t="n">
        <v>40256</v>
      </c>
      <c r="J11" s="46">
        <f>FindImpliedVol(A11, D11, G11, I11)</f>
        <v/>
      </c>
      <c r="K11" s="30">
        <f>VLOOKUP(I11,PriceData!$A$5:$D$7,MATCH($E11,PriceData!$A$4:$D$4,0),FALSE)</f>
        <v/>
      </c>
      <c r="L11" s="2">
        <f>BSPrice($B11,$J11, $K11, $C11, ($I11-$B$1)/365, $G11, $H11, $D11)</f>
        <v/>
      </c>
      <c r="M11" s="2">
        <f>F11*L11</f>
        <v/>
      </c>
      <c r="N11" s="4" t="inlineStr">
        <is>
          <t>Exch</t>
        </is>
      </c>
      <c r="P11" s="60">
        <f>BSDelta(B11, J11, K11, C11, (I11-$B$1)/365, G11, H11, D11)</f>
        <v/>
      </c>
      <c r="Q11" s="60">
        <f>BSGamma(B11, J11, K11, C11, (I11-$B$1)/365, G11, D11)</f>
        <v/>
      </c>
      <c r="R11" s="58">
        <f>BSVega(B11, J11, K11, C11, (I11-$B$1)/365,G11, D11)</f>
        <v/>
      </c>
      <c r="S11" s="58">
        <f>BSVolga(B11, J11, K11, C11, (I11-$B$1)/365,G11, D11)</f>
        <v/>
      </c>
      <c r="T11" s="58">
        <f>BSVanna(B11,J11,K11, C11, (I11-$B$1)/365, G11, D11)</f>
        <v/>
      </c>
      <c r="U11" s="2">
        <f>BSRho(B11, J11, K11, C11, (I11-$B$1)/365, G11, H11, D11)</f>
        <v/>
      </c>
      <c r="V11" s="65">
        <f>$F11*$P11</f>
        <v/>
      </c>
      <c r="W11" s="65">
        <f>$F11*$Q11</f>
        <v/>
      </c>
      <c r="X11" s="78">
        <f>$F11*R11</f>
        <v/>
      </c>
      <c r="Y11" s="78">
        <f>$F11*S11</f>
        <v/>
      </c>
      <c r="Z11" s="78">
        <f>$F11*T11</f>
        <v/>
      </c>
      <c r="AA11" s="78">
        <f>$F11*U11</f>
        <v/>
      </c>
      <c r="AB11" s="78">
        <f>(BSPrice($B11*0.8,$J11, $K11, $C11, ($I11-$B$1)/365, $G11, $H11, $D11) - BSPrice($B11,$J11, $K11, $C11, ($I11-$B$1)/365, $G11, $H11, $D11)) * $F11</f>
        <v/>
      </c>
      <c r="AC11" s="78">
        <f>(BSPrice($B11*0.9,$J11, $K11, $C11, ($I11-$B$1)/365, $G11, $H11, $D11) - BSPrice($B11,$J11, $K11, $C11, ($I11-$B$1)/365, $G11, $H11, $D11)) * $F11</f>
        <v/>
      </c>
      <c r="AD11" s="78">
        <f>(BSPrice($B11*0.95,$J11, $K11, $C11, ($I11-$B$1)/365, $G11, $H11, $D11) - BSPrice($B11,$J11, $K11, $C11, ($I11-$B$1)/365, $G11, $H11, $D11)) * $F11</f>
        <v/>
      </c>
      <c r="AE11" s="78">
        <f>(BSPrice($B11*0.98,$J11, $K11, $C11, ($I11-$B$1)/365, $G11, $H11, $D11) - BSPrice($B11,$J11, $K11, $C11, ($I11-$B$1)/365, $G11, $H11, $D11)) * $F11</f>
        <v/>
      </c>
      <c r="AF11" s="78">
        <f>(BSPrice($B11*1.02,$J11, $K11, $C11, ($I11-$B$1)/365, $G11, $H11, $D11) - BSPrice($B11,$J11, $K11, $C11, ($I11-$B$1)/365, $G11, $H11, $D11)) * $F11</f>
        <v/>
      </c>
      <c r="AG11" s="78">
        <f>(BSPrice($B11*1.05,$J11, $K11, $C11, ($I11-$B$1)/365, $G11, $H11, $D11) - BSPrice($B11,$J11, $K11, $C11, ($I11-$B$1)/365, $G11, $H11, $D11)) * $F11</f>
        <v/>
      </c>
      <c r="AH11" s="78">
        <f>(BSPrice($B11*1.1,$J11, $K11, $C11, ($I11-$B$1)/365, $G11, $H11, $D11) - BSPrice($B11,$J11, $K11, $C11, ($I11-$B$1)/365, $G11, $H11, $D11)) * $F11</f>
        <v/>
      </c>
      <c r="AI11" s="78">
        <f>(BSPrice($B11*1.2,$J11, $K11, $C11, ($I11-$B$1)/365, $G11, $H11, $D11) - BSPrice($B11,$J11, $K11, $C11, ($I11-$B$1)/365, $G11, $H11, $D11)) * $F11</f>
        <v/>
      </c>
      <c r="AJ11" s="78">
        <f>(BSPrice($B11,$J11-0.1, $K11, $C11, ($I11-$B$1)/365, $G11, $H11, $D11) - BSPrice($B11,$J11, $K11, $C11, ($I11-$B$1)/365, $G11, $H11, $D11)) * $F11</f>
        <v/>
      </c>
      <c r="AK11" s="78">
        <f>(BSPrice($B11,$J11-0.05,$K11,$C11,($I11-$B$1)/365,$G11,$H11,$D11)-BSPrice($B11,$J11,$K11,$C11,($I11-$B$1)/365,$G11,$H11,$D11))*$F11</f>
        <v/>
      </c>
      <c r="AL11" s="78">
        <f>(BSPrice($B11,$J11-0.02, $K11, $C11, ($I11-$B$1)/365, $G11, $H11, $D11) - BSPrice($B11,$J11, $K11, $C11, ($I11-$B$1)/365, $G11, $H11, $D11)) * $F11</f>
        <v/>
      </c>
      <c r="AM11" s="78">
        <f>(BSPrice($B11,$J11-0.01, $K11, $C11, ($I11-$B$1)/365, $G11, $H11, $D11) - BSPrice($B11,$J11, $K11, $C11, ($I11-$B$1)/365, $G11, $H11, $D11)) * $F11</f>
        <v/>
      </c>
      <c r="AN11" s="78">
        <f>(BSPrice($B11,$J11+0.01, $K11, $C11, ($I11-$B$1)/365, $G11, $H11, $D11) - BSPrice($B11,$J11, $K11, $C11, ($I11-$B$1)/365, $G11, $H11, $D11)) * $F11</f>
        <v/>
      </c>
      <c r="AO11" s="78">
        <f>(BSPrice($B11,$J11+0.02, $K11, $C11, ($I11-$B$1)/365, $G11, $H11, $D11) - BSPrice($B11,$J11, $K11, $C11, ($I11-$B$1)/365, $G11, $H11, $D11)) * $F11</f>
        <v/>
      </c>
      <c r="AP11" s="78">
        <f>(BSPrice($B11,$J11+0.05, $K11, $C11, ($I11-$B$1)/365, $G11, $H11, $D11) - BSPrice($B11,$J11, $K11, $C11, ($I11-$B$1)/365, $G11, $H11, $D11)) * $F11</f>
        <v/>
      </c>
      <c r="AQ11" s="78">
        <f>(BSPrice($B11,$J11+0.1, $K11, $C11, ($I11-$B$1)/365, $G11, $H11, $D11) - BSPrice($B11,$J11, $K11, $C11, ($I11-$B$1)/365, $G11, $H11, $D11)) * $F11</f>
        <v/>
      </c>
      <c r="AR11" s="60">
        <f>(BSPrice($B11*0.8,$J11+-0.05, $K11, $C11, ($I11-$B$1)/365, $G11, $H11, $D11) - BSPrice($B11,$J11, $K11, $C11, ($I11-$B$1)/365, $G11, $H11, $D11)) * $F11</f>
        <v/>
      </c>
      <c r="AS11" s="60">
        <f>(BSPrice($B11*0.8,$J11+-0.02, $K11, $C11, ($I11-$B$1)/365, $G11, $H11, $D11) - BSPrice($B11,$J11, $K11, $C11, ($I11-$B$1)/365, $G11, $H11, $D11)) * $F11</f>
        <v/>
      </c>
      <c r="AT11" s="60">
        <f>(BSPrice($B11*0.8,$J11+0, $K11, $C11, ($I11-$B$1)/365, $G11, $H11, $D11) - BSPrice($B11,$J11, $K11, $C11, ($I11-$B$1)/365, $G11, $H11, $D11)) * $F11</f>
        <v/>
      </c>
      <c r="AU11" s="60">
        <f>(BSPrice($B11*0.8,$J11+0.02, $K11, $C11, ($I11-$B$1)/365, $G11, $H11, $D11) - BSPrice($B11,$J11, $K11, $C11, ($I11-$B$1)/365, $G11, $H11, $D11)) * $F11</f>
        <v/>
      </c>
      <c r="AV11" s="60">
        <f>(BSPrice($B11*0.8,$J11+0.05, $K11, $C11, ($I11-$B$1)/365, $G11, $H11, $D11) - BSPrice($B11,$J11, $K11, $C11, ($I11-$B$1)/365, $G11, $H11, $D11)) * $F11</f>
        <v/>
      </c>
      <c r="AW11" s="60">
        <f>(BSPrice($B11*0.8,$J11+0.1, $K11, $C11, ($I11-$B$1)/365, $G11, $H11, $D11) - BSPrice($B11,$J11, $K11, $C11, ($I11-$B$1)/365, $G11, $H11, $D11)) * $F11</f>
        <v/>
      </c>
      <c r="AX11" s="60">
        <f>(BSPrice($B11*0.8,$J11+0.2, $K11, $C11, ($I11-$B$1)/365, $G11, $H11, $D11) - BSPrice($B11,$J11, $K11, $C11, ($I11-$B$1)/365, $G11, $H11, $D11)) * $F11</f>
        <v/>
      </c>
      <c r="AY11" s="60">
        <f>(BSPrice($B11*0.9,$J11+-0.05, $K11, $C11, ($I11-$B$1)/365, $G11, $H11, $D11) - BSPrice($B11,$J11, $K11, $C11, ($I11-$B$1)/365, $G11, $H11, $D11)) * $F11</f>
        <v/>
      </c>
      <c r="AZ11" s="60">
        <f>(BSPrice($B11*0.9,$J11+-0.02, $K11, $C11, ($I11-$B$1)/365, $G11, $H11, $D11) - BSPrice($B11,$J11, $K11, $C11, ($I11-$B$1)/365, $G11, $H11, $D11)) * $F11</f>
        <v/>
      </c>
      <c r="BA11" s="60">
        <f>(BSPrice($B11*0.9,$J11+0, $K11, $C11, ($I11-$B$1)/365, $G11, $H11, $D11) - BSPrice($B11,$J11, $K11, $C11, ($I11-$B$1)/365, $G11, $H11, $D11)) * $F11</f>
        <v/>
      </c>
      <c r="BB11" s="60">
        <f>(BSPrice($B11*0.9,$J11+0.02, $K11, $C11, ($I11-$B$1)/365, $G11, $H11, $D11) - BSPrice($B11,$J11, $K11, $C11, ($I11-$B$1)/365, $G11, $H11, $D11)) * $F11</f>
        <v/>
      </c>
      <c r="BC11" s="60">
        <f>(BSPrice($B11*0.9,$J11+0.05, $K11, $C11, ($I11-$B$1)/365, $G11, $H11, $D11) - BSPrice($B11,$J11, $K11, $C11, ($I11-$B$1)/365, $G11, $H11, $D11)) * $F11</f>
        <v/>
      </c>
      <c r="BD11" s="60">
        <f>(BSPrice($B11*0.9,$J11+0.1, $K11, $C11, ($I11-$B$1)/365, $G11, $H11, $D11) - BSPrice($B11,$J11, $K11, $C11, ($I11-$B$1)/365, $G11, $H11, $D11)) * $F11</f>
        <v/>
      </c>
      <c r="BE11" s="60">
        <f>(BSPrice($B11*0.9,$J11+0.2, $K11, $C11, ($I11-$B$1)/365, $G11, $H11, $D11) - BSPrice($B11,$J11, $K11, $C11, ($I11-$B$1)/365, $G11, $H11, $D11)) * $F11</f>
        <v/>
      </c>
      <c r="BF11" s="60">
        <f>(BSPrice($B11*0.95,$J11+-0.05, $K11, $C11, ($I11-$B$1)/365, $G11, $H11, $D11) - BSPrice($B11,$J11, $K11, $C11, ($I11-$B$1)/365, $G11, $H11, $D11)) * $F11</f>
        <v/>
      </c>
      <c r="BG11" s="60">
        <f>(BSPrice($B11*0.95,$J11+-0.02, $K11, $C11, ($I11-$B$1)/365, $G11, $H11, $D11) - BSPrice($B11,$J11, $K11, $C11, ($I11-$B$1)/365, $G11, $H11, $D11)) * $F11</f>
        <v/>
      </c>
      <c r="BH11" s="60">
        <f>(BSPrice($B11*0.95,$J11+0, $K11, $C11, ($I11-$B$1)/365, $G11, $H11, $D11) - BSPrice($B11,$J11, $K11, $C11, ($I11-$B$1)/365, $G11, $H11, $D11)) * $F11</f>
        <v/>
      </c>
      <c r="BI11" s="60">
        <f>(BSPrice($B11*0.95,$J11+0.02, $K11, $C11, ($I11-$B$1)/365, $G11, $H11, $D11) - BSPrice($B11,$J11, $K11, $C11, ($I11-$B$1)/365, $G11, $H11, $D11)) * $F11</f>
        <v/>
      </c>
      <c r="BJ11" s="60">
        <f>(BSPrice($B11*0.95,$J11+0.05, $K11, $C11, ($I11-$B$1)/365, $G11, $H11, $D11) - BSPrice($B11,$J11, $K11, $C11, ($I11-$B$1)/365, $G11, $H11, $D11)) * $F11</f>
        <v/>
      </c>
      <c r="BK11" s="60">
        <f>(BSPrice($B11*0.95,$J11+0.1, $K11, $C11, ($I11-$B$1)/365, $G11, $H11, $D11) - BSPrice($B11,$J11, $K11, $C11, ($I11-$B$1)/365, $G11, $H11, $D11)) * $F11</f>
        <v/>
      </c>
      <c r="BL11" s="60">
        <f>(BSPrice($B11*0.95,$J11+0.2, $K11, $C11, ($I11-$B$1)/365, $G11, $H11, $D11) - BSPrice($B11,$J11, $K11, $C11, ($I11-$B$1)/365, $G11, $H11, $D11)) * $F11</f>
        <v/>
      </c>
      <c r="BM11" s="60">
        <f>(BSPrice($B11*1,$J11+-0.05, $K11, $C11, ($I11-$B$1)/365, $G11, $H11, $D11) - BSPrice($B11,$J11, $K11, $C11, ($I11-$B$1)/365, $G11, $H11, $D11)) * $F11</f>
        <v/>
      </c>
      <c r="BN11" s="60">
        <f>(BSPrice($B11*1,$J11+-0.02, $K11, $C11, ($I11-$B$1)/365, $G11, $H11, $D11) - BSPrice($B11,$J11, $K11, $C11, ($I11-$B$1)/365, $G11, $H11, $D11)) * $F11</f>
        <v/>
      </c>
      <c r="BO11" s="60">
        <f>(BSPrice($B11*1,$J11+0, $K11, $C11, ($I11-$B$1)/365, $G11, $H11, $D11) - BSPrice($B11,$J11, $K11, $C11, ($I11-$B$1)/365, $G11, $H11, $D11)) * $F11</f>
        <v/>
      </c>
      <c r="BP11" s="60">
        <f>(BSPrice($B11*1,$J11+0.02, $K11, $C11, ($I11-$B$1)/365, $G11, $H11, $D11) - BSPrice($B11,$J11, $K11, $C11, ($I11-$B$1)/365, $G11, $H11, $D11)) * $F11</f>
        <v/>
      </c>
      <c r="BQ11" s="60">
        <f>(BSPrice($B11*1,$J11+0.05, $K11, $C11, ($I11-$B$1)/365, $G11, $H11, $D11) - BSPrice($B11,$J11, $K11, $C11, ($I11-$B$1)/365, $G11, $H11, $D11)) * $F11</f>
        <v/>
      </c>
      <c r="BR11" s="60">
        <f>(BSPrice($B11*1,$J11+0.1, $K11, $C11, ($I11-$B$1)/365, $G11, $H11, $D11) - BSPrice($B11,$J11, $K11, $C11, ($I11-$B$1)/365, $G11, $H11, $D11)) * $F11</f>
        <v/>
      </c>
      <c r="BS11" s="60">
        <f>(BSPrice($B11*1,$J11+0.2, $K11, $C11, ($I11-$B$1)/365, $G11, $H11, $D11) - BSPrice($B11,$J11, $K11, $C11, ($I11-$B$1)/365, $G11, $H11, $D11)) * $F11</f>
        <v/>
      </c>
      <c r="BT11" s="60">
        <f>(BSPrice($B11*1.05,$J11+-0.05, $K11, $C11, ($I11-$B$1)/365, $G11, $H11, $D11) - BSPrice($B11,$J11, $K11, $C11, ($I11-$B$1)/365, $G11, $H11, $D11)) * $F11</f>
        <v/>
      </c>
      <c r="BU11" s="60">
        <f>(BSPrice($B11*1.05,$J11+-0.02, $K11, $C11, ($I11-$B$1)/365, $G11, $H11, $D11) - BSPrice($B11,$J11, $K11, $C11, ($I11-$B$1)/365, $G11, $H11, $D11)) * $F11</f>
        <v/>
      </c>
      <c r="BV11" s="60">
        <f>(BSPrice($B11*1.05,$J11+0, $K11, $C11, ($I11-$B$1)/365, $G11, $H11, $D11) - BSPrice($B11,$J11, $K11, $C11, ($I11-$B$1)/365, $G11, $H11, $D11)) * $F11</f>
        <v/>
      </c>
      <c r="BW11" s="60">
        <f>(BSPrice($B11*1.05,$J11+0.02, $K11, $C11, ($I11-$B$1)/365, $G11, $H11, $D11) - BSPrice($B11,$J11, $K11, $C11, ($I11-$B$1)/365, $G11, $H11, $D11)) * $F11</f>
        <v/>
      </c>
      <c r="BX11" s="60">
        <f>(BSPrice($B11*1.05,$J11+0.05, $K11, $C11, ($I11-$B$1)/365, $G11, $H11, $D11) - BSPrice($B11,$J11, $K11, $C11, ($I11-$B$1)/365, $G11, $H11, $D11)) * $F11</f>
        <v/>
      </c>
      <c r="BY11" s="60">
        <f>(BSPrice($B11*1.05,$J11+0.1, $K11, $C11, ($I11-$B$1)/365, $G11, $H11, $D11) - BSPrice($B11,$J11, $K11, $C11, ($I11-$B$1)/365, $G11, $H11, $D11)) * $F11</f>
        <v/>
      </c>
      <c r="BZ11" s="60">
        <f>(BSPrice($B11*1.05,$J11+0.2, $K11, $C11, ($I11-$B$1)/365, $G11, $H11, $D11) - BSPrice($B11,$J11, $K11, $C11, ($I11-$B$1)/365, $G11, $H11, $D11)) * $F11</f>
        <v/>
      </c>
      <c r="CA11" s="60">
        <f>(BSPrice($B11*1.1,$J11+-0.05, $K11, $C11, ($I11-$B$1)/365, $G11, $H11, $D11) - BSPrice($B11,$J11, $K11, $C11, ($I11-$B$1)/365, $G11, $H11, $D11)) * $F11</f>
        <v/>
      </c>
      <c r="CB11" s="60">
        <f>(BSPrice($B11*1.1,$J11+-0.02, $K11, $C11, ($I11-$B$1)/365, $G11, $H11, $D11) - BSPrice($B11,$J11, $K11, $C11, ($I11-$B$1)/365, $G11, $H11, $D11)) * $F11</f>
        <v/>
      </c>
      <c r="CC11" s="60">
        <f>(BSPrice($B11*1.1,$J11+0, $K11, $C11, ($I11-$B$1)/365, $G11, $H11, $D11) - BSPrice($B11,$J11, $K11, $C11, ($I11-$B$1)/365, $G11, $H11, $D11)) * $F11</f>
        <v/>
      </c>
      <c r="CD11" s="60">
        <f>(BSPrice($B11*1.1,$J11+0.02, $K11, $C11, ($I11-$B$1)/365, $G11, $H11, $D11) - BSPrice($B11,$J11, $K11, $C11, ($I11-$B$1)/365, $G11, $H11, $D11)) * $F11</f>
        <v/>
      </c>
      <c r="CE11" s="60">
        <f>(BSPrice($B11*1.1,$J11+0.05, $K11, $C11, ($I11-$B$1)/365, $G11, $H11, $D11) - BSPrice($B11,$J11, $K11, $C11, ($I11-$B$1)/365, $G11, $H11, $D11)) * $F11</f>
        <v/>
      </c>
      <c r="CF11" s="60">
        <f>(BSPrice($B11*1.1,$J11+0.1, $K11, $C11, ($I11-$B$1)/365, $G11, $H11, $D11) - BSPrice($B11,$J11, $K11, $C11, ($I11-$B$1)/365, $G11, $H11, $D11)) * $F11</f>
        <v/>
      </c>
      <c r="CG11" s="60">
        <f>(BSPrice($B11*1.1,$J11+0.2, $K11, $C11, ($I11-$B$1)/365, $G11, $H11, $D11) - BSPrice($B11,$J11, $K11, $C11, ($I11-$B$1)/365, $G11, $H11, $D11)) * $F11</f>
        <v/>
      </c>
      <c r="CH11" s="60">
        <f>(BSPrice($B11*1.2,$J11+-0.05, $K11, $C11, ($I11-$B$1)/365, $G11, $H11, $D11) - BSPrice($B11,$J11, $K11, $C11, ($I11-$B$1)/365, $G11, $H11, $D11)) * $F11</f>
        <v/>
      </c>
      <c r="CI11" s="60">
        <f>(BSPrice($B11*1.2,$J11+-0.02, $K11, $C11, ($I11-$B$1)/365, $G11, $H11, $D11) - BSPrice($B11,$J11, $K11, $C11, ($I11-$B$1)/365, $G11, $H11, $D11)) * $F11</f>
        <v/>
      </c>
      <c r="CJ11" s="60">
        <f>(BSPrice($B11*1.2,$J11+0, $K11, $C11, ($I11-$B$1)/365, $G11, $H11, $D11) - BSPrice($B11,$J11, $K11, $C11, ($I11-$B$1)/365, $G11, $H11, $D11)) * $F11</f>
        <v/>
      </c>
      <c r="CK11" s="60">
        <f>(BSPrice($B11*1.2,$J11+0.02, $K11, $C11, ($I11-$B$1)/365, $G11, $H11, $D11) - BSPrice($B11,$J11, $K11, $C11, ($I11-$B$1)/365, $G11, $H11, $D11)) * $F11</f>
        <v/>
      </c>
      <c r="CL11" s="60">
        <f>(BSPrice($B11*1.2,$J11+0.05, $K11, $C11, ($I11-$B$1)/365, $G11, $H11, $D11) - BSPrice($B11,$J11, $K11, $C11, ($I11-$B$1)/365, $G11, $H11, $D11)) * $F11</f>
        <v/>
      </c>
      <c r="CM11" s="60">
        <f>(BSPrice($B11*1.2,$J11+0.1, $K11, $C11, ($I11-$B$1)/365, $G11, $H11, $D11) - BSPrice($B11,$J11, $K11, $C11, ($I11-$B$1)/365, $G11, $H11, $D11)) * $F11</f>
        <v/>
      </c>
      <c r="CN11" s="60">
        <f>(BSPrice($B11*1.2,$J11+0.2, $K11, $C11, ($I11-$B$1)/365, $G11, $H11, $D11) - BSPrice($B11,$J11, $K11, $C11, ($I11-$B$1)/365, $G11, $H11, $D11)) * $F11</f>
        <v/>
      </c>
    </row>
    <row r="12">
      <c r="A12" s="3" t="inlineStr">
        <is>
          <t>SPX Index</t>
        </is>
      </c>
      <c r="B12" s="4">
        <f>VLOOKUP(A12,PriceData!$K$4:$L$6,2,FALSE)</f>
        <v/>
      </c>
      <c r="C12" s="46">
        <f>VLOOKUP(A12,PriceData!$K$4:$M$6,3,FALSE)</f>
        <v/>
      </c>
      <c r="D12" s="4" t="inlineStr">
        <is>
          <t>Option</t>
        </is>
      </c>
      <c r="E12" s="4" t="inlineStr">
        <is>
          <t>USD</t>
        </is>
      </c>
      <c r="F12" s="4" t="n">
        <v>-50</v>
      </c>
      <c r="G12" s="4" t="n">
        <v>1034</v>
      </c>
      <c r="H12" s="4" t="inlineStr">
        <is>
          <t>Put</t>
        </is>
      </c>
      <c r="I12" s="5" t="n">
        <v>40256</v>
      </c>
      <c r="J12" s="46">
        <f>FindImpliedVol(A12, D12, G12, I12)</f>
        <v/>
      </c>
      <c r="K12" s="30">
        <f>VLOOKUP(I12,PriceData!$A$5:$D$7,MATCH($E12,PriceData!$A$4:$D$4,0),FALSE)</f>
        <v/>
      </c>
      <c r="L12" s="2">
        <f>BSPrice($B12,$J12, $K12, $C12, ($I12-$B$1)/365, $G12, $H12, $D12)</f>
        <v/>
      </c>
      <c r="M12" s="2">
        <f>F12*L12</f>
        <v/>
      </c>
      <c r="N12" s="4" t="inlineStr">
        <is>
          <t>Exch</t>
        </is>
      </c>
      <c r="P12" s="60">
        <f>BSDelta(B12, J12, K12, C12, (I12-$B$1)/365, G12, H12, D12)</f>
        <v/>
      </c>
      <c r="Q12" s="60">
        <f>BSGamma(B12, J12, K12, C12, (I12-$B$1)/365, G12, D12)</f>
        <v/>
      </c>
      <c r="R12" s="58">
        <f>BSVega(B12, J12, K12, C12, (I12-$B$1)/365,G12, D12)</f>
        <v/>
      </c>
      <c r="S12" s="58">
        <f>BSVolga(B12, J12, K12, C12, (I12-$B$1)/365,G12, D12)</f>
        <v/>
      </c>
      <c r="T12" s="58">
        <f>BSVanna(B12,J12,K12, C12, (I12-$B$1)/365, G12, D12)</f>
        <v/>
      </c>
      <c r="U12" s="2">
        <f>BSRho(B12, J12, K12, C12, (I12-$B$1)/365, G12, H12, D12)</f>
        <v/>
      </c>
      <c r="V12" s="65">
        <f>$F12*$P12</f>
        <v/>
      </c>
      <c r="W12" s="65">
        <f>$F12*$Q12</f>
        <v/>
      </c>
      <c r="X12" s="78">
        <f>$F12*R12</f>
        <v/>
      </c>
      <c r="Y12" s="78">
        <f>$F12*S12</f>
        <v/>
      </c>
      <c r="Z12" s="78">
        <f>$F12*T12</f>
        <v/>
      </c>
      <c r="AA12" s="78">
        <f>$F12*U12</f>
        <v/>
      </c>
      <c r="AB12" s="78">
        <f>(BSPrice($B12*0.8,$J12, $K12, $C12, ($I12-$B$1)/365, $G12, $H12, $D12) - BSPrice($B12,$J12, $K12, $C12, ($I12-$B$1)/365, $G12, $H12, $D12)) * $F12</f>
        <v/>
      </c>
      <c r="AC12" s="78">
        <f>(BSPrice($B12*0.9,$J12, $K12, $C12, ($I12-$B$1)/365, $G12, $H12, $D12) - BSPrice($B12,$J12, $K12, $C12, ($I12-$B$1)/365, $G12, $H12, $D12)) * $F12</f>
        <v/>
      </c>
      <c r="AD12" s="78">
        <f>(BSPrice($B12*0.95,$J12, $K12, $C12, ($I12-$B$1)/365, $G12, $H12, $D12) - BSPrice($B12,$J12, $K12, $C12, ($I12-$B$1)/365, $G12, $H12, $D12)) * $F12</f>
        <v/>
      </c>
      <c r="AE12" s="78">
        <f>(BSPrice($B12*0.98,$J12, $K12, $C12, ($I12-$B$1)/365, $G12, $H12, $D12) - BSPrice($B12,$J12, $K12, $C12, ($I12-$B$1)/365, $G12, $H12, $D12)) * $F12</f>
        <v/>
      </c>
      <c r="AF12" s="78">
        <f>(BSPrice($B12*1.02,$J12, $K12, $C12, ($I12-$B$1)/365, $G12, $H12, $D12) - BSPrice($B12,$J12, $K12, $C12, ($I12-$B$1)/365, $G12, $H12, $D12)) * $F12</f>
        <v/>
      </c>
      <c r="AG12" s="78">
        <f>(BSPrice($B12*1.05,$J12, $K12, $C12, ($I12-$B$1)/365, $G12, $H12, $D12) - BSPrice($B12,$J12, $K12, $C12, ($I12-$B$1)/365, $G12, $H12, $D12)) * $F12</f>
        <v/>
      </c>
      <c r="AH12" s="78">
        <f>(BSPrice($B12*1.1,$J12, $K12, $C12, ($I12-$B$1)/365, $G12, $H12, $D12) - BSPrice($B12,$J12, $K12, $C12, ($I12-$B$1)/365, $G12, $H12, $D12)) * $F12</f>
        <v/>
      </c>
      <c r="AI12" s="78">
        <f>(BSPrice($B12*1.2,$J12, $K12, $C12, ($I12-$B$1)/365, $G12, $H12, $D12) - BSPrice($B12,$J12, $K12, $C12, ($I12-$B$1)/365, $G12, $H12, $D12)) * $F12</f>
        <v/>
      </c>
      <c r="AJ12" s="78">
        <f>(BSPrice($B12,$J12-0.1, $K12, $C12, ($I12-$B$1)/365, $G12, $H12, $D12) - BSPrice($B12,$J12, $K12, $C12, ($I12-$B$1)/365, $G12, $H12, $D12)) * $F12</f>
        <v/>
      </c>
      <c r="AK12" s="78">
        <f>(BSPrice($B12,$J12-0.05,$K12,$C12,($I12-$B$1)/365,$G12,$H12,$D12)-BSPrice($B12,$J12,$K12,$C12,($I12-$B$1)/365,$G12,$H12,$D12))*$F12</f>
        <v/>
      </c>
      <c r="AL12" s="78">
        <f>(BSPrice($B12,$J12-0.02, $K12, $C12, ($I12-$B$1)/365, $G12, $H12, $D12) - BSPrice($B12,$J12, $K12, $C12, ($I12-$B$1)/365, $G12, $H12, $D12)) * $F12</f>
        <v/>
      </c>
      <c r="AM12" s="78">
        <f>(BSPrice($B12,$J12-0.01, $K12, $C12, ($I12-$B$1)/365, $G12, $H12, $D12) - BSPrice($B12,$J12, $K12, $C12, ($I12-$B$1)/365, $G12, $H12, $D12)) * $F12</f>
        <v/>
      </c>
      <c r="AN12" s="78">
        <f>(BSPrice($B12,$J12+0.01, $K12, $C12, ($I12-$B$1)/365, $G12, $H12, $D12) - BSPrice($B12,$J12, $K12, $C12, ($I12-$B$1)/365, $G12, $H12, $D12)) * $F12</f>
        <v/>
      </c>
      <c r="AO12" s="78">
        <f>(BSPrice($B12,$J12+0.02, $K12, $C12, ($I12-$B$1)/365, $G12, $H12, $D12) - BSPrice($B12,$J12, $K12, $C12, ($I12-$B$1)/365, $G12, $H12, $D12)) * $F12</f>
        <v/>
      </c>
      <c r="AP12" s="78">
        <f>(BSPrice($B12,$J12+0.05, $K12, $C12, ($I12-$B$1)/365, $G12, $H12, $D12) - BSPrice($B12,$J12, $K12, $C12, ($I12-$B$1)/365, $G12, $H12, $D12)) * $F12</f>
        <v/>
      </c>
      <c r="AQ12" s="78">
        <f>(BSPrice($B12,$J12+0.1, $K12, $C12, ($I12-$B$1)/365, $G12, $H12, $D12) - BSPrice($B12,$J12, $K12, $C12, ($I12-$B$1)/365, $G12, $H12, $D12)) * $F12</f>
        <v/>
      </c>
      <c r="AR12" s="60">
        <f>(BSPrice($B12*0.8,$J12+-0.05, $K12, $C12, ($I12-$B$1)/365, $G12, $H12, $D12) - BSPrice($B12,$J12, $K12, $C12, ($I12-$B$1)/365, $G12, $H12, $D12)) * $F12</f>
        <v/>
      </c>
      <c r="AS12" s="60">
        <f>(BSPrice($B12*0.8,$J12+-0.02, $K12, $C12, ($I12-$B$1)/365, $G12, $H12, $D12) - BSPrice($B12,$J12, $K12, $C12, ($I12-$B$1)/365, $G12, $H12, $D12)) * $F12</f>
        <v/>
      </c>
      <c r="AT12" s="60">
        <f>(BSPrice($B12*0.8,$J12+0, $K12, $C12, ($I12-$B$1)/365, $G12, $H12, $D12) - BSPrice($B12,$J12, $K12, $C12, ($I12-$B$1)/365, $G12, $H12, $D12)) * $F12</f>
        <v/>
      </c>
      <c r="AU12" s="60">
        <f>(BSPrice($B12*0.8,$J12+0.02, $K12, $C12, ($I12-$B$1)/365, $G12, $H12, $D12) - BSPrice($B12,$J12, $K12, $C12, ($I12-$B$1)/365, $G12, $H12, $D12)) * $F12</f>
        <v/>
      </c>
      <c r="AV12" s="60">
        <f>(BSPrice($B12*0.8,$J12+0.05, $K12, $C12, ($I12-$B$1)/365, $G12, $H12, $D12) - BSPrice($B12,$J12, $K12, $C12, ($I12-$B$1)/365, $G12, $H12, $D12)) * $F12</f>
        <v/>
      </c>
      <c r="AW12" s="60">
        <f>(BSPrice($B12*0.8,$J12+0.1, $K12, $C12, ($I12-$B$1)/365, $G12, $H12, $D12) - BSPrice($B12,$J12, $K12, $C12, ($I12-$B$1)/365, $G12, $H12, $D12)) * $F12</f>
        <v/>
      </c>
      <c r="AX12" s="60">
        <f>(BSPrice($B12*0.8,$J12+0.2, $K12, $C12, ($I12-$B$1)/365, $G12, $H12, $D12) - BSPrice($B12,$J12, $K12, $C12, ($I12-$B$1)/365, $G12, $H12, $D12)) * $F12</f>
        <v/>
      </c>
      <c r="AY12" s="60">
        <f>(BSPrice($B12*0.9,$J12+-0.05, $K12, $C12, ($I12-$B$1)/365, $G12, $H12, $D12) - BSPrice($B12,$J12, $K12, $C12, ($I12-$B$1)/365, $G12, $H12, $D12)) * $F12</f>
        <v/>
      </c>
      <c r="AZ12" s="60">
        <f>(BSPrice($B12*0.9,$J12+-0.02, $K12, $C12, ($I12-$B$1)/365, $G12, $H12, $D12) - BSPrice($B12,$J12, $K12, $C12, ($I12-$B$1)/365, $G12, $H12, $D12)) * $F12</f>
        <v/>
      </c>
      <c r="BA12" s="60">
        <f>(BSPrice($B12*0.9,$J12+0, $K12, $C12, ($I12-$B$1)/365, $G12, $H12, $D12) - BSPrice($B12,$J12, $K12, $C12, ($I12-$B$1)/365, $G12, $H12, $D12)) * $F12</f>
        <v/>
      </c>
      <c r="BB12" s="60">
        <f>(BSPrice($B12*0.9,$J12+0.02, $K12, $C12, ($I12-$B$1)/365, $G12, $H12, $D12) - BSPrice($B12,$J12, $K12, $C12, ($I12-$B$1)/365, $G12, $H12, $D12)) * $F12</f>
        <v/>
      </c>
      <c r="BC12" s="60">
        <f>(BSPrice($B12*0.9,$J12+0.05, $K12, $C12, ($I12-$B$1)/365, $G12, $H12, $D12) - BSPrice($B12,$J12, $K12, $C12, ($I12-$B$1)/365, $G12, $H12, $D12)) * $F12</f>
        <v/>
      </c>
      <c r="BD12" s="60">
        <f>(BSPrice($B12*0.9,$J12+0.1, $K12, $C12, ($I12-$B$1)/365, $G12, $H12, $D12) - BSPrice($B12,$J12, $K12, $C12, ($I12-$B$1)/365, $G12, $H12, $D12)) * $F12</f>
        <v/>
      </c>
      <c r="BE12" s="60">
        <f>(BSPrice($B12*0.9,$J12+0.2, $K12, $C12, ($I12-$B$1)/365, $G12, $H12, $D12) - BSPrice($B12,$J12, $K12, $C12, ($I12-$B$1)/365, $G12, $H12, $D12)) * $F12</f>
        <v/>
      </c>
      <c r="BF12" s="60">
        <f>(BSPrice($B12*0.95,$J12+-0.05, $K12, $C12, ($I12-$B$1)/365, $G12, $H12, $D12) - BSPrice($B12,$J12, $K12, $C12, ($I12-$B$1)/365, $G12, $H12, $D12)) * $F12</f>
        <v/>
      </c>
      <c r="BG12" s="60">
        <f>(BSPrice($B12*0.95,$J12+-0.02, $K12, $C12, ($I12-$B$1)/365, $G12, $H12, $D12) - BSPrice($B12,$J12, $K12, $C12, ($I12-$B$1)/365, $G12, $H12, $D12)) * $F12</f>
        <v/>
      </c>
      <c r="BH12" s="60">
        <f>(BSPrice($B12*0.95,$J12+0, $K12, $C12, ($I12-$B$1)/365, $G12, $H12, $D12) - BSPrice($B12,$J12, $K12, $C12, ($I12-$B$1)/365, $G12, $H12, $D12)) * $F12</f>
        <v/>
      </c>
      <c r="BI12" s="60">
        <f>(BSPrice($B12*0.95,$J12+0.02, $K12, $C12, ($I12-$B$1)/365, $G12, $H12, $D12) - BSPrice($B12,$J12, $K12, $C12, ($I12-$B$1)/365, $G12, $H12, $D12)) * $F12</f>
        <v/>
      </c>
      <c r="BJ12" s="60">
        <f>(BSPrice($B12*0.95,$J12+0.05, $K12, $C12, ($I12-$B$1)/365, $G12, $H12, $D12) - BSPrice($B12,$J12, $K12, $C12, ($I12-$B$1)/365, $G12, $H12, $D12)) * $F12</f>
        <v/>
      </c>
      <c r="BK12" s="60">
        <f>(BSPrice($B12*0.95,$J12+0.1, $K12, $C12, ($I12-$B$1)/365, $G12, $H12, $D12) - BSPrice($B12,$J12, $K12, $C12, ($I12-$B$1)/365, $G12, $H12, $D12)) * $F12</f>
        <v/>
      </c>
      <c r="BL12" s="60">
        <f>(BSPrice($B12*0.95,$J12+0.2, $K12, $C12, ($I12-$B$1)/365, $G12, $H12, $D12) - BSPrice($B12,$J12, $K12, $C12, ($I12-$B$1)/365, $G12, $H12, $D12)) * $F12</f>
        <v/>
      </c>
      <c r="BM12" s="60">
        <f>(BSPrice($B12*1,$J12+-0.05, $K12, $C12, ($I12-$B$1)/365, $G12, $H12, $D12) - BSPrice($B12,$J12, $K12, $C12, ($I12-$B$1)/365, $G12, $H12, $D12)) * $F12</f>
        <v/>
      </c>
      <c r="BN12" s="60">
        <f>(BSPrice($B12*1,$J12+-0.02, $K12, $C12, ($I12-$B$1)/365, $G12, $H12, $D12) - BSPrice($B12,$J12, $K12, $C12, ($I12-$B$1)/365, $G12, $H12, $D12)) * $F12</f>
        <v/>
      </c>
      <c r="BO12" s="60">
        <f>(BSPrice($B12*1,$J12+0, $K12, $C12, ($I12-$B$1)/365, $G12, $H12, $D12) - BSPrice($B12,$J12, $K12, $C12, ($I12-$B$1)/365, $G12, $H12, $D12)) * $F12</f>
        <v/>
      </c>
      <c r="BP12" s="60">
        <f>(BSPrice($B12*1,$J12+0.02, $K12, $C12, ($I12-$B$1)/365, $G12, $H12, $D12) - BSPrice($B12,$J12, $K12, $C12, ($I12-$B$1)/365, $G12, $H12, $D12)) * $F12</f>
        <v/>
      </c>
      <c r="BQ12" s="60">
        <f>(BSPrice($B12*1,$J12+0.05, $K12, $C12, ($I12-$B$1)/365, $G12, $H12, $D12) - BSPrice($B12,$J12, $K12, $C12, ($I12-$B$1)/365, $G12, $H12, $D12)) * $F12</f>
        <v/>
      </c>
      <c r="BR12" s="60">
        <f>(BSPrice($B12*1,$J12+0.1, $K12, $C12, ($I12-$B$1)/365, $G12, $H12, $D12) - BSPrice($B12,$J12, $K12, $C12, ($I12-$B$1)/365, $G12, $H12, $D12)) * $F12</f>
        <v/>
      </c>
      <c r="BS12" s="60">
        <f>(BSPrice($B12*1,$J12+0.2, $K12, $C12, ($I12-$B$1)/365, $G12, $H12, $D12) - BSPrice($B12,$J12, $K12, $C12, ($I12-$B$1)/365, $G12, $H12, $D12)) * $F12</f>
        <v/>
      </c>
      <c r="BT12" s="60">
        <f>(BSPrice($B12*1.05,$J12+-0.05, $K12, $C12, ($I12-$B$1)/365, $G12, $H12, $D12) - BSPrice($B12,$J12, $K12, $C12, ($I12-$B$1)/365, $G12, $H12, $D12)) * $F12</f>
        <v/>
      </c>
      <c r="BU12" s="60">
        <f>(BSPrice($B12*1.05,$J12+-0.02, $K12, $C12, ($I12-$B$1)/365, $G12, $H12, $D12) - BSPrice($B12,$J12, $K12, $C12, ($I12-$B$1)/365, $G12, $H12, $D12)) * $F12</f>
        <v/>
      </c>
      <c r="BV12" s="60">
        <f>(BSPrice($B12*1.05,$J12+0, $K12, $C12, ($I12-$B$1)/365, $G12, $H12, $D12) - BSPrice($B12,$J12, $K12, $C12, ($I12-$B$1)/365, $G12, $H12, $D12)) * $F12</f>
        <v/>
      </c>
      <c r="BW12" s="60">
        <f>(BSPrice($B12*1.05,$J12+0.02, $K12, $C12, ($I12-$B$1)/365, $G12, $H12, $D12) - BSPrice($B12,$J12, $K12, $C12, ($I12-$B$1)/365, $G12, $H12, $D12)) * $F12</f>
        <v/>
      </c>
      <c r="BX12" s="60">
        <f>(BSPrice($B12*1.05,$J12+0.05, $K12, $C12, ($I12-$B$1)/365, $G12, $H12, $D12) - BSPrice($B12,$J12, $K12, $C12, ($I12-$B$1)/365, $G12, $H12, $D12)) * $F12</f>
        <v/>
      </c>
      <c r="BY12" s="60">
        <f>(BSPrice($B12*1.05,$J12+0.1, $K12, $C12, ($I12-$B$1)/365, $G12, $H12, $D12) - BSPrice($B12,$J12, $K12, $C12, ($I12-$B$1)/365, $G12, $H12, $D12)) * $F12</f>
        <v/>
      </c>
      <c r="BZ12" s="60">
        <f>(BSPrice($B12*1.05,$J12+0.2, $K12, $C12, ($I12-$B$1)/365, $G12, $H12, $D12) - BSPrice($B12,$J12, $K12, $C12, ($I12-$B$1)/365, $G12, $H12, $D12)) * $F12</f>
        <v/>
      </c>
      <c r="CA12" s="60">
        <f>(BSPrice($B12*1.1,$J12+-0.05, $K12, $C12, ($I12-$B$1)/365, $G12, $H12, $D12) - BSPrice($B12,$J12, $K12, $C12, ($I12-$B$1)/365, $G12, $H12, $D12)) * $F12</f>
        <v/>
      </c>
      <c r="CB12" s="60">
        <f>(BSPrice($B12*1.1,$J12+-0.02, $K12, $C12, ($I12-$B$1)/365, $G12, $H12, $D12) - BSPrice($B12,$J12, $K12, $C12, ($I12-$B$1)/365, $G12, $H12, $D12)) * $F12</f>
        <v/>
      </c>
      <c r="CC12" s="60">
        <f>(BSPrice($B12*1.1,$J12+0, $K12, $C12, ($I12-$B$1)/365, $G12, $H12, $D12) - BSPrice($B12,$J12, $K12, $C12, ($I12-$B$1)/365, $G12, $H12, $D12)) * $F12</f>
        <v/>
      </c>
      <c r="CD12" s="60">
        <f>(BSPrice($B12*1.1,$J12+0.02, $K12, $C12, ($I12-$B$1)/365, $G12, $H12, $D12) - BSPrice($B12,$J12, $K12, $C12, ($I12-$B$1)/365, $G12, $H12, $D12)) * $F12</f>
        <v/>
      </c>
      <c r="CE12" s="60">
        <f>(BSPrice($B12*1.1,$J12+0.05, $K12, $C12, ($I12-$B$1)/365, $G12, $H12, $D12) - BSPrice($B12,$J12, $K12, $C12, ($I12-$B$1)/365, $G12, $H12, $D12)) * $F12</f>
        <v/>
      </c>
      <c r="CF12" s="60">
        <f>(BSPrice($B12*1.1,$J12+0.1, $K12, $C12, ($I12-$B$1)/365, $G12, $H12, $D12) - BSPrice($B12,$J12, $K12, $C12, ($I12-$B$1)/365, $G12, $H12, $D12)) * $F12</f>
        <v/>
      </c>
      <c r="CG12" s="60">
        <f>(BSPrice($B12*1.1,$J12+0.2, $K12, $C12, ($I12-$B$1)/365, $G12, $H12, $D12) - BSPrice($B12,$J12, $K12, $C12, ($I12-$B$1)/365, $G12, $H12, $D12)) * $F12</f>
        <v/>
      </c>
      <c r="CH12" s="60">
        <f>(BSPrice($B12*1.2,$J12+-0.05, $K12, $C12, ($I12-$B$1)/365, $G12, $H12, $D12) - BSPrice($B12,$J12, $K12, $C12, ($I12-$B$1)/365, $G12, $H12, $D12)) * $F12</f>
        <v/>
      </c>
      <c r="CI12" s="60">
        <f>(BSPrice($B12*1.2,$J12+-0.02, $K12, $C12, ($I12-$B$1)/365, $G12, $H12, $D12) - BSPrice($B12,$J12, $K12, $C12, ($I12-$B$1)/365, $G12, $H12, $D12)) * $F12</f>
        <v/>
      </c>
      <c r="CJ12" s="60">
        <f>(BSPrice($B12*1.2,$J12+0, $K12, $C12, ($I12-$B$1)/365, $G12, $H12, $D12) - BSPrice($B12,$J12, $K12, $C12, ($I12-$B$1)/365, $G12, $H12, $D12)) * $F12</f>
        <v/>
      </c>
      <c r="CK12" s="60">
        <f>(BSPrice($B12*1.2,$J12+0.02, $K12, $C12, ($I12-$B$1)/365, $G12, $H12, $D12) - BSPrice($B12,$J12, $K12, $C12, ($I12-$B$1)/365, $G12, $H12, $D12)) * $F12</f>
        <v/>
      </c>
      <c r="CL12" s="60">
        <f>(BSPrice($B12*1.2,$J12+0.05, $K12, $C12, ($I12-$B$1)/365, $G12, $H12, $D12) - BSPrice($B12,$J12, $K12, $C12, ($I12-$B$1)/365, $G12, $H12, $D12)) * $F12</f>
        <v/>
      </c>
      <c r="CM12" s="60">
        <f>(BSPrice($B12*1.2,$J12+0.1, $K12, $C12, ($I12-$B$1)/365, $G12, $H12, $D12) - BSPrice($B12,$J12, $K12, $C12, ($I12-$B$1)/365, $G12, $H12, $D12)) * $F12</f>
        <v/>
      </c>
      <c r="CN12" s="60">
        <f>(BSPrice($B12*1.2,$J12+0.2, $K12, $C12, ($I12-$B$1)/365, $G12, $H12, $D12) - BSPrice($B12,$J12, $K12, $C12, ($I12-$B$1)/365, $G12, $H12, $D12)) * $F12</f>
        <v/>
      </c>
    </row>
    <row r="13">
      <c r="A13" s="3" t="inlineStr">
        <is>
          <t>SPX Index</t>
        </is>
      </c>
      <c r="B13" s="4">
        <f>VLOOKUP(A13,PriceData!$K$4:$L$6,2,FALSE)</f>
        <v/>
      </c>
      <c r="C13" s="46">
        <f>VLOOKUP(A13,PriceData!$K$4:$M$6,3,FALSE)</f>
        <v/>
      </c>
      <c r="D13" s="4" t="inlineStr">
        <is>
          <t>Option</t>
        </is>
      </c>
      <c r="E13" s="4" t="inlineStr">
        <is>
          <t>USD</t>
        </is>
      </c>
      <c r="F13" s="4" t="n">
        <v>-50</v>
      </c>
      <c r="G13" s="4" t="n">
        <v>1034</v>
      </c>
      <c r="H13" s="4" t="inlineStr">
        <is>
          <t>Put</t>
        </is>
      </c>
      <c r="I13" s="5" t="n">
        <v>40256</v>
      </c>
      <c r="J13" s="46">
        <f>FindImpliedVol(A13, D13, G13, I13)</f>
        <v/>
      </c>
      <c r="K13" s="30">
        <f>VLOOKUP(I13,PriceData!$A$5:$D$7,MATCH($E13,PriceData!$A$4:$D$4,0),FALSE)</f>
        <v/>
      </c>
      <c r="L13" s="2">
        <f>BSPrice($B13,$J13, $K13, $C13, ($I13-$B$1)/365, $G13, $H13, $D13)</f>
        <v/>
      </c>
      <c r="M13" s="2">
        <f>F13*L13</f>
        <v/>
      </c>
      <c r="N13" s="4" t="inlineStr">
        <is>
          <t>GoldMine Sacks</t>
        </is>
      </c>
      <c r="P13" s="60">
        <f>BSDelta(B13, J13, K13, C13, (I13-$B$1)/365, G13, H13, D13)</f>
        <v/>
      </c>
      <c r="Q13" s="60">
        <f>BSGamma(B13, J13, K13, C13, (I13-$B$1)/365, G13, D13)</f>
        <v/>
      </c>
      <c r="R13" s="58">
        <f>BSVega(B13, J13, K13, C13, (I13-$B$1)/365,G13, D13)</f>
        <v/>
      </c>
      <c r="S13" s="58">
        <f>BSVolga(B13, J13, K13, C13, (I13-$B$1)/365,G13, D13)</f>
        <v/>
      </c>
      <c r="T13" s="58">
        <f>BSVanna(B13,J13,K13, C13, (I13-$B$1)/365, G13, D13)</f>
        <v/>
      </c>
      <c r="U13" s="2">
        <f>BSRho(B13, J13, K13, C13, (I13-$B$1)/365, G13, H13, D13)</f>
        <v/>
      </c>
      <c r="V13" s="65">
        <f>$F13*$P13</f>
        <v/>
      </c>
      <c r="W13" s="65">
        <f>$F13*$Q13</f>
        <v/>
      </c>
      <c r="X13" s="78">
        <f>$F13*R13</f>
        <v/>
      </c>
      <c r="Y13" s="78">
        <f>$F13*S13</f>
        <v/>
      </c>
      <c r="Z13" s="78">
        <f>$F13*T13</f>
        <v/>
      </c>
      <c r="AA13" s="78">
        <f>$F13*U13</f>
        <v/>
      </c>
      <c r="AB13" s="78">
        <f>(BSPrice($B13*0.8,$J13, $K13, $C13, ($I13-$B$1)/365, $G13, $H13, $D13) - BSPrice($B13,$J13, $K13, $C13, ($I13-$B$1)/365, $G13, $H13, $D13)) * $F13</f>
        <v/>
      </c>
      <c r="AC13" s="78">
        <f>(BSPrice($B13*0.9,$J13, $K13, $C13, ($I13-$B$1)/365, $G13, $H13, $D13) - BSPrice($B13,$J13, $K13, $C13, ($I13-$B$1)/365, $G13, $H13, $D13)) * $F13</f>
        <v/>
      </c>
      <c r="AD13" s="78">
        <f>(BSPrice($B13*0.95,$J13, $K13, $C13, ($I13-$B$1)/365, $G13, $H13, $D13) - BSPrice($B13,$J13, $K13, $C13, ($I13-$B$1)/365, $G13, $H13, $D13)) * $F13</f>
        <v/>
      </c>
      <c r="AE13" s="78">
        <f>(BSPrice($B13*0.98,$J13, $K13, $C13, ($I13-$B$1)/365, $G13, $H13, $D13) - BSPrice($B13,$J13, $K13, $C13, ($I13-$B$1)/365, $G13, $H13, $D13)) * $F13</f>
        <v/>
      </c>
      <c r="AF13" s="78">
        <f>(BSPrice($B13*1.02,$J13, $K13, $C13, ($I13-$B$1)/365, $G13, $H13, $D13) - BSPrice($B13,$J13, $K13, $C13, ($I13-$B$1)/365, $G13, $H13, $D13)) * $F13</f>
        <v/>
      </c>
      <c r="AG13" s="78">
        <f>(BSPrice($B13*1.05,$J13, $K13, $C13, ($I13-$B$1)/365, $G13, $H13, $D13) - BSPrice($B13,$J13, $K13, $C13, ($I13-$B$1)/365, $G13, $H13, $D13)) * $F13</f>
        <v/>
      </c>
      <c r="AH13" s="78">
        <f>(BSPrice($B13*1.1,$J13, $K13, $C13, ($I13-$B$1)/365, $G13, $H13, $D13) - BSPrice($B13,$J13, $K13, $C13, ($I13-$B$1)/365, $G13, $H13, $D13)) * $F13</f>
        <v/>
      </c>
      <c r="AI13" s="78">
        <f>(BSPrice($B13*1.2,$J13, $K13, $C13, ($I13-$B$1)/365, $G13, $H13, $D13) - BSPrice($B13,$J13, $K13, $C13, ($I13-$B$1)/365, $G13, $H13, $D13)) * $F13</f>
        <v/>
      </c>
      <c r="AJ13" s="78">
        <f>(BSPrice($B13,$J13-0.1, $K13, $C13, ($I13-$B$1)/365, $G13, $H13, $D13) - BSPrice($B13,$J13, $K13, $C13, ($I13-$B$1)/365, $G13, $H13, $D13)) * $F13</f>
        <v/>
      </c>
      <c r="AK13" s="78">
        <f>(BSPrice($B13,$J13-0.05,$K13,$C13,($I13-$B$1)/365,$G13,$H13,$D13)-BSPrice($B13,$J13,$K13,$C13,($I13-$B$1)/365,$G13,$H13,$D13))*$F13</f>
        <v/>
      </c>
      <c r="AL13" s="78">
        <f>(BSPrice($B13,$J13-0.02, $K13, $C13, ($I13-$B$1)/365, $G13, $H13, $D13) - BSPrice($B13,$J13, $K13, $C13, ($I13-$B$1)/365, $G13, $H13, $D13)) * $F13</f>
        <v/>
      </c>
      <c r="AM13" s="78">
        <f>(BSPrice($B13,$J13-0.01, $K13, $C13, ($I13-$B$1)/365, $G13, $H13, $D13) - BSPrice($B13,$J13, $K13, $C13, ($I13-$B$1)/365, $G13, $H13, $D13)) * $F13</f>
        <v/>
      </c>
      <c r="AN13" s="78">
        <f>(BSPrice($B13,$J13+0.01, $K13, $C13, ($I13-$B$1)/365, $G13, $H13, $D13) - BSPrice($B13,$J13, $K13, $C13, ($I13-$B$1)/365, $G13, $H13, $D13)) * $F13</f>
        <v/>
      </c>
      <c r="AO13" s="78">
        <f>(BSPrice($B13,$J13+0.02, $K13, $C13, ($I13-$B$1)/365, $G13, $H13, $D13) - BSPrice($B13,$J13, $K13, $C13, ($I13-$B$1)/365, $G13, $H13, $D13)) * $F13</f>
        <v/>
      </c>
      <c r="AP13" s="78">
        <f>(BSPrice($B13,$J13+0.05, $K13, $C13, ($I13-$B$1)/365, $G13, $H13, $D13) - BSPrice($B13,$J13, $K13, $C13, ($I13-$B$1)/365, $G13, $H13, $D13)) * $F13</f>
        <v/>
      </c>
      <c r="AQ13" s="78">
        <f>(BSPrice($B13,$J13+0.1, $K13, $C13, ($I13-$B$1)/365, $G13, $H13, $D13) - BSPrice($B13,$J13, $K13, $C13, ($I13-$B$1)/365, $G13, $H13, $D13)) * $F13</f>
        <v/>
      </c>
      <c r="AR13" s="60">
        <f>(BSPrice($B13*0.8,$J13+-0.05, $K13, $C13, ($I13-$B$1)/365, $G13, $H13, $D13) - BSPrice($B13,$J13, $K13, $C13, ($I13-$B$1)/365, $G13, $H13, $D13)) * $F13</f>
        <v/>
      </c>
      <c r="AS13" s="60">
        <f>(BSPrice($B13*0.8,$J13+-0.02, $K13, $C13, ($I13-$B$1)/365, $G13, $H13, $D13) - BSPrice($B13,$J13, $K13, $C13, ($I13-$B$1)/365, $G13, $H13, $D13)) * $F13</f>
        <v/>
      </c>
      <c r="AT13" s="60">
        <f>(BSPrice($B13*0.8,$J13+0, $K13, $C13, ($I13-$B$1)/365, $G13, $H13, $D13) - BSPrice($B13,$J13, $K13, $C13, ($I13-$B$1)/365, $G13, $H13, $D13)) * $F13</f>
        <v/>
      </c>
      <c r="AU13" s="60">
        <f>(BSPrice($B13*0.8,$J13+0.02, $K13, $C13, ($I13-$B$1)/365, $G13, $H13, $D13) - BSPrice($B13,$J13, $K13, $C13, ($I13-$B$1)/365, $G13, $H13, $D13)) * $F13</f>
        <v/>
      </c>
      <c r="AV13" s="60">
        <f>(BSPrice($B13*0.8,$J13+0.05, $K13, $C13, ($I13-$B$1)/365, $G13, $H13, $D13) - BSPrice($B13,$J13, $K13, $C13, ($I13-$B$1)/365, $G13, $H13, $D13)) * $F13</f>
        <v/>
      </c>
      <c r="AW13" s="60">
        <f>(BSPrice($B13*0.8,$J13+0.1, $K13, $C13, ($I13-$B$1)/365, $G13, $H13, $D13) - BSPrice($B13,$J13, $K13, $C13, ($I13-$B$1)/365, $G13, $H13, $D13)) * $F13</f>
        <v/>
      </c>
      <c r="AX13" s="60">
        <f>(BSPrice($B13*0.8,$J13+0.2, $K13, $C13, ($I13-$B$1)/365, $G13, $H13, $D13) - BSPrice($B13,$J13, $K13, $C13, ($I13-$B$1)/365, $G13, $H13, $D13)) * $F13</f>
        <v/>
      </c>
      <c r="AY13" s="60">
        <f>(BSPrice($B13*0.9,$J13+-0.05, $K13, $C13, ($I13-$B$1)/365, $G13, $H13, $D13) - BSPrice($B13,$J13, $K13, $C13, ($I13-$B$1)/365, $G13, $H13, $D13)) * $F13</f>
        <v/>
      </c>
      <c r="AZ13" s="60">
        <f>(BSPrice($B13*0.9,$J13+-0.02, $K13, $C13, ($I13-$B$1)/365, $G13, $H13, $D13) - BSPrice($B13,$J13, $K13, $C13, ($I13-$B$1)/365, $G13, $H13, $D13)) * $F13</f>
        <v/>
      </c>
      <c r="BA13" s="60">
        <f>(BSPrice($B13*0.9,$J13+0, $K13, $C13, ($I13-$B$1)/365, $G13, $H13, $D13) - BSPrice($B13,$J13, $K13, $C13, ($I13-$B$1)/365, $G13, $H13, $D13)) * $F13</f>
        <v/>
      </c>
      <c r="BB13" s="60">
        <f>(BSPrice($B13*0.9,$J13+0.02, $K13, $C13, ($I13-$B$1)/365, $G13, $H13, $D13) - BSPrice($B13,$J13, $K13, $C13, ($I13-$B$1)/365, $G13, $H13, $D13)) * $F13</f>
        <v/>
      </c>
      <c r="BC13" s="60">
        <f>(BSPrice($B13*0.9,$J13+0.05, $K13, $C13, ($I13-$B$1)/365, $G13, $H13, $D13) - BSPrice($B13,$J13, $K13, $C13, ($I13-$B$1)/365, $G13, $H13, $D13)) * $F13</f>
        <v/>
      </c>
      <c r="BD13" s="60">
        <f>(BSPrice($B13*0.9,$J13+0.1, $K13, $C13, ($I13-$B$1)/365, $G13, $H13, $D13) - BSPrice($B13,$J13, $K13, $C13, ($I13-$B$1)/365, $G13, $H13, $D13)) * $F13</f>
        <v/>
      </c>
      <c r="BE13" s="60">
        <f>(BSPrice($B13*0.9,$J13+0.2, $K13, $C13, ($I13-$B$1)/365, $G13, $H13, $D13) - BSPrice($B13,$J13, $K13, $C13, ($I13-$B$1)/365, $G13, $H13, $D13)) * $F13</f>
        <v/>
      </c>
      <c r="BF13" s="60">
        <f>(BSPrice($B13*0.95,$J13+-0.05, $K13, $C13, ($I13-$B$1)/365, $G13, $H13, $D13) - BSPrice($B13,$J13, $K13, $C13, ($I13-$B$1)/365, $G13, $H13, $D13)) * $F13</f>
        <v/>
      </c>
      <c r="BG13" s="60">
        <f>(BSPrice($B13*0.95,$J13+-0.02, $K13, $C13, ($I13-$B$1)/365, $G13, $H13, $D13) - BSPrice($B13,$J13, $K13, $C13, ($I13-$B$1)/365, $G13, $H13, $D13)) * $F13</f>
        <v/>
      </c>
      <c r="BH13" s="60">
        <f>(BSPrice($B13*0.95,$J13+0, $K13, $C13, ($I13-$B$1)/365, $G13, $H13, $D13) - BSPrice($B13,$J13, $K13, $C13, ($I13-$B$1)/365, $G13, $H13, $D13)) * $F13</f>
        <v/>
      </c>
      <c r="BI13" s="60">
        <f>(BSPrice($B13*0.95,$J13+0.02, $K13, $C13, ($I13-$B$1)/365, $G13, $H13, $D13) - BSPrice($B13,$J13, $K13, $C13, ($I13-$B$1)/365, $G13, $H13, $D13)) * $F13</f>
        <v/>
      </c>
      <c r="BJ13" s="60">
        <f>(BSPrice($B13*0.95,$J13+0.05, $K13, $C13, ($I13-$B$1)/365, $G13, $H13, $D13) - BSPrice($B13,$J13, $K13, $C13, ($I13-$B$1)/365, $G13, $H13, $D13)) * $F13</f>
        <v/>
      </c>
      <c r="BK13" s="60">
        <f>(BSPrice($B13*0.95,$J13+0.1, $K13, $C13, ($I13-$B$1)/365, $G13, $H13, $D13) - BSPrice($B13,$J13, $K13, $C13, ($I13-$B$1)/365, $G13, $H13, $D13)) * $F13</f>
        <v/>
      </c>
      <c r="BL13" s="60">
        <f>(BSPrice($B13*0.95,$J13+0.2, $K13, $C13, ($I13-$B$1)/365, $G13, $H13, $D13) - BSPrice($B13,$J13, $K13, $C13, ($I13-$B$1)/365, $G13, $H13, $D13)) * $F13</f>
        <v/>
      </c>
      <c r="BM13" s="60">
        <f>(BSPrice($B13*1,$J13+-0.05, $K13, $C13, ($I13-$B$1)/365, $G13, $H13, $D13) - BSPrice($B13,$J13, $K13, $C13, ($I13-$B$1)/365, $G13, $H13, $D13)) * $F13</f>
        <v/>
      </c>
      <c r="BN13" s="60">
        <f>(BSPrice($B13*1,$J13+-0.02, $K13, $C13, ($I13-$B$1)/365, $G13, $H13, $D13) - BSPrice($B13,$J13, $K13, $C13, ($I13-$B$1)/365, $G13, $H13, $D13)) * $F13</f>
        <v/>
      </c>
      <c r="BO13" s="60">
        <f>(BSPrice($B13*1,$J13+0, $K13, $C13, ($I13-$B$1)/365, $G13, $H13, $D13) - BSPrice($B13,$J13, $K13, $C13, ($I13-$B$1)/365, $G13, $H13, $D13)) * $F13</f>
        <v/>
      </c>
      <c r="BP13" s="60">
        <f>(BSPrice($B13*1,$J13+0.02, $K13, $C13, ($I13-$B$1)/365, $G13, $H13, $D13) - BSPrice($B13,$J13, $K13, $C13, ($I13-$B$1)/365, $G13, $H13, $D13)) * $F13</f>
        <v/>
      </c>
      <c r="BQ13" s="60">
        <f>(BSPrice($B13*1,$J13+0.05, $K13, $C13, ($I13-$B$1)/365, $G13, $H13, $D13) - BSPrice($B13,$J13, $K13, $C13, ($I13-$B$1)/365, $G13, $H13, $D13)) * $F13</f>
        <v/>
      </c>
      <c r="BR13" s="60">
        <f>(BSPrice($B13*1,$J13+0.1, $K13, $C13, ($I13-$B$1)/365, $G13, $H13, $D13) - BSPrice($B13,$J13, $K13, $C13, ($I13-$B$1)/365, $G13, $H13, $D13)) * $F13</f>
        <v/>
      </c>
      <c r="BS13" s="60">
        <f>(BSPrice($B13*1,$J13+0.2, $K13, $C13, ($I13-$B$1)/365, $G13, $H13, $D13) - BSPrice($B13,$J13, $K13, $C13, ($I13-$B$1)/365, $G13, $H13, $D13)) * $F13</f>
        <v/>
      </c>
      <c r="BT13" s="60">
        <f>(BSPrice($B13*1.05,$J13+-0.05, $K13, $C13, ($I13-$B$1)/365, $G13, $H13, $D13) - BSPrice($B13,$J13, $K13, $C13, ($I13-$B$1)/365, $G13, $H13, $D13)) * $F13</f>
        <v/>
      </c>
      <c r="BU13" s="60">
        <f>(BSPrice($B13*1.05,$J13+-0.02, $K13, $C13, ($I13-$B$1)/365, $G13, $H13, $D13) - BSPrice($B13,$J13, $K13, $C13, ($I13-$B$1)/365, $G13, $H13, $D13)) * $F13</f>
        <v/>
      </c>
      <c r="BV13" s="60">
        <f>(BSPrice($B13*1.05,$J13+0, $K13, $C13, ($I13-$B$1)/365, $G13, $H13, $D13) - BSPrice($B13,$J13, $K13, $C13, ($I13-$B$1)/365, $G13, $H13, $D13)) * $F13</f>
        <v/>
      </c>
      <c r="BW13" s="60">
        <f>(BSPrice($B13*1.05,$J13+0.02, $K13, $C13, ($I13-$B$1)/365, $G13, $H13, $D13) - BSPrice($B13,$J13, $K13, $C13, ($I13-$B$1)/365, $G13, $H13, $D13)) * $F13</f>
        <v/>
      </c>
      <c r="BX13" s="60">
        <f>(BSPrice($B13*1.05,$J13+0.05, $K13, $C13, ($I13-$B$1)/365, $G13, $H13, $D13) - BSPrice($B13,$J13, $K13, $C13, ($I13-$B$1)/365, $G13, $H13, $D13)) * $F13</f>
        <v/>
      </c>
      <c r="BY13" s="60">
        <f>(BSPrice($B13*1.05,$J13+0.1, $K13, $C13, ($I13-$B$1)/365, $G13, $H13, $D13) - BSPrice($B13,$J13, $K13, $C13, ($I13-$B$1)/365, $G13, $H13, $D13)) * $F13</f>
        <v/>
      </c>
      <c r="BZ13" s="60">
        <f>(BSPrice($B13*1.05,$J13+0.2, $K13, $C13, ($I13-$B$1)/365, $G13, $H13, $D13) - BSPrice($B13,$J13, $K13, $C13, ($I13-$B$1)/365, $G13, $H13, $D13)) * $F13</f>
        <v/>
      </c>
      <c r="CA13" s="60">
        <f>(BSPrice($B13*1.1,$J13+-0.05, $K13, $C13, ($I13-$B$1)/365, $G13, $H13, $D13) - BSPrice($B13,$J13, $K13, $C13, ($I13-$B$1)/365, $G13, $H13, $D13)) * $F13</f>
        <v/>
      </c>
      <c r="CB13" s="60">
        <f>(BSPrice($B13*1.1,$J13+-0.02, $K13, $C13, ($I13-$B$1)/365, $G13, $H13, $D13) - BSPrice($B13,$J13, $K13, $C13, ($I13-$B$1)/365, $G13, $H13, $D13)) * $F13</f>
        <v/>
      </c>
      <c r="CC13" s="60">
        <f>(BSPrice($B13*1.1,$J13+0, $K13, $C13, ($I13-$B$1)/365, $G13, $H13, $D13) - BSPrice($B13,$J13, $K13, $C13, ($I13-$B$1)/365, $G13, $H13, $D13)) * $F13</f>
        <v/>
      </c>
      <c r="CD13" s="60">
        <f>(BSPrice($B13*1.1,$J13+0.02, $K13, $C13, ($I13-$B$1)/365, $G13, $H13, $D13) - BSPrice($B13,$J13, $K13, $C13, ($I13-$B$1)/365, $G13, $H13, $D13)) * $F13</f>
        <v/>
      </c>
      <c r="CE13" s="60">
        <f>(BSPrice($B13*1.1,$J13+0.05, $K13, $C13, ($I13-$B$1)/365, $G13, $H13, $D13) - BSPrice($B13,$J13, $K13, $C13, ($I13-$B$1)/365, $G13, $H13, $D13)) * $F13</f>
        <v/>
      </c>
      <c r="CF13" s="60">
        <f>(BSPrice($B13*1.1,$J13+0.1, $K13, $C13, ($I13-$B$1)/365, $G13, $H13, $D13) - BSPrice($B13,$J13, $K13, $C13, ($I13-$B$1)/365, $G13, $H13, $D13)) * $F13</f>
        <v/>
      </c>
      <c r="CG13" s="60">
        <f>(BSPrice($B13*1.1,$J13+0.2, $K13, $C13, ($I13-$B$1)/365, $G13, $H13, $D13) - BSPrice($B13,$J13, $K13, $C13, ($I13-$B$1)/365, $G13, $H13, $D13)) * $F13</f>
        <v/>
      </c>
      <c r="CH13" s="60">
        <f>(BSPrice($B13*1.2,$J13+-0.05, $K13, $C13, ($I13-$B$1)/365, $G13, $H13, $D13) - BSPrice($B13,$J13, $K13, $C13, ($I13-$B$1)/365, $G13, $H13, $D13)) * $F13</f>
        <v/>
      </c>
      <c r="CI13" s="60">
        <f>(BSPrice($B13*1.2,$J13+-0.02, $K13, $C13, ($I13-$B$1)/365, $G13, $H13, $D13) - BSPrice($B13,$J13, $K13, $C13, ($I13-$B$1)/365, $G13, $H13, $D13)) * $F13</f>
        <v/>
      </c>
      <c r="CJ13" s="60">
        <f>(BSPrice($B13*1.2,$J13+0, $K13, $C13, ($I13-$B$1)/365, $G13, $H13, $D13) - BSPrice($B13,$J13, $K13, $C13, ($I13-$B$1)/365, $G13, $H13, $D13)) * $F13</f>
        <v/>
      </c>
      <c r="CK13" s="60">
        <f>(BSPrice($B13*1.2,$J13+0.02, $K13, $C13, ($I13-$B$1)/365, $G13, $H13, $D13) - BSPrice($B13,$J13, $K13, $C13, ($I13-$B$1)/365, $G13, $H13, $D13)) * $F13</f>
        <v/>
      </c>
      <c r="CL13" s="60">
        <f>(BSPrice($B13*1.2,$J13+0.05, $K13, $C13, ($I13-$B$1)/365, $G13, $H13, $D13) - BSPrice($B13,$J13, $K13, $C13, ($I13-$B$1)/365, $G13, $H13, $D13)) * $F13</f>
        <v/>
      </c>
      <c r="CM13" s="60">
        <f>(BSPrice($B13*1.2,$J13+0.1, $K13, $C13, ($I13-$B$1)/365, $G13, $H13, $D13) - BSPrice($B13,$J13, $K13, $C13, ($I13-$B$1)/365, $G13, $H13, $D13)) * $F13</f>
        <v/>
      </c>
      <c r="CN13" s="60">
        <f>(BSPrice($B13*1.2,$J13+0.2, $K13, $C13, ($I13-$B$1)/365, $G13, $H13, $D13) - BSPrice($B13,$J13, $K13, $C13, ($I13-$B$1)/365, $G13, $H13, $D13)) * $F13</f>
        <v/>
      </c>
    </row>
    <row r="14">
      <c r="A14" s="3" t="inlineStr">
        <is>
          <t>SPX Index</t>
        </is>
      </c>
      <c r="B14" s="4">
        <f>VLOOKUP(A14,PriceData!$K$4:$L$6,2,FALSE)</f>
        <v/>
      </c>
      <c r="C14" s="46">
        <f>VLOOKUP(A14,PriceData!$K$4:$M$6,3,FALSE)</f>
        <v/>
      </c>
      <c r="D14" s="4" t="inlineStr">
        <is>
          <t>Option</t>
        </is>
      </c>
      <c r="E14" s="4" t="inlineStr">
        <is>
          <t>USD</t>
        </is>
      </c>
      <c r="F14" s="4" t="n">
        <v>-50</v>
      </c>
      <c r="G14" s="4" t="n">
        <v>1100</v>
      </c>
      <c r="H14" s="4" t="inlineStr">
        <is>
          <t>Call</t>
        </is>
      </c>
      <c r="I14" s="5" t="n">
        <v>40256</v>
      </c>
      <c r="J14" s="46">
        <f>FindImpliedVol(A14, D14, G14, I14)</f>
        <v/>
      </c>
      <c r="K14" s="30">
        <f>VLOOKUP(I14,PriceData!$A$5:$D$7,MATCH($E14,PriceData!$A$4:$D$4,0),FALSE)</f>
        <v/>
      </c>
      <c r="L14" s="2">
        <f>BSPrice($B14,$J14, $K14, $C14, ($I14-$B$1)/365, $G14, $H14, $D14)</f>
        <v/>
      </c>
      <c r="M14" s="2">
        <f>F14*L14</f>
        <v/>
      </c>
      <c r="N14" s="4" t="inlineStr">
        <is>
          <t>GoldMine Sacks</t>
        </is>
      </c>
      <c r="P14" s="60">
        <f>BSDelta(B14, J14, K14, C14, (I14-$B$1)/365, G14, H14, D14)</f>
        <v/>
      </c>
      <c r="Q14" s="60">
        <f>BSGamma(B14, J14, K14, C14, (I14-$B$1)/365, G14, D14)</f>
        <v/>
      </c>
      <c r="R14" s="62">
        <f>BSVega(B14, J14, K14, C14, (I14-$B$1)/365,G14, D14)</f>
        <v/>
      </c>
      <c r="S14" s="58">
        <f>BSVolga(B14, J14, K14, C14, (I14-$B$1)/365,G14, D14)</f>
        <v/>
      </c>
      <c r="T14" s="58">
        <f>BSVanna(B14,J14,K14, C14, (I14-$B$1)/365, G14, D14)</f>
        <v/>
      </c>
      <c r="U14" s="2">
        <f>BSRho(B14, J14, K14, C14, (I14-$B$1)/365, G14, H14, D14)</f>
        <v/>
      </c>
      <c r="V14" s="65">
        <f>$F14*$P14</f>
        <v/>
      </c>
      <c r="W14" s="65">
        <f>$F14*$Q14</f>
        <v/>
      </c>
      <c r="X14" s="78">
        <f>$F14*R14</f>
        <v/>
      </c>
      <c r="Y14" s="78">
        <f>$F14*S14</f>
        <v/>
      </c>
      <c r="Z14" s="78">
        <f>$F14*T14</f>
        <v/>
      </c>
      <c r="AA14" s="78">
        <f>$F14*U14</f>
        <v/>
      </c>
      <c r="AB14" s="78">
        <f>(BSPrice($B14*0.8,$J14, $K14, $C14, ($I14-$B$1)/365, $G14, $H14, $D14) - BSPrice($B14,$J14, $K14, $C14, ($I14-$B$1)/365, $G14, $H14, $D14)) * $F14</f>
        <v/>
      </c>
      <c r="AC14" s="78">
        <f>(BSPrice($B14*0.9,$J14, $K14, $C14, ($I14-$B$1)/365, $G14, $H14, $D14) - BSPrice($B14,$J14, $K14, $C14, ($I14-$B$1)/365, $G14, $H14, $D14)) * $F14</f>
        <v/>
      </c>
      <c r="AD14" s="78">
        <f>(BSPrice($B14*0.95,$J14, $K14, $C14, ($I14-$B$1)/365, $G14, $H14, $D14) - BSPrice($B14,$J14, $K14, $C14, ($I14-$B$1)/365, $G14, $H14, $D14)) * $F14</f>
        <v/>
      </c>
      <c r="AE14" s="78">
        <f>(BSPrice($B14*0.98,$J14, $K14, $C14, ($I14-$B$1)/365, $G14, $H14, $D14) - BSPrice($B14,$J14, $K14, $C14, ($I14-$B$1)/365, $G14, $H14, $D14)) * $F14</f>
        <v/>
      </c>
      <c r="AF14" s="78">
        <f>(BSPrice($B14*1.02,$J14, $K14, $C14, ($I14-$B$1)/365, $G14, $H14, $D14) - BSPrice($B14,$J14, $K14, $C14, ($I14-$B$1)/365, $G14, $H14, $D14)) * $F14</f>
        <v/>
      </c>
      <c r="AG14" s="78">
        <f>(BSPrice($B14*1.05,$J14, $K14, $C14, ($I14-$B$1)/365, $G14, $H14, $D14) - BSPrice($B14,$J14, $K14, $C14, ($I14-$B$1)/365, $G14, $H14, $D14)) * $F14</f>
        <v/>
      </c>
      <c r="AH14" s="78">
        <f>(BSPrice($B14*1.1,$J14, $K14, $C14, ($I14-$B$1)/365, $G14, $H14, $D14) - BSPrice($B14,$J14, $K14, $C14, ($I14-$B$1)/365, $G14, $H14, $D14)) * $F14</f>
        <v/>
      </c>
      <c r="AI14" s="78">
        <f>(BSPrice($B14*1.2,$J14, $K14, $C14, ($I14-$B$1)/365, $G14, $H14, $D14) - BSPrice($B14,$J14, $K14, $C14, ($I14-$B$1)/365, $G14, $H14, $D14)) * $F14</f>
        <v/>
      </c>
      <c r="AJ14" s="78">
        <f>(BSPrice($B14,$J14-0.1, $K14, $C14, ($I14-$B$1)/365, $G14, $H14, $D14) - BSPrice($B14,$J14, $K14, $C14, ($I14-$B$1)/365, $G14, $H14, $D14)) * $F14</f>
        <v/>
      </c>
      <c r="AK14" s="78">
        <f>(BSPrice($B14,$J14-0.05,$K14,$C14,($I14-$B$1)/365,$G14,$H14,$D14)-BSPrice($B14,$J14,$K14,$C14,($I14-$B$1)/365,$G14,$H14,$D14))*$F14</f>
        <v/>
      </c>
      <c r="AL14" s="78">
        <f>(BSPrice($B14,$J14-0.02, $K14, $C14, ($I14-$B$1)/365, $G14, $H14, $D14) - BSPrice($B14,$J14, $K14, $C14, ($I14-$B$1)/365, $G14, $H14, $D14)) * $F14</f>
        <v/>
      </c>
      <c r="AM14" s="78">
        <f>(BSPrice($B14,$J14-0.01, $K14, $C14, ($I14-$B$1)/365, $G14, $H14, $D14) - BSPrice($B14,$J14, $K14, $C14, ($I14-$B$1)/365, $G14, $H14, $D14)) * $F14</f>
        <v/>
      </c>
      <c r="AN14" s="78">
        <f>(BSPrice($B14,$J14+0.01, $K14, $C14, ($I14-$B$1)/365, $G14, $H14, $D14) - BSPrice($B14,$J14, $K14, $C14, ($I14-$B$1)/365, $G14, $H14, $D14)) * $F14</f>
        <v/>
      </c>
      <c r="AO14" s="78">
        <f>(BSPrice($B14,$J14+0.02, $K14, $C14, ($I14-$B$1)/365, $G14, $H14, $D14) - BSPrice($B14,$J14, $K14, $C14, ($I14-$B$1)/365, $G14, $H14, $D14)) * $F14</f>
        <v/>
      </c>
      <c r="AP14" s="78">
        <f>(BSPrice($B14,$J14+0.05, $K14, $C14, ($I14-$B$1)/365, $G14, $H14, $D14) - BSPrice($B14,$J14, $K14, $C14, ($I14-$B$1)/365, $G14, $H14, $D14)) * $F14</f>
        <v/>
      </c>
      <c r="AQ14" s="78">
        <f>(BSPrice($B14,$J14+0.1, $K14, $C14, ($I14-$B$1)/365, $G14, $H14, $D14) - BSPrice($B14,$J14, $K14, $C14, ($I14-$B$1)/365, $G14, $H14, $D14)) * $F14</f>
        <v/>
      </c>
      <c r="AR14" s="60">
        <f>(BSPrice($B14*0.8,$J14+-0.05, $K14, $C14, ($I14-$B$1)/365, $G14, $H14, $D14) - BSPrice($B14,$J14, $K14, $C14, ($I14-$B$1)/365, $G14, $H14, $D14)) * $F14</f>
        <v/>
      </c>
      <c r="AS14" s="60">
        <f>(BSPrice($B14*0.8,$J14+-0.02, $K14, $C14, ($I14-$B$1)/365, $G14, $H14, $D14) - BSPrice($B14,$J14, $K14, $C14, ($I14-$B$1)/365, $G14, $H14, $D14)) * $F14</f>
        <v/>
      </c>
      <c r="AT14" s="60">
        <f>(BSPrice($B14*0.8,$J14+0, $K14, $C14, ($I14-$B$1)/365, $G14, $H14, $D14) - BSPrice($B14,$J14, $K14, $C14, ($I14-$B$1)/365, $G14, $H14, $D14)) * $F14</f>
        <v/>
      </c>
      <c r="AU14" s="60">
        <f>(BSPrice($B14*0.8,$J14+0.02, $K14, $C14, ($I14-$B$1)/365, $G14, $H14, $D14) - BSPrice($B14,$J14, $K14, $C14, ($I14-$B$1)/365, $G14, $H14, $D14)) * $F14</f>
        <v/>
      </c>
      <c r="AV14" s="60">
        <f>(BSPrice($B14*0.8,$J14+0.05, $K14, $C14, ($I14-$B$1)/365, $G14, $H14, $D14) - BSPrice($B14,$J14, $K14, $C14, ($I14-$B$1)/365, $G14, $H14, $D14)) * $F14</f>
        <v/>
      </c>
      <c r="AW14" s="60">
        <f>(BSPrice($B14*0.8,$J14+0.1, $K14, $C14, ($I14-$B$1)/365, $G14, $H14, $D14) - BSPrice($B14,$J14, $K14, $C14, ($I14-$B$1)/365, $G14, $H14, $D14)) * $F14</f>
        <v/>
      </c>
      <c r="AX14" s="60">
        <f>(BSPrice($B14*0.8,$J14+0.2, $K14, $C14, ($I14-$B$1)/365, $G14, $H14, $D14) - BSPrice($B14,$J14, $K14, $C14, ($I14-$B$1)/365, $G14, $H14, $D14)) * $F14</f>
        <v/>
      </c>
      <c r="AY14" s="60">
        <f>(BSPrice($B14*0.9,$J14+-0.05, $K14, $C14, ($I14-$B$1)/365, $G14, $H14, $D14) - BSPrice($B14,$J14, $K14, $C14, ($I14-$B$1)/365, $G14, $H14, $D14)) * $F14</f>
        <v/>
      </c>
      <c r="AZ14" s="60">
        <f>(BSPrice($B14*0.9,$J14+-0.02, $K14, $C14, ($I14-$B$1)/365, $G14, $H14, $D14) - BSPrice($B14,$J14, $K14, $C14, ($I14-$B$1)/365, $G14, $H14, $D14)) * $F14</f>
        <v/>
      </c>
      <c r="BA14" s="60">
        <f>(BSPrice($B14*0.9,$J14+0, $K14, $C14, ($I14-$B$1)/365, $G14, $H14, $D14) - BSPrice($B14,$J14, $K14, $C14, ($I14-$B$1)/365, $G14, $H14, $D14)) * $F14</f>
        <v/>
      </c>
      <c r="BB14" s="60">
        <f>(BSPrice($B14*0.9,$J14+0.02, $K14, $C14, ($I14-$B$1)/365, $G14, $H14, $D14) - BSPrice($B14,$J14, $K14, $C14, ($I14-$B$1)/365, $G14, $H14, $D14)) * $F14</f>
        <v/>
      </c>
      <c r="BC14" s="60">
        <f>(BSPrice($B14*0.9,$J14+0.05, $K14, $C14, ($I14-$B$1)/365, $G14, $H14, $D14) - BSPrice($B14,$J14, $K14, $C14, ($I14-$B$1)/365, $G14, $H14, $D14)) * $F14</f>
        <v/>
      </c>
      <c r="BD14" s="60">
        <f>(BSPrice($B14*0.9,$J14+0.1, $K14, $C14, ($I14-$B$1)/365, $G14, $H14, $D14) - BSPrice($B14,$J14, $K14, $C14, ($I14-$B$1)/365, $G14, $H14, $D14)) * $F14</f>
        <v/>
      </c>
      <c r="BE14" s="60">
        <f>(BSPrice($B14*0.9,$J14+0.2, $K14, $C14, ($I14-$B$1)/365, $G14, $H14, $D14) - BSPrice($B14,$J14, $K14, $C14, ($I14-$B$1)/365, $G14, $H14, $D14)) * $F14</f>
        <v/>
      </c>
      <c r="BF14" s="60">
        <f>(BSPrice($B14*0.95,$J14+-0.05, $K14, $C14, ($I14-$B$1)/365, $G14, $H14, $D14) - BSPrice($B14,$J14, $K14, $C14, ($I14-$B$1)/365, $G14, $H14, $D14)) * $F14</f>
        <v/>
      </c>
      <c r="BG14" s="60">
        <f>(BSPrice($B14*0.95,$J14+-0.02, $K14, $C14, ($I14-$B$1)/365, $G14, $H14, $D14) - BSPrice($B14,$J14, $K14, $C14, ($I14-$B$1)/365, $G14, $H14, $D14)) * $F14</f>
        <v/>
      </c>
      <c r="BH14" s="60">
        <f>(BSPrice($B14*0.95,$J14+0, $K14, $C14, ($I14-$B$1)/365, $G14, $H14, $D14) - BSPrice($B14,$J14, $K14, $C14, ($I14-$B$1)/365, $G14, $H14, $D14)) * $F14</f>
        <v/>
      </c>
      <c r="BI14" s="60">
        <f>(BSPrice($B14*0.95,$J14+0.02, $K14, $C14, ($I14-$B$1)/365, $G14, $H14, $D14) - BSPrice($B14,$J14, $K14, $C14, ($I14-$B$1)/365, $G14, $H14, $D14)) * $F14</f>
        <v/>
      </c>
      <c r="BJ14" s="60">
        <f>(BSPrice($B14*0.95,$J14+0.05, $K14, $C14, ($I14-$B$1)/365, $G14, $H14, $D14) - BSPrice($B14,$J14, $K14, $C14, ($I14-$B$1)/365, $G14, $H14, $D14)) * $F14</f>
        <v/>
      </c>
      <c r="BK14" s="60">
        <f>(BSPrice($B14*0.95,$J14+0.1, $K14, $C14, ($I14-$B$1)/365, $G14, $H14, $D14) - BSPrice($B14,$J14, $K14, $C14, ($I14-$B$1)/365, $G14, $H14, $D14)) * $F14</f>
        <v/>
      </c>
      <c r="BL14" s="60">
        <f>(BSPrice($B14*0.95,$J14+0.2, $K14, $C14, ($I14-$B$1)/365, $G14, $H14, $D14) - BSPrice($B14,$J14, $K14, $C14, ($I14-$B$1)/365, $G14, $H14, $D14)) * $F14</f>
        <v/>
      </c>
      <c r="BM14" s="60">
        <f>(BSPrice($B14*1,$J14+-0.05, $K14, $C14, ($I14-$B$1)/365, $G14, $H14, $D14) - BSPrice($B14,$J14, $K14, $C14, ($I14-$B$1)/365, $G14, $H14, $D14)) * $F14</f>
        <v/>
      </c>
      <c r="BN14" s="60">
        <f>(BSPrice($B14*1,$J14+-0.02, $K14, $C14, ($I14-$B$1)/365, $G14, $H14, $D14) - BSPrice($B14,$J14, $K14, $C14, ($I14-$B$1)/365, $G14, $H14, $D14)) * $F14</f>
        <v/>
      </c>
      <c r="BO14" s="60">
        <f>(BSPrice($B14*1,$J14+0, $K14, $C14, ($I14-$B$1)/365, $G14, $H14, $D14) - BSPrice($B14,$J14, $K14, $C14, ($I14-$B$1)/365, $G14, $H14, $D14)) * $F14</f>
        <v/>
      </c>
      <c r="BP14" s="60">
        <f>(BSPrice($B14*1,$J14+0.02, $K14, $C14, ($I14-$B$1)/365, $G14, $H14, $D14) - BSPrice($B14,$J14, $K14, $C14, ($I14-$B$1)/365, $G14, $H14, $D14)) * $F14</f>
        <v/>
      </c>
      <c r="BQ14" s="60">
        <f>(BSPrice($B14*1,$J14+0.05, $K14, $C14, ($I14-$B$1)/365, $G14, $H14, $D14) - BSPrice($B14,$J14, $K14, $C14, ($I14-$B$1)/365, $G14, $H14, $D14)) * $F14</f>
        <v/>
      </c>
      <c r="BR14" s="60">
        <f>(BSPrice($B14*1,$J14+0.1, $K14, $C14, ($I14-$B$1)/365, $G14, $H14, $D14) - BSPrice($B14,$J14, $K14, $C14, ($I14-$B$1)/365, $G14, $H14, $D14)) * $F14</f>
        <v/>
      </c>
      <c r="BS14" s="60">
        <f>(BSPrice($B14*1,$J14+0.2, $K14, $C14, ($I14-$B$1)/365, $G14, $H14, $D14) - BSPrice($B14,$J14, $K14, $C14, ($I14-$B$1)/365, $G14, $H14, $D14)) * $F14</f>
        <v/>
      </c>
      <c r="BT14" s="60">
        <f>(BSPrice($B14*1.05,$J14+-0.05, $K14, $C14, ($I14-$B$1)/365, $G14, $H14, $D14) - BSPrice($B14,$J14, $K14, $C14, ($I14-$B$1)/365, $G14, $H14, $D14)) * $F14</f>
        <v/>
      </c>
      <c r="BU14" s="60">
        <f>(BSPrice($B14*1.05,$J14+-0.02, $K14, $C14, ($I14-$B$1)/365, $G14, $H14, $D14) - BSPrice($B14,$J14, $K14, $C14, ($I14-$B$1)/365, $G14, $H14, $D14)) * $F14</f>
        <v/>
      </c>
      <c r="BV14" s="60">
        <f>(BSPrice($B14*1.05,$J14+0, $K14, $C14, ($I14-$B$1)/365, $G14, $H14, $D14) - BSPrice($B14,$J14, $K14, $C14, ($I14-$B$1)/365, $G14, $H14, $D14)) * $F14</f>
        <v/>
      </c>
      <c r="BW14" s="60">
        <f>(BSPrice($B14*1.05,$J14+0.02, $K14, $C14, ($I14-$B$1)/365, $G14, $H14, $D14) - BSPrice($B14,$J14, $K14, $C14, ($I14-$B$1)/365, $G14, $H14, $D14)) * $F14</f>
        <v/>
      </c>
      <c r="BX14" s="60">
        <f>(BSPrice($B14*1.05,$J14+0.05, $K14, $C14, ($I14-$B$1)/365, $G14, $H14, $D14) - BSPrice($B14,$J14, $K14, $C14, ($I14-$B$1)/365, $G14, $H14, $D14)) * $F14</f>
        <v/>
      </c>
      <c r="BY14" s="60">
        <f>(BSPrice($B14*1.05,$J14+0.1, $K14, $C14, ($I14-$B$1)/365, $G14, $H14, $D14) - BSPrice($B14,$J14, $K14, $C14, ($I14-$B$1)/365, $G14, $H14, $D14)) * $F14</f>
        <v/>
      </c>
      <c r="BZ14" s="60">
        <f>(BSPrice($B14*1.05,$J14+0.2, $K14, $C14, ($I14-$B$1)/365, $G14, $H14, $D14) - BSPrice($B14,$J14, $K14, $C14, ($I14-$B$1)/365, $G14, $H14, $D14)) * $F14</f>
        <v/>
      </c>
      <c r="CA14" s="60">
        <f>(BSPrice($B14*1.1,$J14+-0.05, $K14, $C14, ($I14-$B$1)/365, $G14, $H14, $D14) - BSPrice($B14,$J14, $K14, $C14, ($I14-$B$1)/365, $G14, $H14, $D14)) * $F14</f>
        <v/>
      </c>
      <c r="CB14" s="60">
        <f>(BSPrice($B14*1.1,$J14+-0.02, $K14, $C14, ($I14-$B$1)/365, $G14, $H14, $D14) - BSPrice($B14,$J14, $K14, $C14, ($I14-$B$1)/365, $G14, $H14, $D14)) * $F14</f>
        <v/>
      </c>
      <c r="CC14" s="60">
        <f>(BSPrice($B14*1.1,$J14+0, $K14, $C14, ($I14-$B$1)/365, $G14, $H14, $D14) - BSPrice($B14,$J14, $K14, $C14, ($I14-$B$1)/365, $G14, $H14, $D14)) * $F14</f>
        <v/>
      </c>
      <c r="CD14" s="60">
        <f>(BSPrice($B14*1.1,$J14+0.02, $K14, $C14, ($I14-$B$1)/365, $G14, $H14, $D14) - BSPrice($B14,$J14, $K14, $C14, ($I14-$B$1)/365, $G14, $H14, $D14)) * $F14</f>
        <v/>
      </c>
      <c r="CE14" s="60">
        <f>(BSPrice($B14*1.1,$J14+0.05, $K14, $C14, ($I14-$B$1)/365, $G14, $H14, $D14) - BSPrice($B14,$J14, $K14, $C14, ($I14-$B$1)/365, $G14, $H14, $D14)) * $F14</f>
        <v/>
      </c>
      <c r="CF14" s="60">
        <f>(BSPrice($B14*1.1,$J14+0.1, $K14, $C14, ($I14-$B$1)/365, $G14, $H14, $D14) - BSPrice($B14,$J14, $K14, $C14, ($I14-$B$1)/365, $G14, $H14, $D14)) * $F14</f>
        <v/>
      </c>
      <c r="CG14" s="60">
        <f>(BSPrice($B14*1.1,$J14+0.2, $K14, $C14, ($I14-$B$1)/365, $G14, $H14, $D14) - BSPrice($B14,$J14, $K14, $C14, ($I14-$B$1)/365, $G14, $H14, $D14)) * $F14</f>
        <v/>
      </c>
      <c r="CH14" s="60">
        <f>(BSPrice($B14*1.2,$J14+-0.05, $K14, $C14, ($I14-$B$1)/365, $G14, $H14, $D14) - BSPrice($B14,$J14, $K14, $C14, ($I14-$B$1)/365, $G14, $H14, $D14)) * $F14</f>
        <v/>
      </c>
      <c r="CI14" s="60">
        <f>(BSPrice($B14*1.2,$J14+-0.02, $K14, $C14, ($I14-$B$1)/365, $G14, $H14, $D14) - BSPrice($B14,$J14, $K14, $C14, ($I14-$B$1)/365, $G14, $H14, $D14)) * $F14</f>
        <v/>
      </c>
      <c r="CJ14" s="60">
        <f>(BSPrice($B14*1.2,$J14+0, $K14, $C14, ($I14-$B$1)/365, $G14, $H14, $D14) - BSPrice($B14,$J14, $K14, $C14, ($I14-$B$1)/365, $G14, $H14, $D14)) * $F14</f>
        <v/>
      </c>
      <c r="CK14" s="60">
        <f>(BSPrice($B14*1.2,$J14+0.02, $K14, $C14, ($I14-$B$1)/365, $G14, $H14, $D14) - BSPrice($B14,$J14, $K14, $C14, ($I14-$B$1)/365, $G14, $H14, $D14)) * $F14</f>
        <v/>
      </c>
      <c r="CL14" s="60">
        <f>(BSPrice($B14*1.2,$J14+0.05, $K14, $C14, ($I14-$B$1)/365, $G14, $H14, $D14) - BSPrice($B14,$J14, $K14, $C14, ($I14-$B$1)/365, $G14, $H14, $D14)) * $F14</f>
        <v/>
      </c>
      <c r="CM14" s="60">
        <f>(BSPrice($B14*1.2,$J14+0.1, $K14, $C14, ($I14-$B$1)/365, $G14, $H14, $D14) - BSPrice($B14,$J14, $K14, $C14, ($I14-$B$1)/365, $G14, $H14, $D14)) * $F14</f>
        <v/>
      </c>
      <c r="CN14" s="60">
        <f>(BSPrice($B14*1.2,$J14+0.2, $K14, $C14, ($I14-$B$1)/365, $G14, $H14, $D14) - BSPrice($B14,$J14, $K14, $C14, ($I14-$B$1)/365, $G14, $H14, $D14)) * $F14</f>
        <v/>
      </c>
    </row>
    <row r="15">
      <c r="A15" s="3" t="inlineStr">
        <is>
          <t>SPX Index</t>
        </is>
      </c>
      <c r="B15" s="4">
        <f>VLOOKUP(A15,PriceData!$K$4:$L$6,2,FALSE)</f>
        <v/>
      </c>
      <c r="C15" s="46">
        <f>VLOOKUP(A15,PriceData!$K$4:$M$6,3,FALSE)</f>
        <v/>
      </c>
      <c r="D15" s="4" t="inlineStr">
        <is>
          <t>Option</t>
        </is>
      </c>
      <c r="E15" s="4" t="inlineStr">
        <is>
          <t>USD</t>
        </is>
      </c>
      <c r="F15" s="4" t="n">
        <v>30</v>
      </c>
      <c r="G15" s="4" t="n">
        <v>1232</v>
      </c>
      <c r="H15" s="4" t="inlineStr">
        <is>
          <t>Call</t>
        </is>
      </c>
      <c r="I15" s="5" t="n">
        <v>40256</v>
      </c>
      <c r="J15" s="46">
        <f>FindImpliedVol(A15, D15, G15, I15)</f>
        <v/>
      </c>
      <c r="K15" s="30">
        <f>VLOOKUP(I15,PriceData!$A$5:$D$7,MATCH($E15,PriceData!$A$4:$D$4,0),FALSE)</f>
        <v/>
      </c>
      <c r="L15" s="2">
        <f>BSPrice($B15,$J15, $K15, $C15, ($I15-$B$1)/365, $G15, $H15, $D15)</f>
        <v/>
      </c>
      <c r="M15" s="2">
        <f>F15*L15</f>
        <v/>
      </c>
      <c r="N15" s="4" t="inlineStr">
        <is>
          <t>Exch</t>
        </is>
      </c>
      <c r="P15" s="60">
        <f>BSDelta(B15, J15, K15, C15, (I15-$B$1)/365, G15, H15, D15)</f>
        <v/>
      </c>
      <c r="Q15" s="60">
        <f>BSGamma(B15, J15, K15, C15, (I15-$B$1)/365, G15, D15)</f>
        <v/>
      </c>
      <c r="R15" s="58">
        <f>BSVega(B15, J15, K15, C15, (I15-$B$1)/365,G15, D15)</f>
        <v/>
      </c>
      <c r="S15" s="58">
        <f>BSVolga(B15, J15, K15, C15, (I15-$B$1)/365,G15, D15)</f>
        <v/>
      </c>
      <c r="T15" s="58">
        <f>BSVanna(B15,J15,K15, C15, (I15-$B$1)/365, G15, D15)</f>
        <v/>
      </c>
      <c r="U15" s="2">
        <f>BSRho(B15, J15, K15, C15, (I15-$B$1)/365, G15, H15, D15)</f>
        <v/>
      </c>
      <c r="V15" s="65">
        <f>$F15*$P15</f>
        <v/>
      </c>
      <c r="W15" s="65">
        <f>$F15*$Q15</f>
        <v/>
      </c>
      <c r="X15" s="78">
        <f>$F15*R15</f>
        <v/>
      </c>
      <c r="Y15" s="78">
        <f>$F15*S15</f>
        <v/>
      </c>
      <c r="Z15" s="78">
        <f>$F15*T15</f>
        <v/>
      </c>
      <c r="AA15" s="78">
        <f>$F15*U15</f>
        <v/>
      </c>
      <c r="AB15" s="78">
        <f>(BSPrice($B15*0.8,$J15, $K15, $C15, ($I15-$B$1)/365, $G15, $H15, $D15) - BSPrice($B15,$J15, $K15, $C15, ($I15-$B$1)/365, $G15, $H15, $D15)) * $F15</f>
        <v/>
      </c>
      <c r="AC15" s="78">
        <f>(BSPrice($B15*0.9,$J15, $K15, $C15, ($I15-$B$1)/365, $G15, $H15, $D15) - BSPrice($B15,$J15, $K15, $C15, ($I15-$B$1)/365, $G15, $H15, $D15)) * $F15</f>
        <v/>
      </c>
      <c r="AD15" s="78">
        <f>(BSPrice($B15*0.95,$J15, $K15, $C15, ($I15-$B$1)/365, $G15, $H15, $D15) - BSPrice($B15,$J15, $K15, $C15, ($I15-$B$1)/365, $G15, $H15, $D15)) * $F15</f>
        <v/>
      </c>
      <c r="AE15" s="78">
        <f>(BSPrice($B15*0.98,$J15, $K15, $C15, ($I15-$B$1)/365, $G15, $H15, $D15) - BSPrice($B15,$J15, $K15, $C15, ($I15-$B$1)/365, $G15, $H15, $D15)) * $F15</f>
        <v/>
      </c>
      <c r="AF15" s="78">
        <f>(BSPrice($B15*1.02,$J15, $K15, $C15, ($I15-$B$1)/365, $G15, $H15, $D15) - BSPrice($B15,$J15, $K15, $C15, ($I15-$B$1)/365, $G15, $H15, $D15)) * $F15</f>
        <v/>
      </c>
      <c r="AG15" s="78">
        <f>(BSPrice($B15*1.05,$J15, $K15, $C15, ($I15-$B$1)/365, $G15, $H15, $D15) - BSPrice($B15,$J15, $K15, $C15, ($I15-$B$1)/365, $G15, $H15, $D15)) * $F15</f>
        <v/>
      </c>
      <c r="AH15" s="78">
        <f>(BSPrice($B15*1.1,$J15, $K15, $C15, ($I15-$B$1)/365, $G15, $H15, $D15) - BSPrice($B15,$J15, $K15, $C15, ($I15-$B$1)/365, $G15, $H15, $D15)) * $F15</f>
        <v/>
      </c>
      <c r="AI15" s="78">
        <f>(BSPrice($B15*1.2,$J15, $K15, $C15, ($I15-$B$1)/365, $G15, $H15, $D15) - BSPrice($B15,$J15, $K15, $C15, ($I15-$B$1)/365, $G15, $H15, $D15)) * $F15</f>
        <v/>
      </c>
      <c r="AJ15" s="78">
        <f>(BSPrice($B15,$J15-0.1, $K15, $C15, ($I15-$B$1)/365, $G15, $H15, $D15) - BSPrice($B15,$J15, $K15, $C15, ($I15-$B$1)/365, $G15, $H15, $D15)) * $F15</f>
        <v/>
      </c>
      <c r="AK15" s="78">
        <f>(BSPrice($B15,$J15-0.05,$K15,$C15,($I15-$B$1)/365,$G15,$H15,$D15)-BSPrice($B15,$J15,$K15,$C15,($I15-$B$1)/365,$G15,$H15,$D15))*$F15</f>
        <v/>
      </c>
      <c r="AL15" s="78">
        <f>(BSPrice($B15,$J15-0.02, $K15, $C15, ($I15-$B$1)/365, $G15, $H15, $D15) - BSPrice($B15,$J15, $K15, $C15, ($I15-$B$1)/365, $G15, $H15, $D15)) * $F15</f>
        <v/>
      </c>
      <c r="AM15" s="78">
        <f>(BSPrice($B15,$J15-0.01, $K15, $C15, ($I15-$B$1)/365, $G15, $H15, $D15) - BSPrice($B15,$J15, $K15, $C15, ($I15-$B$1)/365, $G15, $H15, $D15)) * $F15</f>
        <v/>
      </c>
      <c r="AN15" s="78">
        <f>(BSPrice($B15,$J15+0.01, $K15, $C15, ($I15-$B$1)/365, $G15, $H15, $D15) - BSPrice($B15,$J15, $K15, $C15, ($I15-$B$1)/365, $G15, $H15, $D15)) * $F15</f>
        <v/>
      </c>
      <c r="AO15" s="78">
        <f>(BSPrice($B15,$J15+0.02, $K15, $C15, ($I15-$B$1)/365, $G15, $H15, $D15) - BSPrice($B15,$J15, $K15, $C15, ($I15-$B$1)/365, $G15, $H15, $D15)) * $F15</f>
        <v/>
      </c>
      <c r="AP15" s="78">
        <f>(BSPrice($B15,$J15+0.05, $K15, $C15, ($I15-$B$1)/365, $G15, $H15, $D15) - BSPrice($B15,$J15, $K15, $C15, ($I15-$B$1)/365, $G15, $H15, $D15)) * $F15</f>
        <v/>
      </c>
      <c r="AQ15" s="78">
        <f>(BSPrice($B15,$J15+0.1, $K15, $C15, ($I15-$B$1)/365, $G15, $H15, $D15) - BSPrice($B15,$J15, $K15, $C15, ($I15-$B$1)/365, $G15, $H15, $D15)) * $F15</f>
        <v/>
      </c>
      <c r="AR15" s="60">
        <f>(BSPrice($B15*0.8,$J15+-0.05, $K15, $C15, ($I15-$B$1)/365, $G15, $H15, $D15) - BSPrice($B15,$J15, $K15, $C15, ($I15-$B$1)/365, $G15, $H15, $D15)) * $F15</f>
        <v/>
      </c>
      <c r="AS15" s="60">
        <f>(BSPrice($B15*0.8,$J15+-0.02, $K15, $C15, ($I15-$B$1)/365, $G15, $H15, $D15) - BSPrice($B15,$J15, $K15, $C15, ($I15-$B$1)/365, $G15, $H15, $D15)) * $F15</f>
        <v/>
      </c>
      <c r="AT15" s="60">
        <f>(BSPrice($B15*0.8,$J15+0, $K15, $C15, ($I15-$B$1)/365, $G15, $H15, $D15) - BSPrice($B15,$J15, $K15, $C15, ($I15-$B$1)/365, $G15, $H15, $D15)) * $F15</f>
        <v/>
      </c>
      <c r="AU15" s="60">
        <f>(BSPrice($B15*0.8,$J15+0.02, $K15, $C15, ($I15-$B$1)/365, $G15, $H15, $D15) - BSPrice($B15,$J15, $K15, $C15, ($I15-$B$1)/365, $G15, $H15, $D15)) * $F15</f>
        <v/>
      </c>
      <c r="AV15" s="60">
        <f>(BSPrice($B15*0.8,$J15+0.05, $K15, $C15, ($I15-$B$1)/365, $G15, $H15, $D15) - BSPrice($B15,$J15, $K15, $C15, ($I15-$B$1)/365, $G15, $H15, $D15)) * $F15</f>
        <v/>
      </c>
      <c r="AW15" s="60">
        <f>(BSPrice($B15*0.8,$J15+0.1, $K15, $C15, ($I15-$B$1)/365, $G15, $H15, $D15) - BSPrice($B15,$J15, $K15, $C15, ($I15-$B$1)/365, $G15, $H15, $D15)) * $F15</f>
        <v/>
      </c>
      <c r="AX15" s="60">
        <f>(BSPrice($B15*0.8,$J15+0.2, $K15, $C15, ($I15-$B$1)/365, $G15, $H15, $D15) - BSPrice($B15,$J15, $K15, $C15, ($I15-$B$1)/365, $G15, $H15, $D15)) * $F15</f>
        <v/>
      </c>
      <c r="AY15" s="60">
        <f>(BSPrice($B15*0.9,$J15+-0.05, $K15, $C15, ($I15-$B$1)/365, $G15, $H15, $D15) - BSPrice($B15,$J15, $K15, $C15, ($I15-$B$1)/365, $G15, $H15, $D15)) * $F15</f>
        <v/>
      </c>
      <c r="AZ15" s="60">
        <f>(BSPrice($B15*0.9,$J15+-0.02, $K15, $C15, ($I15-$B$1)/365, $G15, $H15, $D15) - BSPrice($B15,$J15, $K15, $C15, ($I15-$B$1)/365, $G15, $H15, $D15)) * $F15</f>
        <v/>
      </c>
      <c r="BA15" s="60">
        <f>(BSPrice($B15*0.9,$J15+0, $K15, $C15, ($I15-$B$1)/365, $G15, $H15, $D15) - BSPrice($B15,$J15, $K15, $C15, ($I15-$B$1)/365, $G15, $H15, $D15)) * $F15</f>
        <v/>
      </c>
      <c r="BB15" s="60">
        <f>(BSPrice($B15*0.9,$J15+0.02, $K15, $C15, ($I15-$B$1)/365, $G15, $H15, $D15) - BSPrice($B15,$J15, $K15, $C15, ($I15-$B$1)/365, $G15, $H15, $D15)) * $F15</f>
        <v/>
      </c>
      <c r="BC15" s="60">
        <f>(BSPrice($B15*0.9,$J15+0.05, $K15, $C15, ($I15-$B$1)/365, $G15, $H15, $D15) - BSPrice($B15,$J15, $K15, $C15, ($I15-$B$1)/365, $G15, $H15, $D15)) * $F15</f>
        <v/>
      </c>
      <c r="BD15" s="60">
        <f>(BSPrice($B15*0.9,$J15+0.1, $K15, $C15, ($I15-$B$1)/365, $G15, $H15, $D15) - BSPrice($B15,$J15, $K15, $C15, ($I15-$B$1)/365, $G15, $H15, $D15)) * $F15</f>
        <v/>
      </c>
      <c r="BE15" s="60">
        <f>(BSPrice($B15*0.9,$J15+0.2, $K15, $C15, ($I15-$B$1)/365, $G15, $H15, $D15) - BSPrice($B15,$J15, $K15, $C15, ($I15-$B$1)/365, $G15, $H15, $D15)) * $F15</f>
        <v/>
      </c>
      <c r="BF15" s="60">
        <f>(BSPrice($B15*0.95,$J15+-0.05, $K15, $C15, ($I15-$B$1)/365, $G15, $H15, $D15) - BSPrice($B15,$J15, $K15, $C15, ($I15-$B$1)/365, $G15, $H15, $D15)) * $F15</f>
        <v/>
      </c>
      <c r="BG15" s="60">
        <f>(BSPrice($B15*0.95,$J15+-0.02, $K15, $C15, ($I15-$B$1)/365, $G15, $H15, $D15) - BSPrice($B15,$J15, $K15, $C15, ($I15-$B$1)/365, $G15, $H15, $D15)) * $F15</f>
        <v/>
      </c>
      <c r="BH15" s="60">
        <f>(BSPrice($B15*0.95,$J15+0, $K15, $C15, ($I15-$B$1)/365, $G15, $H15, $D15) - BSPrice($B15,$J15, $K15, $C15, ($I15-$B$1)/365, $G15, $H15, $D15)) * $F15</f>
        <v/>
      </c>
      <c r="BI15" s="60">
        <f>(BSPrice($B15*0.95,$J15+0.02, $K15, $C15, ($I15-$B$1)/365, $G15, $H15, $D15) - BSPrice($B15,$J15, $K15, $C15, ($I15-$B$1)/365, $G15, $H15, $D15)) * $F15</f>
        <v/>
      </c>
      <c r="BJ15" s="60">
        <f>(BSPrice($B15*0.95,$J15+0.05, $K15, $C15, ($I15-$B$1)/365, $G15, $H15, $D15) - BSPrice($B15,$J15, $K15, $C15, ($I15-$B$1)/365, $G15, $H15, $D15)) * $F15</f>
        <v/>
      </c>
      <c r="BK15" s="60">
        <f>(BSPrice($B15*0.95,$J15+0.1, $K15, $C15, ($I15-$B$1)/365, $G15, $H15, $D15) - BSPrice($B15,$J15, $K15, $C15, ($I15-$B$1)/365, $G15, $H15, $D15)) * $F15</f>
        <v/>
      </c>
      <c r="BL15" s="60">
        <f>(BSPrice($B15*0.95,$J15+0.2, $K15, $C15, ($I15-$B$1)/365, $G15, $H15, $D15) - BSPrice($B15,$J15, $K15, $C15, ($I15-$B$1)/365, $G15, $H15, $D15)) * $F15</f>
        <v/>
      </c>
      <c r="BM15" s="60">
        <f>(BSPrice($B15*1,$J15+-0.05, $K15, $C15, ($I15-$B$1)/365, $G15, $H15, $D15) - BSPrice($B15,$J15, $K15, $C15, ($I15-$B$1)/365, $G15, $H15, $D15)) * $F15</f>
        <v/>
      </c>
      <c r="BN15" s="60">
        <f>(BSPrice($B15*1,$J15+-0.02, $K15, $C15, ($I15-$B$1)/365, $G15, $H15, $D15) - BSPrice($B15,$J15, $K15, $C15, ($I15-$B$1)/365, $G15, $H15, $D15)) * $F15</f>
        <v/>
      </c>
      <c r="BO15" s="60">
        <f>(BSPrice($B15*1,$J15+0, $K15, $C15, ($I15-$B$1)/365, $G15, $H15, $D15) - BSPrice($B15,$J15, $K15, $C15, ($I15-$B$1)/365, $G15, $H15, $D15)) * $F15</f>
        <v/>
      </c>
      <c r="BP15" s="60">
        <f>(BSPrice($B15*1,$J15+0.02, $K15, $C15, ($I15-$B$1)/365, $G15, $H15, $D15) - BSPrice($B15,$J15, $K15, $C15, ($I15-$B$1)/365, $G15, $H15, $D15)) * $F15</f>
        <v/>
      </c>
      <c r="BQ15" s="60">
        <f>(BSPrice($B15*1,$J15+0.05, $K15, $C15, ($I15-$B$1)/365, $G15, $H15, $D15) - BSPrice($B15,$J15, $K15, $C15, ($I15-$B$1)/365, $G15, $H15, $D15)) * $F15</f>
        <v/>
      </c>
      <c r="BR15" s="60">
        <f>(BSPrice($B15*1,$J15+0.1, $K15, $C15, ($I15-$B$1)/365, $G15, $H15, $D15) - BSPrice($B15,$J15, $K15, $C15, ($I15-$B$1)/365, $G15, $H15, $D15)) * $F15</f>
        <v/>
      </c>
      <c r="BS15" s="60">
        <f>(BSPrice($B15*1,$J15+0.2, $K15, $C15, ($I15-$B$1)/365, $G15, $H15, $D15) - BSPrice($B15,$J15, $K15, $C15, ($I15-$B$1)/365, $G15, $H15, $D15)) * $F15</f>
        <v/>
      </c>
      <c r="BT15" s="60">
        <f>(BSPrice($B15*1.05,$J15+-0.05, $K15, $C15, ($I15-$B$1)/365, $G15, $H15, $D15) - BSPrice($B15,$J15, $K15, $C15, ($I15-$B$1)/365, $G15, $H15, $D15)) * $F15</f>
        <v/>
      </c>
      <c r="BU15" s="60">
        <f>(BSPrice($B15*1.05,$J15+-0.02, $K15, $C15, ($I15-$B$1)/365, $G15, $H15, $D15) - BSPrice($B15,$J15, $K15, $C15, ($I15-$B$1)/365, $G15, $H15, $D15)) * $F15</f>
        <v/>
      </c>
      <c r="BV15" s="60">
        <f>(BSPrice($B15*1.05,$J15+0, $K15, $C15, ($I15-$B$1)/365, $G15, $H15, $D15) - BSPrice($B15,$J15, $K15, $C15, ($I15-$B$1)/365, $G15, $H15, $D15)) * $F15</f>
        <v/>
      </c>
      <c r="BW15" s="60">
        <f>(BSPrice($B15*1.05,$J15+0.02, $K15, $C15, ($I15-$B$1)/365, $G15, $H15, $D15) - BSPrice($B15,$J15, $K15, $C15, ($I15-$B$1)/365, $G15, $H15, $D15)) * $F15</f>
        <v/>
      </c>
      <c r="BX15" s="60">
        <f>(BSPrice($B15*1.05,$J15+0.05, $K15, $C15, ($I15-$B$1)/365, $G15, $H15, $D15) - BSPrice($B15,$J15, $K15, $C15, ($I15-$B$1)/365, $G15, $H15, $D15)) * $F15</f>
        <v/>
      </c>
      <c r="BY15" s="60">
        <f>(BSPrice($B15*1.05,$J15+0.1, $K15, $C15, ($I15-$B$1)/365, $G15, $H15, $D15) - BSPrice($B15,$J15, $K15, $C15, ($I15-$B$1)/365, $G15, $H15, $D15)) * $F15</f>
        <v/>
      </c>
      <c r="BZ15" s="60">
        <f>(BSPrice($B15*1.05,$J15+0.2, $K15, $C15, ($I15-$B$1)/365, $G15, $H15, $D15) - BSPrice($B15,$J15, $K15, $C15, ($I15-$B$1)/365, $G15, $H15, $D15)) * $F15</f>
        <v/>
      </c>
      <c r="CA15" s="60">
        <f>(BSPrice($B15*1.1,$J15+-0.05, $K15, $C15, ($I15-$B$1)/365, $G15, $H15, $D15) - BSPrice($B15,$J15, $K15, $C15, ($I15-$B$1)/365, $G15, $H15, $D15)) * $F15</f>
        <v/>
      </c>
      <c r="CB15" s="60">
        <f>(BSPrice($B15*1.1,$J15+-0.02, $K15, $C15, ($I15-$B$1)/365, $G15, $H15, $D15) - BSPrice($B15,$J15, $K15, $C15, ($I15-$B$1)/365, $G15, $H15, $D15)) * $F15</f>
        <v/>
      </c>
      <c r="CC15" s="60">
        <f>(BSPrice($B15*1.1,$J15+0, $K15, $C15, ($I15-$B$1)/365, $G15, $H15, $D15) - BSPrice($B15,$J15, $K15, $C15, ($I15-$B$1)/365, $G15, $H15, $D15)) * $F15</f>
        <v/>
      </c>
      <c r="CD15" s="60">
        <f>(BSPrice($B15*1.1,$J15+0.02, $K15, $C15, ($I15-$B$1)/365, $G15, $H15, $D15) - BSPrice($B15,$J15, $K15, $C15, ($I15-$B$1)/365, $G15, $H15, $D15)) * $F15</f>
        <v/>
      </c>
      <c r="CE15" s="60">
        <f>(BSPrice($B15*1.1,$J15+0.05, $K15, $C15, ($I15-$B$1)/365, $G15, $H15, $D15) - BSPrice($B15,$J15, $K15, $C15, ($I15-$B$1)/365, $G15, $H15, $D15)) * $F15</f>
        <v/>
      </c>
      <c r="CF15" s="60">
        <f>(BSPrice($B15*1.1,$J15+0.1, $K15, $C15, ($I15-$B$1)/365, $G15, $H15, $D15) - BSPrice($B15,$J15, $K15, $C15, ($I15-$B$1)/365, $G15, $H15, $D15)) * $F15</f>
        <v/>
      </c>
      <c r="CG15" s="60">
        <f>(BSPrice($B15*1.1,$J15+0.2, $K15, $C15, ($I15-$B$1)/365, $G15, $H15, $D15) - BSPrice($B15,$J15, $K15, $C15, ($I15-$B$1)/365, $G15, $H15, $D15)) * $F15</f>
        <v/>
      </c>
      <c r="CH15" s="60">
        <f>(BSPrice($B15*1.2,$J15+-0.05, $K15, $C15, ($I15-$B$1)/365, $G15, $H15, $D15) - BSPrice($B15,$J15, $K15, $C15, ($I15-$B$1)/365, $G15, $H15, $D15)) * $F15</f>
        <v/>
      </c>
      <c r="CI15" s="60">
        <f>(BSPrice($B15*1.2,$J15+-0.02, $K15, $C15, ($I15-$B$1)/365, $G15, $H15, $D15) - BSPrice($B15,$J15, $K15, $C15, ($I15-$B$1)/365, $G15, $H15, $D15)) * $F15</f>
        <v/>
      </c>
      <c r="CJ15" s="60">
        <f>(BSPrice($B15*1.2,$J15+0, $K15, $C15, ($I15-$B$1)/365, $G15, $H15, $D15) - BSPrice($B15,$J15, $K15, $C15, ($I15-$B$1)/365, $G15, $H15, $D15)) * $F15</f>
        <v/>
      </c>
      <c r="CK15" s="60">
        <f>(BSPrice($B15*1.2,$J15+0.02, $K15, $C15, ($I15-$B$1)/365, $G15, $H15, $D15) - BSPrice($B15,$J15, $K15, $C15, ($I15-$B$1)/365, $G15, $H15, $D15)) * $F15</f>
        <v/>
      </c>
      <c r="CL15" s="60">
        <f>(BSPrice($B15*1.2,$J15+0.05, $K15, $C15, ($I15-$B$1)/365, $G15, $H15, $D15) - BSPrice($B15,$J15, $K15, $C15, ($I15-$B$1)/365, $G15, $H15, $D15)) * $F15</f>
        <v/>
      </c>
      <c r="CM15" s="60">
        <f>(BSPrice($B15*1.2,$J15+0.1, $K15, $C15, ($I15-$B$1)/365, $G15, $H15, $D15) - BSPrice($B15,$J15, $K15, $C15, ($I15-$B$1)/365, $G15, $H15, $D15)) * $F15</f>
        <v/>
      </c>
      <c r="CN15" s="60">
        <f>(BSPrice($B15*1.2,$J15+0.2, $K15, $C15, ($I15-$B$1)/365, $G15, $H15, $D15) - BSPrice($B15,$J15, $K15, $C15, ($I15-$B$1)/365, $G15, $H15, $D15)) * $F15</f>
        <v/>
      </c>
    </row>
    <row r="16">
      <c r="A16" s="3" t="inlineStr">
        <is>
          <t>SPX Index</t>
        </is>
      </c>
      <c r="B16" s="4">
        <f>VLOOKUP(A16,PriceData!$K$4:$L$6,2,FALSE)</f>
        <v/>
      </c>
      <c r="C16" s="46">
        <f>VLOOKUP(A16,PriceData!$K$4:$M$6,3,FALSE)</f>
        <v/>
      </c>
      <c r="D16" s="4" t="inlineStr">
        <is>
          <t>Option</t>
        </is>
      </c>
      <c r="E16" s="4" t="inlineStr">
        <is>
          <t>USD</t>
        </is>
      </c>
      <c r="F16" s="4" t="n">
        <v>25</v>
      </c>
      <c r="G16" s="4" t="n">
        <v>935</v>
      </c>
      <c r="H16" s="4" t="inlineStr">
        <is>
          <t>Put</t>
        </is>
      </c>
      <c r="I16" s="5" t="n">
        <v>40256</v>
      </c>
      <c r="J16" s="46">
        <f>FindImpliedVol(A16, D16, G16, I16)</f>
        <v/>
      </c>
      <c r="K16" s="30">
        <f>VLOOKUP(I16,PriceData!$A$5:$D$7,MATCH($E16,PriceData!$A$4:$D$4,0),FALSE)</f>
        <v/>
      </c>
      <c r="L16" s="2">
        <f>BSPrice($B16,$J16, $K16, $C16, ($I16-$B$1)/365, $G16, $H16, $D16)</f>
        <v/>
      </c>
      <c r="M16" s="2">
        <f>F16*L16</f>
        <v/>
      </c>
      <c r="N16" s="4" t="inlineStr">
        <is>
          <t>Exch</t>
        </is>
      </c>
      <c r="P16" s="60">
        <f>BSDelta(B16, J16, K16, C16, (I16-$B$1)/365, G16, H16, D16)</f>
        <v/>
      </c>
      <c r="Q16" s="60">
        <f>BSGamma(B16, J16, K16, C16, (I16-$B$1)/365, G16, D16)</f>
        <v/>
      </c>
      <c r="R16" s="58">
        <f>BSVega(B16, J16, K16, C16, (I16-$B$1)/365,G16, D16)</f>
        <v/>
      </c>
      <c r="S16" s="58">
        <f>BSVolga(B16, J16, K16, C16, (I16-$B$1)/365,G16, D16)</f>
        <v/>
      </c>
      <c r="T16" s="58">
        <f>BSVanna(B16,J16,K16, C16, (I16-$B$1)/365, G16, D16)</f>
        <v/>
      </c>
      <c r="U16" s="2">
        <f>BSRho(B16, J16, K16, C16, (I16-$B$1)/365, G16, H16, D16)</f>
        <v/>
      </c>
      <c r="V16" s="65">
        <f>$F16*$P16</f>
        <v/>
      </c>
      <c r="W16" s="65">
        <f>$F16*$Q16</f>
        <v/>
      </c>
      <c r="X16" s="78">
        <f>$F16*R16</f>
        <v/>
      </c>
      <c r="Y16" s="78">
        <f>$F16*S16</f>
        <v/>
      </c>
      <c r="Z16" s="78">
        <f>$F16*T16</f>
        <v/>
      </c>
      <c r="AA16" s="78">
        <f>$F16*U16</f>
        <v/>
      </c>
      <c r="AB16" s="78">
        <f>(BSPrice($B16*0.8,$J16, $K16, $C16, ($I16-$B$1)/365, $G16, $H16, $D16) - BSPrice($B16,$J16, $K16, $C16, ($I16-$B$1)/365, $G16, $H16, $D16)) * $F16</f>
        <v/>
      </c>
      <c r="AC16" s="78">
        <f>(BSPrice($B16*0.9,$J16, $K16, $C16, ($I16-$B$1)/365, $G16, $H16, $D16) - BSPrice($B16,$J16, $K16, $C16, ($I16-$B$1)/365, $G16, $H16, $D16)) * $F16</f>
        <v/>
      </c>
      <c r="AD16" s="78">
        <f>(BSPrice($B16*0.95,$J16, $K16, $C16, ($I16-$B$1)/365, $G16, $H16, $D16) - BSPrice($B16,$J16, $K16, $C16, ($I16-$B$1)/365, $G16, $H16, $D16)) * $F16</f>
        <v/>
      </c>
      <c r="AE16" s="78">
        <f>(BSPrice($B16*0.98,$J16, $K16, $C16, ($I16-$B$1)/365, $G16, $H16, $D16) - BSPrice($B16,$J16, $K16, $C16, ($I16-$B$1)/365, $G16, $H16, $D16)) * $F16</f>
        <v/>
      </c>
      <c r="AF16" s="78">
        <f>(BSPrice($B16*1.02,$J16, $K16, $C16, ($I16-$B$1)/365, $G16, $H16, $D16) - BSPrice($B16,$J16, $K16, $C16, ($I16-$B$1)/365, $G16, $H16, $D16)) * $F16</f>
        <v/>
      </c>
      <c r="AG16" s="78">
        <f>(BSPrice($B16*1.05,$J16, $K16, $C16, ($I16-$B$1)/365, $G16, $H16, $D16) - BSPrice($B16,$J16, $K16, $C16, ($I16-$B$1)/365, $G16, $H16, $D16)) * $F16</f>
        <v/>
      </c>
      <c r="AH16" s="78">
        <f>(BSPrice($B16*1.1,$J16, $K16, $C16, ($I16-$B$1)/365, $G16, $H16, $D16) - BSPrice($B16,$J16, $K16, $C16, ($I16-$B$1)/365, $G16, $H16, $D16)) * $F16</f>
        <v/>
      </c>
      <c r="AI16" s="78">
        <f>(BSPrice($B16*1.2,$J16, $K16, $C16, ($I16-$B$1)/365, $G16, $H16, $D16) - BSPrice($B16,$J16, $K16, $C16, ($I16-$B$1)/365, $G16, $H16, $D16)) * $F16</f>
        <v/>
      </c>
      <c r="AJ16" s="78">
        <f>(BSPrice($B16,$J16-0.1, $K16, $C16, ($I16-$B$1)/365, $G16, $H16, $D16) - BSPrice($B16,$J16, $K16, $C16, ($I16-$B$1)/365, $G16, $H16, $D16)) * $F16</f>
        <v/>
      </c>
      <c r="AK16" s="78">
        <f>(BSPrice($B16,$J16-0.05,$K16,$C16,($I16-$B$1)/365,$G16,$H16,$D16)-BSPrice($B16,$J16,$K16,$C16,($I16-$B$1)/365,$G16,$H16,$D16))*$F16</f>
        <v/>
      </c>
      <c r="AL16" s="78">
        <f>(BSPrice($B16,$J16-0.02, $K16, $C16, ($I16-$B$1)/365, $G16, $H16, $D16) - BSPrice($B16,$J16, $K16, $C16, ($I16-$B$1)/365, $G16, $H16, $D16)) * $F16</f>
        <v/>
      </c>
      <c r="AM16" s="78">
        <f>(BSPrice($B16,$J16-0.01, $K16, $C16, ($I16-$B$1)/365, $G16, $H16, $D16) - BSPrice($B16,$J16, $K16, $C16, ($I16-$B$1)/365, $G16, $H16, $D16)) * $F16</f>
        <v/>
      </c>
      <c r="AN16" s="78">
        <f>(BSPrice($B16,$J16+0.01, $K16, $C16, ($I16-$B$1)/365, $G16, $H16, $D16) - BSPrice($B16,$J16, $K16, $C16, ($I16-$B$1)/365, $G16, $H16, $D16)) * $F16</f>
        <v/>
      </c>
      <c r="AO16" s="78">
        <f>(BSPrice($B16,$J16+0.02, $K16, $C16, ($I16-$B$1)/365, $G16, $H16, $D16) - BSPrice($B16,$J16, $K16, $C16, ($I16-$B$1)/365, $G16, $H16, $D16)) * $F16</f>
        <v/>
      </c>
      <c r="AP16" s="78">
        <f>(BSPrice($B16,$J16+0.05, $K16, $C16, ($I16-$B$1)/365, $G16, $H16, $D16) - BSPrice($B16,$J16, $K16, $C16, ($I16-$B$1)/365, $G16, $H16, $D16)) * $F16</f>
        <v/>
      </c>
      <c r="AQ16" s="78">
        <f>(BSPrice($B16,$J16+0.1, $K16, $C16, ($I16-$B$1)/365, $G16, $H16, $D16) - BSPrice($B16,$J16, $K16, $C16, ($I16-$B$1)/365, $G16, $H16, $D16)) * $F16</f>
        <v/>
      </c>
      <c r="AR16" s="60">
        <f>(BSPrice($B16*0.8,$J16+-0.05, $K16, $C16, ($I16-$B$1)/365, $G16, $H16, $D16) - BSPrice($B16,$J16, $K16, $C16, ($I16-$B$1)/365, $G16, $H16, $D16)) * $F16</f>
        <v/>
      </c>
      <c r="AS16" s="60">
        <f>(BSPrice($B16*0.8,$J16+-0.02, $K16, $C16, ($I16-$B$1)/365, $G16, $H16, $D16) - BSPrice($B16,$J16, $K16, $C16, ($I16-$B$1)/365, $G16, $H16, $D16)) * $F16</f>
        <v/>
      </c>
      <c r="AT16" s="60">
        <f>(BSPrice($B16*0.8,$J16+0, $K16, $C16, ($I16-$B$1)/365, $G16, $H16, $D16) - BSPrice($B16,$J16, $K16, $C16, ($I16-$B$1)/365, $G16, $H16, $D16)) * $F16</f>
        <v/>
      </c>
      <c r="AU16" s="60">
        <f>(BSPrice($B16*0.8,$J16+0.02, $K16, $C16, ($I16-$B$1)/365, $G16, $H16, $D16) - BSPrice($B16,$J16, $K16, $C16, ($I16-$B$1)/365, $G16, $H16, $D16)) * $F16</f>
        <v/>
      </c>
      <c r="AV16" s="60">
        <f>(BSPrice($B16*0.8,$J16+0.05, $K16, $C16, ($I16-$B$1)/365, $G16, $H16, $D16) - BSPrice($B16,$J16, $K16, $C16, ($I16-$B$1)/365, $G16, $H16, $D16)) * $F16</f>
        <v/>
      </c>
      <c r="AW16" s="60">
        <f>(BSPrice($B16*0.8,$J16+0.1, $K16, $C16, ($I16-$B$1)/365, $G16, $H16, $D16) - BSPrice($B16,$J16, $K16, $C16, ($I16-$B$1)/365, $G16, $H16, $D16)) * $F16</f>
        <v/>
      </c>
      <c r="AX16" s="60">
        <f>(BSPrice($B16*0.8,$J16+0.2, $K16, $C16, ($I16-$B$1)/365, $G16, $H16, $D16) - BSPrice($B16,$J16, $K16, $C16, ($I16-$B$1)/365, $G16, $H16, $D16)) * $F16</f>
        <v/>
      </c>
      <c r="AY16" s="60">
        <f>(BSPrice($B16*0.9,$J16+-0.05, $K16, $C16, ($I16-$B$1)/365, $G16, $H16, $D16) - BSPrice($B16,$J16, $K16, $C16, ($I16-$B$1)/365, $G16, $H16, $D16)) * $F16</f>
        <v/>
      </c>
      <c r="AZ16" s="60">
        <f>(BSPrice($B16*0.9,$J16+-0.02, $K16, $C16, ($I16-$B$1)/365, $G16, $H16, $D16) - BSPrice($B16,$J16, $K16, $C16, ($I16-$B$1)/365, $G16, $H16, $D16)) * $F16</f>
        <v/>
      </c>
      <c r="BA16" s="60">
        <f>(BSPrice($B16*0.9,$J16+0, $K16, $C16, ($I16-$B$1)/365, $G16, $H16, $D16) - BSPrice($B16,$J16, $K16, $C16, ($I16-$B$1)/365, $G16, $H16, $D16)) * $F16</f>
        <v/>
      </c>
      <c r="BB16" s="60">
        <f>(BSPrice($B16*0.9,$J16+0.02, $K16, $C16, ($I16-$B$1)/365, $G16, $H16, $D16) - BSPrice($B16,$J16, $K16, $C16, ($I16-$B$1)/365, $G16, $H16, $D16)) * $F16</f>
        <v/>
      </c>
      <c r="BC16" s="60">
        <f>(BSPrice($B16*0.9,$J16+0.05, $K16, $C16, ($I16-$B$1)/365, $G16, $H16, $D16) - BSPrice($B16,$J16, $K16, $C16, ($I16-$B$1)/365, $G16, $H16, $D16)) * $F16</f>
        <v/>
      </c>
      <c r="BD16" s="60">
        <f>(BSPrice($B16*0.9,$J16+0.1, $K16, $C16, ($I16-$B$1)/365, $G16, $H16, $D16) - BSPrice($B16,$J16, $K16, $C16, ($I16-$B$1)/365, $G16, $H16, $D16)) * $F16</f>
        <v/>
      </c>
      <c r="BE16" s="60">
        <f>(BSPrice($B16*0.9,$J16+0.2, $K16, $C16, ($I16-$B$1)/365, $G16, $H16, $D16) - BSPrice($B16,$J16, $K16, $C16, ($I16-$B$1)/365, $G16, $H16, $D16)) * $F16</f>
        <v/>
      </c>
      <c r="BF16" s="60">
        <f>(BSPrice($B16*0.95,$J16+-0.05, $K16, $C16, ($I16-$B$1)/365, $G16, $H16, $D16) - BSPrice($B16,$J16, $K16, $C16, ($I16-$B$1)/365, $G16, $H16, $D16)) * $F16</f>
        <v/>
      </c>
      <c r="BG16" s="60">
        <f>(BSPrice($B16*0.95,$J16+-0.02, $K16, $C16, ($I16-$B$1)/365, $G16, $H16, $D16) - BSPrice($B16,$J16, $K16, $C16, ($I16-$B$1)/365, $G16, $H16, $D16)) * $F16</f>
        <v/>
      </c>
      <c r="BH16" s="60">
        <f>(BSPrice($B16*0.95,$J16+0, $K16, $C16, ($I16-$B$1)/365, $G16, $H16, $D16) - BSPrice($B16,$J16, $K16, $C16, ($I16-$B$1)/365, $G16, $H16, $D16)) * $F16</f>
        <v/>
      </c>
      <c r="BI16" s="60">
        <f>(BSPrice($B16*0.95,$J16+0.02, $K16, $C16, ($I16-$B$1)/365, $G16, $H16, $D16) - BSPrice($B16,$J16, $K16, $C16, ($I16-$B$1)/365, $G16, $H16, $D16)) * $F16</f>
        <v/>
      </c>
      <c r="BJ16" s="60">
        <f>(BSPrice($B16*0.95,$J16+0.05, $K16, $C16, ($I16-$B$1)/365, $G16, $H16, $D16) - BSPrice($B16,$J16, $K16, $C16, ($I16-$B$1)/365, $G16, $H16, $D16)) * $F16</f>
        <v/>
      </c>
      <c r="BK16" s="60">
        <f>(BSPrice($B16*0.95,$J16+0.1, $K16, $C16, ($I16-$B$1)/365, $G16, $H16, $D16) - BSPrice($B16,$J16, $K16, $C16, ($I16-$B$1)/365, $G16, $H16, $D16)) * $F16</f>
        <v/>
      </c>
      <c r="BL16" s="60">
        <f>(BSPrice($B16*0.95,$J16+0.2, $K16, $C16, ($I16-$B$1)/365, $G16, $H16, $D16) - BSPrice($B16,$J16, $K16, $C16, ($I16-$B$1)/365, $G16, $H16, $D16)) * $F16</f>
        <v/>
      </c>
      <c r="BM16" s="60">
        <f>(BSPrice($B16*1,$J16+-0.05, $K16, $C16, ($I16-$B$1)/365, $G16, $H16, $D16) - BSPrice($B16,$J16, $K16, $C16, ($I16-$B$1)/365, $G16, $H16, $D16)) * $F16</f>
        <v/>
      </c>
      <c r="BN16" s="60">
        <f>(BSPrice($B16*1,$J16+-0.02, $K16, $C16, ($I16-$B$1)/365, $G16, $H16, $D16) - BSPrice($B16,$J16, $K16, $C16, ($I16-$B$1)/365, $G16, $H16, $D16)) * $F16</f>
        <v/>
      </c>
      <c r="BO16" s="60">
        <f>(BSPrice($B16*1,$J16+0, $K16, $C16, ($I16-$B$1)/365, $G16, $H16, $D16) - BSPrice($B16,$J16, $K16, $C16, ($I16-$B$1)/365, $G16, $H16, $D16)) * $F16</f>
        <v/>
      </c>
      <c r="BP16" s="60">
        <f>(BSPrice($B16*1,$J16+0.02, $K16, $C16, ($I16-$B$1)/365, $G16, $H16, $D16) - BSPrice($B16,$J16, $K16, $C16, ($I16-$B$1)/365, $G16, $H16, $D16)) * $F16</f>
        <v/>
      </c>
      <c r="BQ16" s="60">
        <f>(BSPrice($B16*1,$J16+0.05, $K16, $C16, ($I16-$B$1)/365, $G16, $H16, $D16) - BSPrice($B16,$J16, $K16, $C16, ($I16-$B$1)/365, $G16, $H16, $D16)) * $F16</f>
        <v/>
      </c>
      <c r="BR16" s="60">
        <f>(BSPrice($B16*1,$J16+0.1, $K16, $C16, ($I16-$B$1)/365, $G16, $H16, $D16) - BSPrice($B16,$J16, $K16, $C16, ($I16-$B$1)/365, $G16, $H16, $D16)) * $F16</f>
        <v/>
      </c>
      <c r="BS16" s="60">
        <f>(BSPrice($B16*1,$J16+0.2, $K16, $C16, ($I16-$B$1)/365, $G16, $H16, $D16) - BSPrice($B16,$J16, $K16, $C16, ($I16-$B$1)/365, $G16, $H16, $D16)) * $F16</f>
        <v/>
      </c>
      <c r="BT16" s="60">
        <f>(BSPrice($B16*1.05,$J16+-0.05, $K16, $C16, ($I16-$B$1)/365, $G16, $H16, $D16) - BSPrice($B16,$J16, $K16, $C16, ($I16-$B$1)/365, $G16, $H16, $D16)) * $F16</f>
        <v/>
      </c>
      <c r="BU16" s="60">
        <f>(BSPrice($B16*1.05,$J16+-0.02, $K16, $C16, ($I16-$B$1)/365, $G16, $H16, $D16) - BSPrice($B16,$J16, $K16, $C16, ($I16-$B$1)/365, $G16, $H16, $D16)) * $F16</f>
        <v/>
      </c>
      <c r="BV16" s="60">
        <f>(BSPrice($B16*1.05,$J16+0, $K16, $C16, ($I16-$B$1)/365, $G16, $H16, $D16) - BSPrice($B16,$J16, $K16, $C16, ($I16-$B$1)/365, $G16, $H16, $D16)) * $F16</f>
        <v/>
      </c>
      <c r="BW16" s="60">
        <f>(BSPrice($B16*1.05,$J16+0.02, $K16, $C16, ($I16-$B$1)/365, $G16, $H16, $D16) - BSPrice($B16,$J16, $K16, $C16, ($I16-$B$1)/365, $G16, $H16, $D16)) * $F16</f>
        <v/>
      </c>
      <c r="BX16" s="60">
        <f>(BSPrice($B16*1.05,$J16+0.05, $K16, $C16, ($I16-$B$1)/365, $G16, $H16, $D16) - BSPrice($B16,$J16, $K16, $C16, ($I16-$B$1)/365, $G16, $H16, $D16)) * $F16</f>
        <v/>
      </c>
      <c r="BY16" s="60">
        <f>(BSPrice($B16*1.05,$J16+0.1, $K16, $C16, ($I16-$B$1)/365, $G16, $H16, $D16) - BSPrice($B16,$J16, $K16, $C16, ($I16-$B$1)/365, $G16, $H16, $D16)) * $F16</f>
        <v/>
      </c>
      <c r="BZ16" s="60">
        <f>(BSPrice($B16*1.05,$J16+0.2, $K16, $C16, ($I16-$B$1)/365, $G16, $H16, $D16) - BSPrice($B16,$J16, $K16, $C16, ($I16-$B$1)/365, $G16, $H16, $D16)) * $F16</f>
        <v/>
      </c>
      <c r="CA16" s="60">
        <f>(BSPrice($B16*1.1,$J16+-0.05, $K16, $C16, ($I16-$B$1)/365, $G16, $H16, $D16) - BSPrice($B16,$J16, $K16, $C16, ($I16-$B$1)/365, $G16, $H16, $D16)) * $F16</f>
        <v/>
      </c>
      <c r="CB16" s="60">
        <f>(BSPrice($B16*1.1,$J16+-0.02, $K16, $C16, ($I16-$B$1)/365, $G16, $H16, $D16) - BSPrice($B16,$J16, $K16, $C16, ($I16-$B$1)/365, $G16, $H16, $D16)) * $F16</f>
        <v/>
      </c>
      <c r="CC16" s="60">
        <f>(BSPrice($B16*1.1,$J16+0, $K16, $C16, ($I16-$B$1)/365, $G16, $H16, $D16) - BSPrice($B16,$J16, $K16, $C16, ($I16-$B$1)/365, $G16, $H16, $D16)) * $F16</f>
        <v/>
      </c>
      <c r="CD16" s="60">
        <f>(BSPrice($B16*1.1,$J16+0.02, $K16, $C16, ($I16-$B$1)/365, $G16, $H16, $D16) - BSPrice($B16,$J16, $K16, $C16, ($I16-$B$1)/365, $G16, $H16, $D16)) * $F16</f>
        <v/>
      </c>
      <c r="CE16" s="60">
        <f>(BSPrice($B16*1.1,$J16+0.05, $K16, $C16, ($I16-$B$1)/365, $G16, $H16, $D16) - BSPrice($B16,$J16, $K16, $C16, ($I16-$B$1)/365, $G16, $H16, $D16)) * $F16</f>
        <v/>
      </c>
      <c r="CF16" s="60">
        <f>(BSPrice($B16*1.1,$J16+0.1, $K16, $C16, ($I16-$B$1)/365, $G16, $H16, $D16) - BSPrice($B16,$J16, $K16, $C16, ($I16-$B$1)/365, $G16, $H16, $D16)) * $F16</f>
        <v/>
      </c>
      <c r="CG16" s="60">
        <f>(BSPrice($B16*1.1,$J16+0.2, $K16, $C16, ($I16-$B$1)/365, $G16, $H16, $D16) - BSPrice($B16,$J16, $K16, $C16, ($I16-$B$1)/365, $G16, $H16, $D16)) * $F16</f>
        <v/>
      </c>
      <c r="CH16" s="60">
        <f>(BSPrice($B16*1.2,$J16+-0.05, $K16, $C16, ($I16-$B$1)/365, $G16, $H16, $D16) - BSPrice($B16,$J16, $K16, $C16, ($I16-$B$1)/365, $G16, $H16, $D16)) * $F16</f>
        <v/>
      </c>
      <c r="CI16" s="60">
        <f>(BSPrice($B16*1.2,$J16+-0.02, $K16, $C16, ($I16-$B$1)/365, $G16, $H16, $D16) - BSPrice($B16,$J16, $K16, $C16, ($I16-$B$1)/365, $G16, $H16, $D16)) * $F16</f>
        <v/>
      </c>
      <c r="CJ16" s="60">
        <f>(BSPrice($B16*1.2,$J16+0, $K16, $C16, ($I16-$B$1)/365, $G16, $H16, $D16) - BSPrice($B16,$J16, $K16, $C16, ($I16-$B$1)/365, $G16, $H16, $D16)) * $F16</f>
        <v/>
      </c>
      <c r="CK16" s="60">
        <f>(BSPrice($B16*1.2,$J16+0.02, $K16, $C16, ($I16-$B$1)/365, $G16, $H16, $D16) - BSPrice($B16,$J16, $K16, $C16, ($I16-$B$1)/365, $G16, $H16, $D16)) * $F16</f>
        <v/>
      </c>
      <c r="CL16" s="60">
        <f>(BSPrice($B16*1.2,$J16+0.05, $K16, $C16, ($I16-$B$1)/365, $G16, $H16, $D16) - BSPrice($B16,$J16, $K16, $C16, ($I16-$B$1)/365, $G16, $H16, $D16)) * $F16</f>
        <v/>
      </c>
      <c r="CM16" s="60">
        <f>(BSPrice($B16*1.2,$J16+0.1, $K16, $C16, ($I16-$B$1)/365, $G16, $H16, $D16) - BSPrice($B16,$J16, $K16, $C16, ($I16-$B$1)/365, $G16, $H16, $D16)) * $F16</f>
        <v/>
      </c>
      <c r="CN16" s="60">
        <f>(BSPrice($B16*1.2,$J16+0.2, $K16, $C16, ($I16-$B$1)/365, $G16, $H16, $D16) - BSPrice($B16,$J16, $K16, $C16, ($I16-$B$1)/365, $G16, $H16, $D16)) * $F16</f>
        <v/>
      </c>
    </row>
    <row r="17">
      <c r="A17" s="3" t="inlineStr">
        <is>
          <t>SPX Index</t>
        </is>
      </c>
      <c r="B17" s="4">
        <f>VLOOKUP(A17,PriceData!$K$4:$L$6,2,FALSE)</f>
        <v/>
      </c>
      <c r="C17" s="46">
        <f>VLOOKUP(A17,PriceData!$K$4:$M$6,3,FALSE)</f>
        <v/>
      </c>
      <c r="D17" s="4" t="inlineStr">
        <is>
          <t>Option</t>
        </is>
      </c>
      <c r="E17" s="4" t="inlineStr">
        <is>
          <t>USD</t>
        </is>
      </c>
      <c r="F17" s="4" t="n">
        <v>-20</v>
      </c>
      <c r="G17" s="4" t="n">
        <v>1001</v>
      </c>
      <c r="H17" s="4" t="inlineStr">
        <is>
          <t>Call</t>
        </is>
      </c>
      <c r="I17" s="5" t="n">
        <v>40256</v>
      </c>
      <c r="J17" s="46">
        <f>FindImpliedVol(A17, D17, G17, I17)</f>
        <v/>
      </c>
      <c r="K17" s="30">
        <f>VLOOKUP(I17,PriceData!$A$5:$D$7,MATCH($E17,PriceData!$A$4:$D$4,0),FALSE)</f>
        <v/>
      </c>
      <c r="L17" s="2">
        <f>BSPrice($B17,$J17, $K17, $C17, ($I17-$B$1)/365, $G17, $H17, $D17)</f>
        <v/>
      </c>
      <c r="M17" s="2">
        <f>F17*L17</f>
        <v/>
      </c>
      <c r="N17" s="4" t="inlineStr">
        <is>
          <t>JP Horgan</t>
        </is>
      </c>
      <c r="P17" s="60">
        <f>BSDelta(B17, J17, K17, C17, (I17-$B$1)/365, G17, H17, D17)</f>
        <v/>
      </c>
      <c r="Q17" s="60">
        <f>BSGamma(B17, J17, K17, C17, (I17-$B$1)/365, G17, D17)</f>
        <v/>
      </c>
      <c r="R17" s="58">
        <f>BSVega(B17, J17, K17, C17, (I17-$B$1)/365,G17, D17)</f>
        <v/>
      </c>
      <c r="S17" s="58">
        <f>BSVolga(B17, J17, K17, C17, (I17-$B$1)/365,G17, D17)</f>
        <v/>
      </c>
      <c r="T17" s="58">
        <f>BSVanna(B17,J17,K17, C17, (I17-$B$1)/365, G17, D17)</f>
        <v/>
      </c>
      <c r="U17" s="2">
        <f>BSRho(B17, J17, K17, C17, (I17-$B$1)/365, G17, H17, D17)</f>
        <v/>
      </c>
      <c r="V17" s="65">
        <f>$F17*$P17</f>
        <v/>
      </c>
      <c r="W17" s="65">
        <f>$F17*$Q17</f>
        <v/>
      </c>
      <c r="X17" s="78">
        <f>$F17*R17</f>
        <v/>
      </c>
      <c r="Y17" s="78">
        <f>$F17*S17</f>
        <v/>
      </c>
      <c r="Z17" s="78">
        <f>$F17*T17</f>
        <v/>
      </c>
      <c r="AA17" s="78">
        <f>$F17*U17</f>
        <v/>
      </c>
      <c r="AB17" s="78">
        <f>(BSPrice($B17*0.8,$J17, $K17, $C17, ($I17-$B$1)/365, $G17, $H17, $D17) - BSPrice($B17,$J17, $K17, $C17, ($I17-$B$1)/365, $G17, $H17, $D17)) * $F17</f>
        <v/>
      </c>
      <c r="AC17" s="78">
        <f>(BSPrice($B17*0.9,$J17, $K17, $C17, ($I17-$B$1)/365, $G17, $H17, $D17) - BSPrice($B17,$J17, $K17, $C17, ($I17-$B$1)/365, $G17, $H17, $D17)) * $F17</f>
        <v/>
      </c>
      <c r="AD17" s="78">
        <f>(BSPrice($B17*0.95,$J17, $K17, $C17, ($I17-$B$1)/365, $G17, $H17, $D17) - BSPrice($B17,$J17, $K17, $C17, ($I17-$B$1)/365, $G17, $H17, $D17)) * $F17</f>
        <v/>
      </c>
      <c r="AE17" s="78">
        <f>(BSPrice($B17*0.98,$J17, $K17, $C17, ($I17-$B$1)/365, $G17, $H17, $D17) - BSPrice($B17,$J17, $K17, $C17, ($I17-$B$1)/365, $G17, $H17, $D17)) * $F17</f>
        <v/>
      </c>
      <c r="AF17" s="78">
        <f>(BSPrice($B17*1.02,$J17, $K17, $C17, ($I17-$B$1)/365, $G17, $H17, $D17) - BSPrice($B17,$J17, $K17, $C17, ($I17-$B$1)/365, $G17, $H17, $D17)) * $F17</f>
        <v/>
      </c>
      <c r="AG17" s="78">
        <f>(BSPrice($B17*1.05,$J17, $K17, $C17, ($I17-$B$1)/365, $G17, $H17, $D17) - BSPrice($B17,$J17, $K17, $C17, ($I17-$B$1)/365, $G17, $H17, $D17)) * $F17</f>
        <v/>
      </c>
      <c r="AH17" s="78">
        <f>(BSPrice($B17*1.1,$J17, $K17, $C17, ($I17-$B$1)/365, $G17, $H17, $D17) - BSPrice($B17,$J17, $K17, $C17, ($I17-$B$1)/365, $G17, $H17, $D17)) * $F17</f>
        <v/>
      </c>
      <c r="AI17" s="78">
        <f>(BSPrice($B17*1.2,$J17, $K17, $C17, ($I17-$B$1)/365, $G17, $H17, $D17) - BSPrice($B17,$J17, $K17, $C17, ($I17-$B$1)/365, $G17, $H17, $D17)) * $F17</f>
        <v/>
      </c>
      <c r="AJ17" s="78">
        <f>(BSPrice($B17,$J17-0.1, $K17, $C17, ($I17-$B$1)/365, $G17, $H17, $D17) - BSPrice($B17,$J17, $K17, $C17, ($I17-$B$1)/365, $G17, $H17, $D17)) * $F17</f>
        <v/>
      </c>
      <c r="AK17" s="78">
        <f>(BSPrice($B17,$J17-0.05,$K17,$C17,($I17-$B$1)/365,$G17,$H17,$D17)-BSPrice($B17,$J17,$K17,$C17,($I17-$B$1)/365,$G17,$H17,$D17))*$F17</f>
        <v/>
      </c>
      <c r="AL17" s="78">
        <f>(BSPrice($B17,$J17-0.02, $K17, $C17, ($I17-$B$1)/365, $G17, $H17, $D17) - BSPrice($B17,$J17, $K17, $C17, ($I17-$B$1)/365, $G17, $H17, $D17)) * $F17</f>
        <v/>
      </c>
      <c r="AM17" s="78">
        <f>(BSPrice($B17,$J17-0.01, $K17, $C17, ($I17-$B$1)/365, $G17, $H17, $D17) - BSPrice($B17,$J17, $K17, $C17, ($I17-$B$1)/365, $G17, $H17, $D17)) * $F17</f>
        <v/>
      </c>
      <c r="AN17" s="78">
        <f>(BSPrice($B17,$J17+0.01, $K17, $C17, ($I17-$B$1)/365, $G17, $H17, $D17) - BSPrice($B17,$J17, $K17, $C17, ($I17-$B$1)/365, $G17, $H17, $D17)) * $F17</f>
        <v/>
      </c>
      <c r="AO17" s="78">
        <f>(BSPrice($B17,$J17+0.02, $K17, $C17, ($I17-$B$1)/365, $G17, $H17, $D17) - BSPrice($B17,$J17, $K17, $C17, ($I17-$B$1)/365, $G17, $H17, $D17)) * $F17</f>
        <v/>
      </c>
      <c r="AP17" s="78">
        <f>(BSPrice($B17,$J17+0.05, $K17, $C17, ($I17-$B$1)/365, $G17, $H17, $D17) - BSPrice($B17,$J17, $K17, $C17, ($I17-$B$1)/365, $G17, $H17, $D17)) * $F17</f>
        <v/>
      </c>
      <c r="AQ17" s="78">
        <f>(BSPrice($B17,$J17+0.1, $K17, $C17, ($I17-$B$1)/365, $G17, $H17, $D17) - BSPrice($B17,$J17, $K17, $C17, ($I17-$B$1)/365, $G17, $H17, $D17)) * $F17</f>
        <v/>
      </c>
      <c r="AR17" s="60">
        <f>(BSPrice($B17*0.8,$J17+-0.05, $K17, $C17, ($I17-$B$1)/365, $G17, $H17, $D17) - BSPrice($B17,$J17, $K17, $C17, ($I17-$B$1)/365, $G17, $H17, $D17)) * $F17</f>
        <v/>
      </c>
      <c r="AS17" s="60">
        <f>(BSPrice($B17*0.8,$J17+-0.02, $K17, $C17, ($I17-$B$1)/365, $G17, $H17, $D17) - BSPrice($B17,$J17, $K17, $C17, ($I17-$B$1)/365, $G17, $H17, $D17)) * $F17</f>
        <v/>
      </c>
      <c r="AT17" s="60">
        <f>(BSPrice($B17*0.8,$J17+0, $K17, $C17, ($I17-$B$1)/365, $G17, $H17, $D17) - BSPrice($B17,$J17, $K17, $C17, ($I17-$B$1)/365, $G17, $H17, $D17)) * $F17</f>
        <v/>
      </c>
      <c r="AU17" s="60">
        <f>(BSPrice($B17*0.8,$J17+0.02, $K17, $C17, ($I17-$B$1)/365, $G17, $H17, $D17) - BSPrice($B17,$J17, $K17, $C17, ($I17-$B$1)/365, $G17, $H17, $D17)) * $F17</f>
        <v/>
      </c>
      <c r="AV17" s="60">
        <f>(BSPrice($B17*0.8,$J17+0.05, $K17, $C17, ($I17-$B$1)/365, $G17, $H17, $D17) - BSPrice($B17,$J17, $K17, $C17, ($I17-$B$1)/365, $G17, $H17, $D17)) * $F17</f>
        <v/>
      </c>
      <c r="AW17" s="60">
        <f>(BSPrice($B17*0.8,$J17+0.1, $K17, $C17, ($I17-$B$1)/365, $G17, $H17, $D17) - BSPrice($B17,$J17, $K17, $C17, ($I17-$B$1)/365, $G17, $H17, $D17)) * $F17</f>
        <v/>
      </c>
      <c r="AX17" s="60">
        <f>(BSPrice($B17*0.8,$J17+0.2, $K17, $C17, ($I17-$B$1)/365, $G17, $H17, $D17) - BSPrice($B17,$J17, $K17, $C17, ($I17-$B$1)/365, $G17, $H17, $D17)) * $F17</f>
        <v/>
      </c>
      <c r="AY17" s="60">
        <f>(BSPrice($B17*0.9,$J17+-0.05, $K17, $C17, ($I17-$B$1)/365, $G17, $H17, $D17) - BSPrice($B17,$J17, $K17, $C17, ($I17-$B$1)/365, $G17, $H17, $D17)) * $F17</f>
        <v/>
      </c>
      <c r="AZ17" s="60">
        <f>(BSPrice($B17*0.9,$J17+-0.02, $K17, $C17, ($I17-$B$1)/365, $G17, $H17, $D17) - BSPrice($B17,$J17, $K17, $C17, ($I17-$B$1)/365, $G17, $H17, $D17)) * $F17</f>
        <v/>
      </c>
      <c r="BA17" s="60">
        <f>(BSPrice($B17*0.9,$J17+0, $K17, $C17, ($I17-$B$1)/365, $G17, $H17, $D17) - BSPrice($B17,$J17, $K17, $C17, ($I17-$B$1)/365, $G17, $H17, $D17)) * $F17</f>
        <v/>
      </c>
      <c r="BB17" s="60">
        <f>(BSPrice($B17*0.9,$J17+0.02, $K17, $C17, ($I17-$B$1)/365, $G17, $H17, $D17) - BSPrice($B17,$J17, $K17, $C17, ($I17-$B$1)/365, $G17, $H17, $D17)) * $F17</f>
        <v/>
      </c>
      <c r="BC17" s="60">
        <f>(BSPrice($B17*0.9,$J17+0.05, $K17, $C17, ($I17-$B$1)/365, $G17, $H17, $D17) - BSPrice($B17,$J17, $K17, $C17, ($I17-$B$1)/365, $G17, $H17, $D17)) * $F17</f>
        <v/>
      </c>
      <c r="BD17" s="60">
        <f>(BSPrice($B17*0.9,$J17+0.1, $K17, $C17, ($I17-$B$1)/365, $G17, $H17, $D17) - BSPrice($B17,$J17, $K17, $C17, ($I17-$B$1)/365, $G17, $H17, $D17)) * $F17</f>
        <v/>
      </c>
      <c r="BE17" s="60">
        <f>(BSPrice($B17*0.9,$J17+0.2, $K17, $C17, ($I17-$B$1)/365, $G17, $H17, $D17) - BSPrice($B17,$J17, $K17, $C17, ($I17-$B$1)/365, $G17, $H17, $D17)) * $F17</f>
        <v/>
      </c>
      <c r="BF17" s="60">
        <f>(BSPrice($B17*0.95,$J17+-0.05, $K17, $C17, ($I17-$B$1)/365, $G17, $H17, $D17) - BSPrice($B17,$J17, $K17, $C17, ($I17-$B$1)/365, $G17, $H17, $D17)) * $F17</f>
        <v/>
      </c>
      <c r="BG17" s="60">
        <f>(BSPrice($B17*0.95,$J17+-0.02, $K17, $C17, ($I17-$B$1)/365, $G17, $H17, $D17) - BSPrice($B17,$J17, $K17, $C17, ($I17-$B$1)/365, $G17, $H17, $D17)) * $F17</f>
        <v/>
      </c>
      <c r="BH17" s="60">
        <f>(BSPrice($B17*0.95,$J17+0, $K17, $C17, ($I17-$B$1)/365, $G17, $H17, $D17) - BSPrice($B17,$J17, $K17, $C17, ($I17-$B$1)/365, $G17, $H17, $D17)) * $F17</f>
        <v/>
      </c>
      <c r="BI17" s="60">
        <f>(BSPrice($B17*0.95,$J17+0.02, $K17, $C17, ($I17-$B$1)/365, $G17, $H17, $D17) - BSPrice($B17,$J17, $K17, $C17, ($I17-$B$1)/365, $G17, $H17, $D17)) * $F17</f>
        <v/>
      </c>
      <c r="BJ17" s="60">
        <f>(BSPrice($B17*0.95,$J17+0.05, $K17, $C17, ($I17-$B$1)/365, $G17, $H17, $D17) - BSPrice($B17,$J17, $K17, $C17, ($I17-$B$1)/365, $G17, $H17, $D17)) * $F17</f>
        <v/>
      </c>
      <c r="BK17" s="60">
        <f>(BSPrice($B17*0.95,$J17+0.1, $K17, $C17, ($I17-$B$1)/365, $G17, $H17, $D17) - BSPrice($B17,$J17, $K17, $C17, ($I17-$B$1)/365, $G17, $H17, $D17)) * $F17</f>
        <v/>
      </c>
      <c r="BL17" s="60">
        <f>(BSPrice($B17*0.95,$J17+0.2, $K17, $C17, ($I17-$B$1)/365, $G17, $H17, $D17) - BSPrice($B17,$J17, $K17, $C17, ($I17-$B$1)/365, $G17, $H17, $D17)) * $F17</f>
        <v/>
      </c>
      <c r="BM17" s="60">
        <f>(BSPrice($B17*1,$J17+-0.05, $K17, $C17, ($I17-$B$1)/365, $G17, $H17, $D17) - BSPrice($B17,$J17, $K17, $C17, ($I17-$B$1)/365, $G17, $H17, $D17)) * $F17</f>
        <v/>
      </c>
      <c r="BN17" s="60">
        <f>(BSPrice($B17*1,$J17+-0.02, $K17, $C17, ($I17-$B$1)/365, $G17, $H17, $D17) - BSPrice($B17,$J17, $K17, $C17, ($I17-$B$1)/365, $G17, $H17, $D17)) * $F17</f>
        <v/>
      </c>
      <c r="BO17" s="60">
        <f>(BSPrice($B17*1,$J17+0, $K17, $C17, ($I17-$B$1)/365, $G17, $H17, $D17) - BSPrice($B17,$J17, $K17, $C17, ($I17-$B$1)/365, $G17, $H17, $D17)) * $F17</f>
        <v/>
      </c>
      <c r="BP17" s="60">
        <f>(BSPrice($B17*1,$J17+0.02, $K17, $C17, ($I17-$B$1)/365, $G17, $H17, $D17) - BSPrice($B17,$J17, $K17, $C17, ($I17-$B$1)/365, $G17, $H17, $D17)) * $F17</f>
        <v/>
      </c>
      <c r="BQ17" s="60">
        <f>(BSPrice($B17*1,$J17+0.05, $K17, $C17, ($I17-$B$1)/365, $G17, $H17, $D17) - BSPrice($B17,$J17, $K17, $C17, ($I17-$B$1)/365, $G17, $H17, $D17)) * $F17</f>
        <v/>
      </c>
      <c r="BR17" s="60">
        <f>(BSPrice($B17*1,$J17+0.1, $K17, $C17, ($I17-$B$1)/365, $G17, $H17, $D17) - BSPrice($B17,$J17, $K17, $C17, ($I17-$B$1)/365, $G17, $H17, $D17)) * $F17</f>
        <v/>
      </c>
      <c r="BS17" s="60">
        <f>(BSPrice($B17*1,$J17+0.2, $K17, $C17, ($I17-$B$1)/365, $G17, $H17, $D17) - BSPrice($B17,$J17, $K17, $C17, ($I17-$B$1)/365, $G17, $H17, $D17)) * $F17</f>
        <v/>
      </c>
      <c r="BT17" s="60">
        <f>(BSPrice($B17*1.05,$J17+-0.05, $K17, $C17, ($I17-$B$1)/365, $G17, $H17, $D17) - BSPrice($B17,$J17, $K17, $C17, ($I17-$B$1)/365, $G17, $H17, $D17)) * $F17</f>
        <v/>
      </c>
      <c r="BU17" s="60">
        <f>(BSPrice($B17*1.05,$J17+-0.02, $K17, $C17, ($I17-$B$1)/365, $G17, $H17, $D17) - BSPrice($B17,$J17, $K17, $C17, ($I17-$B$1)/365, $G17, $H17, $D17)) * $F17</f>
        <v/>
      </c>
      <c r="BV17" s="60">
        <f>(BSPrice($B17*1.05,$J17+0, $K17, $C17, ($I17-$B$1)/365, $G17, $H17, $D17) - BSPrice($B17,$J17, $K17, $C17, ($I17-$B$1)/365, $G17, $H17, $D17)) * $F17</f>
        <v/>
      </c>
      <c r="BW17" s="60">
        <f>(BSPrice($B17*1.05,$J17+0.02, $K17, $C17, ($I17-$B$1)/365, $G17, $H17, $D17) - BSPrice($B17,$J17, $K17, $C17, ($I17-$B$1)/365, $G17, $H17, $D17)) * $F17</f>
        <v/>
      </c>
      <c r="BX17" s="60">
        <f>(BSPrice($B17*1.05,$J17+0.05, $K17, $C17, ($I17-$B$1)/365, $G17, $H17, $D17) - BSPrice($B17,$J17, $K17, $C17, ($I17-$B$1)/365, $G17, $H17, $D17)) * $F17</f>
        <v/>
      </c>
      <c r="BY17" s="60">
        <f>(BSPrice($B17*1.05,$J17+0.1, $K17, $C17, ($I17-$B$1)/365, $G17, $H17, $D17) - BSPrice($B17,$J17, $K17, $C17, ($I17-$B$1)/365, $G17, $H17, $D17)) * $F17</f>
        <v/>
      </c>
      <c r="BZ17" s="60">
        <f>(BSPrice($B17*1.05,$J17+0.2, $K17, $C17, ($I17-$B$1)/365, $G17, $H17, $D17) - BSPrice($B17,$J17, $K17, $C17, ($I17-$B$1)/365, $G17, $H17, $D17)) * $F17</f>
        <v/>
      </c>
      <c r="CA17" s="60">
        <f>(BSPrice($B17*1.1,$J17+-0.05, $K17, $C17, ($I17-$B$1)/365, $G17, $H17, $D17) - BSPrice($B17,$J17, $K17, $C17, ($I17-$B$1)/365, $G17, $H17, $D17)) * $F17</f>
        <v/>
      </c>
      <c r="CB17" s="60">
        <f>(BSPrice($B17*1.1,$J17+-0.02, $K17, $C17, ($I17-$B$1)/365, $G17, $H17, $D17) - BSPrice($B17,$J17, $K17, $C17, ($I17-$B$1)/365, $G17, $H17, $D17)) * $F17</f>
        <v/>
      </c>
      <c r="CC17" s="60">
        <f>(BSPrice($B17*1.1,$J17+0, $K17, $C17, ($I17-$B$1)/365, $G17, $H17, $D17) - BSPrice($B17,$J17, $K17, $C17, ($I17-$B$1)/365, $G17, $H17, $D17)) * $F17</f>
        <v/>
      </c>
      <c r="CD17" s="60">
        <f>(BSPrice($B17*1.1,$J17+0.02, $K17, $C17, ($I17-$B$1)/365, $G17, $H17, $D17) - BSPrice($B17,$J17, $K17, $C17, ($I17-$B$1)/365, $G17, $H17, $D17)) * $F17</f>
        <v/>
      </c>
      <c r="CE17" s="60">
        <f>(BSPrice($B17*1.1,$J17+0.05, $K17, $C17, ($I17-$B$1)/365, $G17, $H17, $D17) - BSPrice($B17,$J17, $K17, $C17, ($I17-$B$1)/365, $G17, $H17, $D17)) * $F17</f>
        <v/>
      </c>
      <c r="CF17" s="60">
        <f>(BSPrice($B17*1.1,$J17+0.1, $K17, $C17, ($I17-$B$1)/365, $G17, $H17, $D17) - BSPrice($B17,$J17, $K17, $C17, ($I17-$B$1)/365, $G17, $H17, $D17)) * $F17</f>
        <v/>
      </c>
      <c r="CG17" s="60">
        <f>(BSPrice($B17*1.1,$J17+0.2, $K17, $C17, ($I17-$B$1)/365, $G17, $H17, $D17) - BSPrice($B17,$J17, $K17, $C17, ($I17-$B$1)/365, $G17, $H17, $D17)) * $F17</f>
        <v/>
      </c>
      <c r="CH17" s="60">
        <f>(BSPrice($B17*1.2,$J17+-0.05, $K17, $C17, ($I17-$B$1)/365, $G17, $H17, $D17) - BSPrice($B17,$J17, $K17, $C17, ($I17-$B$1)/365, $G17, $H17, $D17)) * $F17</f>
        <v/>
      </c>
      <c r="CI17" s="60">
        <f>(BSPrice($B17*1.2,$J17+-0.02, $K17, $C17, ($I17-$B$1)/365, $G17, $H17, $D17) - BSPrice($B17,$J17, $K17, $C17, ($I17-$B$1)/365, $G17, $H17, $D17)) * $F17</f>
        <v/>
      </c>
      <c r="CJ17" s="60">
        <f>(BSPrice($B17*1.2,$J17+0, $K17, $C17, ($I17-$B$1)/365, $G17, $H17, $D17) - BSPrice($B17,$J17, $K17, $C17, ($I17-$B$1)/365, $G17, $H17, $D17)) * $F17</f>
        <v/>
      </c>
      <c r="CK17" s="60">
        <f>(BSPrice($B17*1.2,$J17+0.02, $K17, $C17, ($I17-$B$1)/365, $G17, $H17, $D17) - BSPrice($B17,$J17, $K17, $C17, ($I17-$B$1)/365, $G17, $H17, $D17)) * $F17</f>
        <v/>
      </c>
      <c r="CL17" s="60">
        <f>(BSPrice($B17*1.2,$J17+0.05, $K17, $C17, ($I17-$B$1)/365, $G17, $H17, $D17) - BSPrice($B17,$J17, $K17, $C17, ($I17-$B$1)/365, $G17, $H17, $D17)) * $F17</f>
        <v/>
      </c>
      <c r="CM17" s="60">
        <f>(BSPrice($B17*1.2,$J17+0.1, $K17, $C17, ($I17-$B$1)/365, $G17, $H17, $D17) - BSPrice($B17,$J17, $K17, $C17, ($I17-$B$1)/365, $G17, $H17, $D17)) * $F17</f>
        <v/>
      </c>
      <c r="CN17" s="60">
        <f>(BSPrice($B17*1.2,$J17+0.2, $K17, $C17, ($I17-$B$1)/365, $G17, $H17, $D17) - BSPrice($B17,$J17, $K17, $C17, ($I17-$B$1)/365, $G17, $H17, $D17)) * $F17</f>
        <v/>
      </c>
    </row>
    <row r="18">
      <c r="A18" s="3" t="inlineStr">
        <is>
          <t>SPX Index</t>
        </is>
      </c>
      <c r="B18" s="4">
        <f>VLOOKUP(A18,PriceData!$K$4:$L$6,2,FALSE)</f>
        <v/>
      </c>
      <c r="C18" s="46">
        <f>VLOOKUP(A18,PriceData!$K$4:$M$6,3,FALSE)</f>
        <v/>
      </c>
      <c r="D18" s="4" t="inlineStr">
        <is>
          <t>Option</t>
        </is>
      </c>
      <c r="E18" s="4" t="inlineStr">
        <is>
          <t>USD</t>
        </is>
      </c>
      <c r="F18" s="4" t="n">
        <v>-50</v>
      </c>
      <c r="G18" s="4" t="n">
        <v>1100</v>
      </c>
      <c r="H18" s="4" t="inlineStr">
        <is>
          <t>Put</t>
        </is>
      </c>
      <c r="I18" s="5" t="n">
        <v>40347</v>
      </c>
      <c r="J18" s="46">
        <f>FindImpliedVol(A18, D18, G18, I18)</f>
        <v/>
      </c>
      <c r="K18" s="30">
        <f>VLOOKUP(I18,PriceData!$A$5:$D$7,MATCH($E18,PriceData!$A$4:$D$4,0),FALSE)</f>
        <v/>
      </c>
      <c r="L18" s="2">
        <f>BSPrice($B18,$J18, $K18, $C18, ($I18-$B$1)/365, $G18, $H18, $D18)</f>
        <v/>
      </c>
      <c r="M18" s="2">
        <f>F18*L18</f>
        <v/>
      </c>
      <c r="N18" s="4" t="inlineStr">
        <is>
          <t>Exch</t>
        </is>
      </c>
      <c r="P18" s="60">
        <f>BSDelta(B18, J18, K18, C18, (I18-$B$1)/365, G18, H18, D18)</f>
        <v/>
      </c>
      <c r="Q18" s="60">
        <f>BSGamma(B18, J18, K18, C18, (I18-$B$1)/365, G18, D18)</f>
        <v/>
      </c>
      <c r="R18" s="58">
        <f>BSVega(B18, J18, K18, C18, (I18-$B$1)/365,G18, D18)</f>
        <v/>
      </c>
      <c r="S18" s="58">
        <f>BSVolga(B18, J18, K18, C18, (I18-$B$1)/365,G18, D18)</f>
        <v/>
      </c>
      <c r="T18" s="58">
        <f>BSVanna(B18,J18,K18, C18, (I18-$B$1)/365, G18, D18)</f>
        <v/>
      </c>
      <c r="U18" s="63">
        <f>BSRho(B18, J18, K18, C18, (I18-$B$1)/365, G18, H18, D18)</f>
        <v/>
      </c>
      <c r="V18" s="65">
        <f>$F18*$P18</f>
        <v/>
      </c>
      <c r="W18" s="65">
        <f>$F18*$Q18</f>
        <v/>
      </c>
      <c r="X18" s="78">
        <f>$F18*R18</f>
        <v/>
      </c>
      <c r="Y18" s="78">
        <f>$F18*S18</f>
        <v/>
      </c>
      <c r="Z18" s="78">
        <f>$F18*T18</f>
        <v/>
      </c>
      <c r="AA18" s="78">
        <f>$F18*U18</f>
        <v/>
      </c>
      <c r="AB18" s="78">
        <f>(BSPrice($B18*0.8,$J18, $K18, $C18, ($I18-$B$1)/365, $G18, $H18, $D18) - BSPrice($B18,$J18, $K18, $C18, ($I18-$B$1)/365, $G18, $H18, $D18)) * $F18</f>
        <v/>
      </c>
      <c r="AC18" s="78">
        <f>(BSPrice($B18*0.9,$J18, $K18, $C18, ($I18-$B$1)/365, $G18, $H18, $D18) - BSPrice($B18,$J18, $K18, $C18, ($I18-$B$1)/365, $G18, $H18, $D18)) * $F18</f>
        <v/>
      </c>
      <c r="AD18" s="78">
        <f>(BSPrice($B18*0.95,$J18, $K18, $C18, ($I18-$B$1)/365, $G18, $H18, $D18) - BSPrice($B18,$J18, $K18, $C18, ($I18-$B$1)/365, $G18, $H18, $D18)) * $F18</f>
        <v/>
      </c>
      <c r="AE18" s="78">
        <f>(BSPrice($B18*0.98,$J18, $K18, $C18, ($I18-$B$1)/365, $G18, $H18, $D18) - BSPrice($B18,$J18, $K18, $C18, ($I18-$B$1)/365, $G18, $H18, $D18)) * $F18</f>
        <v/>
      </c>
      <c r="AF18" s="78">
        <f>(BSPrice($B18*1.02,$J18, $K18, $C18, ($I18-$B$1)/365, $G18, $H18, $D18) - BSPrice($B18,$J18, $K18, $C18, ($I18-$B$1)/365, $G18, $H18, $D18)) * $F18</f>
        <v/>
      </c>
      <c r="AG18" s="78">
        <f>(BSPrice($B18*1.05,$J18, $K18, $C18, ($I18-$B$1)/365, $G18, $H18, $D18) - BSPrice($B18,$J18, $K18, $C18, ($I18-$B$1)/365, $G18, $H18, $D18)) * $F18</f>
        <v/>
      </c>
      <c r="AH18" s="78">
        <f>(BSPrice($B18*1.1,$J18, $K18, $C18, ($I18-$B$1)/365, $G18, $H18, $D18) - BSPrice($B18,$J18, $K18, $C18, ($I18-$B$1)/365, $G18, $H18, $D18)) * $F18</f>
        <v/>
      </c>
      <c r="AI18" s="78">
        <f>(BSPrice($B18*1.2,$J18, $K18, $C18, ($I18-$B$1)/365, $G18, $H18, $D18) - BSPrice($B18,$J18, $K18, $C18, ($I18-$B$1)/365, $G18, $H18, $D18)) * $F18</f>
        <v/>
      </c>
      <c r="AJ18" s="78">
        <f>(BSPrice($B18,$J18-0.1, $K18, $C18, ($I18-$B$1)/365, $G18, $H18, $D18) - BSPrice($B18,$J18, $K18, $C18, ($I18-$B$1)/365, $G18, $H18, $D18)) * $F18</f>
        <v/>
      </c>
      <c r="AK18" s="78">
        <f>(BSPrice($B18,$J18-0.05,$K18,$C18,($I18-$B$1)/365,$G18,$H18,$D18)-BSPrice($B18,$J18,$K18,$C18,($I18-$B$1)/365,$G18,$H18,$D18))*$F18</f>
        <v/>
      </c>
      <c r="AL18" s="78">
        <f>(BSPrice($B18,$J18-0.02, $K18, $C18, ($I18-$B$1)/365, $G18, $H18, $D18) - BSPrice($B18,$J18, $K18, $C18, ($I18-$B$1)/365, $G18, $H18, $D18)) * $F18</f>
        <v/>
      </c>
      <c r="AM18" s="78">
        <f>(BSPrice($B18,$J18-0.01, $K18, $C18, ($I18-$B$1)/365, $G18, $H18, $D18) - BSPrice($B18,$J18, $K18, $C18, ($I18-$B$1)/365, $G18, $H18, $D18)) * $F18</f>
        <v/>
      </c>
      <c r="AN18" s="78">
        <f>(BSPrice($B18,$J18+0.01, $K18, $C18, ($I18-$B$1)/365, $G18, $H18, $D18) - BSPrice($B18,$J18, $K18, $C18, ($I18-$B$1)/365, $G18, $H18, $D18)) * $F18</f>
        <v/>
      </c>
      <c r="AO18" s="78">
        <f>(BSPrice($B18,$J18+0.02, $K18, $C18, ($I18-$B$1)/365, $G18, $H18, $D18) - BSPrice($B18,$J18, $K18, $C18, ($I18-$B$1)/365, $G18, $H18, $D18)) * $F18</f>
        <v/>
      </c>
      <c r="AP18" s="78">
        <f>(BSPrice($B18,$J18+0.05, $K18, $C18, ($I18-$B$1)/365, $G18, $H18, $D18) - BSPrice($B18,$J18, $K18, $C18, ($I18-$B$1)/365, $G18, $H18, $D18)) * $F18</f>
        <v/>
      </c>
      <c r="AQ18" s="78">
        <f>(BSPrice($B18,$J18+0.1, $K18, $C18, ($I18-$B$1)/365, $G18, $H18, $D18) - BSPrice($B18,$J18, $K18, $C18, ($I18-$B$1)/365, $G18, $H18, $D18)) * $F18</f>
        <v/>
      </c>
      <c r="AR18" s="60">
        <f>(BSPrice($B18*0.8,$J18+-0.05, $K18, $C18, ($I18-$B$1)/365, $G18, $H18, $D18) - BSPrice($B18,$J18, $K18, $C18, ($I18-$B$1)/365, $G18, $H18, $D18)) * $F18</f>
        <v/>
      </c>
      <c r="AS18" s="60">
        <f>(BSPrice($B18*0.8,$J18+-0.02, $K18, $C18, ($I18-$B$1)/365, $G18, $H18, $D18) - BSPrice($B18,$J18, $K18, $C18, ($I18-$B$1)/365, $G18, $H18, $D18)) * $F18</f>
        <v/>
      </c>
      <c r="AT18" s="60">
        <f>(BSPrice($B18*0.8,$J18+0, $K18, $C18, ($I18-$B$1)/365, $G18, $H18, $D18) - BSPrice($B18,$J18, $K18, $C18, ($I18-$B$1)/365, $G18, $H18, $D18)) * $F18</f>
        <v/>
      </c>
      <c r="AU18" s="60">
        <f>(BSPrice($B18*0.8,$J18+0.02, $K18, $C18, ($I18-$B$1)/365, $G18, $H18, $D18) - BSPrice($B18,$J18, $K18, $C18, ($I18-$B$1)/365, $G18, $H18, $D18)) * $F18</f>
        <v/>
      </c>
      <c r="AV18" s="60">
        <f>(BSPrice($B18*0.8,$J18+0.05, $K18, $C18, ($I18-$B$1)/365, $G18, $H18, $D18) - BSPrice($B18,$J18, $K18, $C18, ($I18-$B$1)/365, $G18, $H18, $D18)) * $F18</f>
        <v/>
      </c>
      <c r="AW18" s="60">
        <f>(BSPrice($B18*0.8,$J18+0.1, $K18, $C18, ($I18-$B$1)/365, $G18, $H18, $D18) - BSPrice($B18,$J18, $K18, $C18, ($I18-$B$1)/365, $G18, $H18, $D18)) * $F18</f>
        <v/>
      </c>
      <c r="AX18" s="60">
        <f>(BSPrice($B18*0.8,$J18+0.2, $K18, $C18, ($I18-$B$1)/365, $G18, $H18, $D18) - BSPrice($B18,$J18, $K18, $C18, ($I18-$B$1)/365, $G18, $H18, $D18)) * $F18</f>
        <v/>
      </c>
      <c r="AY18" s="60">
        <f>(BSPrice($B18*0.9,$J18+-0.05, $K18, $C18, ($I18-$B$1)/365, $G18, $H18, $D18) - BSPrice($B18,$J18, $K18, $C18, ($I18-$B$1)/365, $G18, $H18, $D18)) * $F18</f>
        <v/>
      </c>
      <c r="AZ18" s="60">
        <f>(BSPrice($B18*0.9,$J18+-0.02, $K18, $C18, ($I18-$B$1)/365, $G18, $H18, $D18) - BSPrice($B18,$J18, $K18, $C18, ($I18-$B$1)/365, $G18, $H18, $D18)) * $F18</f>
        <v/>
      </c>
      <c r="BA18" s="60">
        <f>(BSPrice($B18*0.9,$J18+0, $K18, $C18, ($I18-$B$1)/365, $G18, $H18, $D18) - BSPrice($B18,$J18, $K18, $C18, ($I18-$B$1)/365, $G18, $H18, $D18)) * $F18</f>
        <v/>
      </c>
      <c r="BB18" s="60">
        <f>(BSPrice($B18*0.9,$J18+0.02, $K18, $C18, ($I18-$B$1)/365, $G18, $H18, $D18) - BSPrice($B18,$J18, $K18, $C18, ($I18-$B$1)/365, $G18, $H18, $D18)) * $F18</f>
        <v/>
      </c>
      <c r="BC18" s="60">
        <f>(BSPrice($B18*0.9,$J18+0.05, $K18, $C18, ($I18-$B$1)/365, $G18, $H18, $D18) - BSPrice($B18,$J18, $K18, $C18, ($I18-$B$1)/365, $G18, $H18, $D18)) * $F18</f>
        <v/>
      </c>
      <c r="BD18" s="60">
        <f>(BSPrice($B18*0.9,$J18+0.1, $K18, $C18, ($I18-$B$1)/365, $G18, $H18, $D18) - BSPrice($B18,$J18, $K18, $C18, ($I18-$B$1)/365, $G18, $H18, $D18)) * $F18</f>
        <v/>
      </c>
      <c r="BE18" s="60">
        <f>(BSPrice($B18*0.9,$J18+0.2, $K18, $C18, ($I18-$B$1)/365, $G18, $H18, $D18) - BSPrice($B18,$J18, $K18, $C18, ($I18-$B$1)/365, $G18, $H18, $D18)) * $F18</f>
        <v/>
      </c>
      <c r="BF18" s="60">
        <f>(BSPrice($B18*0.95,$J18+-0.05, $K18, $C18, ($I18-$B$1)/365, $G18, $H18, $D18) - BSPrice($B18,$J18, $K18, $C18, ($I18-$B$1)/365, $G18, $H18, $D18)) * $F18</f>
        <v/>
      </c>
      <c r="BG18" s="60">
        <f>(BSPrice($B18*0.95,$J18+-0.02, $K18, $C18, ($I18-$B$1)/365, $G18, $H18, $D18) - BSPrice($B18,$J18, $K18, $C18, ($I18-$B$1)/365, $G18, $H18, $D18)) * $F18</f>
        <v/>
      </c>
      <c r="BH18" s="60">
        <f>(BSPrice($B18*0.95,$J18+0, $K18, $C18, ($I18-$B$1)/365, $G18, $H18, $D18) - BSPrice($B18,$J18, $K18, $C18, ($I18-$B$1)/365, $G18, $H18, $D18)) * $F18</f>
        <v/>
      </c>
      <c r="BI18" s="60">
        <f>(BSPrice($B18*0.95,$J18+0.02, $K18, $C18, ($I18-$B$1)/365, $G18, $H18, $D18) - BSPrice($B18,$J18, $K18, $C18, ($I18-$B$1)/365, $G18, $H18, $D18)) * $F18</f>
        <v/>
      </c>
      <c r="BJ18" s="60">
        <f>(BSPrice($B18*0.95,$J18+0.05, $K18, $C18, ($I18-$B$1)/365, $G18, $H18, $D18) - BSPrice($B18,$J18, $K18, $C18, ($I18-$B$1)/365, $G18, $H18, $D18)) * $F18</f>
        <v/>
      </c>
      <c r="BK18" s="60">
        <f>(BSPrice($B18*0.95,$J18+0.1, $K18, $C18, ($I18-$B$1)/365, $G18, $H18, $D18) - BSPrice($B18,$J18, $K18, $C18, ($I18-$B$1)/365, $G18, $H18, $D18)) * $F18</f>
        <v/>
      </c>
      <c r="BL18" s="60">
        <f>(BSPrice($B18*0.95,$J18+0.2, $K18, $C18, ($I18-$B$1)/365, $G18, $H18, $D18) - BSPrice($B18,$J18, $K18, $C18, ($I18-$B$1)/365, $G18, $H18, $D18)) * $F18</f>
        <v/>
      </c>
      <c r="BM18" s="60">
        <f>(BSPrice($B18*1,$J18+-0.05, $K18, $C18, ($I18-$B$1)/365, $G18, $H18, $D18) - BSPrice($B18,$J18, $K18, $C18, ($I18-$B$1)/365, $G18, $H18, $D18)) * $F18</f>
        <v/>
      </c>
      <c r="BN18" s="60">
        <f>(BSPrice($B18*1,$J18+-0.02, $K18, $C18, ($I18-$B$1)/365, $G18, $H18, $D18) - BSPrice($B18,$J18, $K18, $C18, ($I18-$B$1)/365, $G18, $H18, $D18)) * $F18</f>
        <v/>
      </c>
      <c r="BO18" s="60">
        <f>(BSPrice($B18*1,$J18+0, $K18, $C18, ($I18-$B$1)/365, $G18, $H18, $D18) - BSPrice($B18,$J18, $K18, $C18, ($I18-$B$1)/365, $G18, $H18, $D18)) * $F18</f>
        <v/>
      </c>
      <c r="BP18" s="60">
        <f>(BSPrice($B18*1,$J18+0.02, $K18, $C18, ($I18-$B$1)/365, $G18, $H18, $D18) - BSPrice($B18,$J18, $K18, $C18, ($I18-$B$1)/365, $G18, $H18, $D18)) * $F18</f>
        <v/>
      </c>
      <c r="BQ18" s="60">
        <f>(BSPrice($B18*1,$J18+0.05, $K18, $C18, ($I18-$B$1)/365, $G18, $H18, $D18) - BSPrice($B18,$J18, $K18, $C18, ($I18-$B$1)/365, $G18, $H18, $D18)) * $F18</f>
        <v/>
      </c>
      <c r="BR18" s="60">
        <f>(BSPrice($B18*1,$J18+0.1, $K18, $C18, ($I18-$B$1)/365, $G18, $H18, $D18) - BSPrice($B18,$J18, $K18, $C18, ($I18-$B$1)/365, $G18, $H18, $D18)) * $F18</f>
        <v/>
      </c>
      <c r="BS18" s="60">
        <f>(BSPrice($B18*1,$J18+0.2, $K18, $C18, ($I18-$B$1)/365, $G18, $H18, $D18) - BSPrice($B18,$J18, $K18, $C18, ($I18-$B$1)/365, $G18, $H18, $D18)) * $F18</f>
        <v/>
      </c>
      <c r="BT18" s="60">
        <f>(BSPrice($B18*1.05,$J18+-0.05, $K18, $C18, ($I18-$B$1)/365, $G18, $H18, $D18) - BSPrice($B18,$J18, $K18, $C18, ($I18-$B$1)/365, $G18, $H18, $D18)) * $F18</f>
        <v/>
      </c>
      <c r="BU18" s="60">
        <f>(BSPrice($B18*1.05,$J18+-0.02, $K18, $C18, ($I18-$B$1)/365, $G18, $H18, $D18) - BSPrice($B18,$J18, $K18, $C18, ($I18-$B$1)/365, $G18, $H18, $D18)) * $F18</f>
        <v/>
      </c>
      <c r="BV18" s="60">
        <f>(BSPrice($B18*1.05,$J18+0, $K18, $C18, ($I18-$B$1)/365, $G18, $H18, $D18) - BSPrice($B18,$J18, $K18, $C18, ($I18-$B$1)/365, $G18, $H18, $D18)) * $F18</f>
        <v/>
      </c>
      <c r="BW18" s="60">
        <f>(BSPrice($B18*1.05,$J18+0.02, $K18, $C18, ($I18-$B$1)/365, $G18, $H18, $D18) - BSPrice($B18,$J18, $K18, $C18, ($I18-$B$1)/365, $G18, $H18, $D18)) * $F18</f>
        <v/>
      </c>
      <c r="BX18" s="60">
        <f>(BSPrice($B18*1.05,$J18+0.05, $K18, $C18, ($I18-$B$1)/365, $G18, $H18, $D18) - BSPrice($B18,$J18, $K18, $C18, ($I18-$B$1)/365, $G18, $H18, $D18)) * $F18</f>
        <v/>
      </c>
      <c r="BY18" s="60">
        <f>(BSPrice($B18*1.05,$J18+0.1, $K18, $C18, ($I18-$B$1)/365, $G18, $H18, $D18) - BSPrice($B18,$J18, $K18, $C18, ($I18-$B$1)/365, $G18, $H18, $D18)) * $F18</f>
        <v/>
      </c>
      <c r="BZ18" s="60">
        <f>(BSPrice($B18*1.05,$J18+0.2, $K18, $C18, ($I18-$B$1)/365, $G18, $H18, $D18) - BSPrice($B18,$J18, $K18, $C18, ($I18-$B$1)/365, $G18, $H18, $D18)) * $F18</f>
        <v/>
      </c>
      <c r="CA18" s="60">
        <f>(BSPrice($B18*1.1,$J18+-0.05, $K18, $C18, ($I18-$B$1)/365, $G18, $H18, $D18) - BSPrice($B18,$J18, $K18, $C18, ($I18-$B$1)/365, $G18, $H18, $D18)) * $F18</f>
        <v/>
      </c>
      <c r="CB18" s="60">
        <f>(BSPrice($B18*1.1,$J18+-0.02, $K18, $C18, ($I18-$B$1)/365, $G18, $H18, $D18) - BSPrice($B18,$J18, $K18, $C18, ($I18-$B$1)/365, $G18, $H18, $D18)) * $F18</f>
        <v/>
      </c>
      <c r="CC18" s="60">
        <f>(BSPrice($B18*1.1,$J18+0, $K18, $C18, ($I18-$B$1)/365, $G18, $H18, $D18) - BSPrice($B18,$J18, $K18, $C18, ($I18-$B$1)/365, $G18, $H18, $D18)) * $F18</f>
        <v/>
      </c>
      <c r="CD18" s="60">
        <f>(BSPrice($B18*1.1,$J18+0.02, $K18, $C18, ($I18-$B$1)/365, $G18, $H18, $D18) - BSPrice($B18,$J18, $K18, $C18, ($I18-$B$1)/365, $G18, $H18, $D18)) * $F18</f>
        <v/>
      </c>
      <c r="CE18" s="60">
        <f>(BSPrice($B18*1.1,$J18+0.05, $K18, $C18, ($I18-$B$1)/365, $G18, $H18, $D18) - BSPrice($B18,$J18, $K18, $C18, ($I18-$B$1)/365, $G18, $H18, $D18)) * $F18</f>
        <v/>
      </c>
      <c r="CF18" s="60">
        <f>(BSPrice($B18*1.1,$J18+0.1, $K18, $C18, ($I18-$B$1)/365, $G18, $H18, $D18) - BSPrice($B18,$J18, $K18, $C18, ($I18-$B$1)/365, $G18, $H18, $D18)) * $F18</f>
        <v/>
      </c>
      <c r="CG18" s="60">
        <f>(BSPrice($B18*1.1,$J18+0.2, $K18, $C18, ($I18-$B$1)/365, $G18, $H18, $D18) - BSPrice($B18,$J18, $K18, $C18, ($I18-$B$1)/365, $G18, $H18, $D18)) * $F18</f>
        <v/>
      </c>
      <c r="CH18" s="60">
        <f>(BSPrice($B18*1.2,$J18+-0.05, $K18, $C18, ($I18-$B$1)/365, $G18, $H18, $D18) - BSPrice($B18,$J18, $K18, $C18, ($I18-$B$1)/365, $G18, $H18, $D18)) * $F18</f>
        <v/>
      </c>
      <c r="CI18" s="60">
        <f>(BSPrice($B18*1.2,$J18+-0.02, $K18, $C18, ($I18-$B$1)/365, $G18, $H18, $D18) - BSPrice($B18,$J18, $K18, $C18, ($I18-$B$1)/365, $G18, $H18, $D18)) * $F18</f>
        <v/>
      </c>
      <c r="CJ18" s="60">
        <f>(BSPrice($B18*1.2,$J18+0, $K18, $C18, ($I18-$B$1)/365, $G18, $H18, $D18) - BSPrice($B18,$J18, $K18, $C18, ($I18-$B$1)/365, $G18, $H18, $D18)) * $F18</f>
        <v/>
      </c>
      <c r="CK18" s="60">
        <f>(BSPrice($B18*1.2,$J18+0.02, $K18, $C18, ($I18-$B$1)/365, $G18, $H18, $D18) - BSPrice($B18,$J18, $K18, $C18, ($I18-$B$1)/365, $G18, $H18, $D18)) * $F18</f>
        <v/>
      </c>
      <c r="CL18" s="60">
        <f>(BSPrice($B18*1.2,$J18+0.05, $K18, $C18, ($I18-$B$1)/365, $G18, $H18, $D18) - BSPrice($B18,$J18, $K18, $C18, ($I18-$B$1)/365, $G18, $H18, $D18)) * $F18</f>
        <v/>
      </c>
      <c r="CM18" s="60">
        <f>(BSPrice($B18*1.2,$J18+0.1, $K18, $C18, ($I18-$B$1)/365, $G18, $H18, $D18) - BSPrice($B18,$J18, $K18, $C18, ($I18-$B$1)/365, $G18, $H18, $D18)) * $F18</f>
        <v/>
      </c>
      <c r="CN18" s="60">
        <f>(BSPrice($B18*1.2,$J18+0.2, $K18, $C18, ($I18-$B$1)/365, $G18, $H18, $D18) - BSPrice($B18,$J18, $K18, $C18, ($I18-$B$1)/365, $G18, $H18, $D18)) * $F18</f>
        <v/>
      </c>
    </row>
    <row r="19">
      <c r="A19" s="3" t="inlineStr">
        <is>
          <t>SPX Index</t>
        </is>
      </c>
      <c r="B19" s="4">
        <f>VLOOKUP(A19,PriceData!$K$4:$L$6,2,FALSE)</f>
        <v/>
      </c>
      <c r="C19" s="46">
        <f>VLOOKUP(A19,PriceData!$K$4:$M$6,3,FALSE)</f>
        <v/>
      </c>
      <c r="D19" s="4" t="inlineStr">
        <is>
          <t>Option</t>
        </is>
      </c>
      <c r="E19" s="4" t="inlineStr">
        <is>
          <t>USD</t>
        </is>
      </c>
      <c r="F19" s="4" t="n">
        <v>20</v>
      </c>
      <c r="G19" s="4" t="n">
        <v>1034</v>
      </c>
      <c r="H19" s="4" t="inlineStr">
        <is>
          <t>Call</t>
        </is>
      </c>
      <c r="I19" s="5" t="n">
        <v>40347</v>
      </c>
      <c r="J19" s="46">
        <f>FindImpliedVol(A19, D19, G19, I19)</f>
        <v/>
      </c>
      <c r="K19" s="30">
        <f>VLOOKUP(I19,PriceData!$A$5:$D$7,MATCH($E19,PriceData!$A$4:$D$4,0),FALSE)</f>
        <v/>
      </c>
      <c r="L19" s="2">
        <f>BSPrice($B19,$J19, $K19, $C19, ($I19-$B$1)/365, $G19, $H19, $D19)</f>
        <v/>
      </c>
      <c r="M19" s="2">
        <f>F19*L19</f>
        <v/>
      </c>
      <c r="N19" s="4" t="inlineStr">
        <is>
          <t>Exch</t>
        </is>
      </c>
      <c r="P19" s="60">
        <f>BSDelta(B19, J19, K19, C19, (I19-$B$1)/365, G19, H19, D19)</f>
        <v/>
      </c>
      <c r="Q19" s="60">
        <f>BSGamma(B19, J19, K19, C19, (I19-$B$1)/365, G19, D19)</f>
        <v/>
      </c>
      <c r="R19" s="58">
        <f>BSVega(B19, J19, K19, C19, (I19-$B$1)/365,G19, D19)</f>
        <v/>
      </c>
      <c r="S19" s="58">
        <f>BSVolga(B19, J19, K19, C19, (I19-$B$1)/365,G19, D19)</f>
        <v/>
      </c>
      <c r="T19" s="58">
        <f>BSVanna(B19,J19,K19, C19, (I19-$B$1)/365, G19, D19)</f>
        <v/>
      </c>
      <c r="U19" s="2">
        <f>BSRho(B19, J19, K19, C19, (I19-$B$1)/365, G19, H19, D19)</f>
        <v/>
      </c>
      <c r="V19" s="65">
        <f>$F19*$P19</f>
        <v/>
      </c>
      <c r="W19" s="65">
        <f>$F19*$Q19</f>
        <v/>
      </c>
      <c r="X19" s="78">
        <f>$F19*R19</f>
        <v/>
      </c>
      <c r="Y19" s="78">
        <f>$F19*S19</f>
        <v/>
      </c>
      <c r="Z19" s="78">
        <f>$F19*T19</f>
        <v/>
      </c>
      <c r="AA19" s="78">
        <f>$F19*U19</f>
        <v/>
      </c>
      <c r="AB19" s="78">
        <f>(BSPrice($B19*0.8,$J19, $K19, $C19, ($I19-$B$1)/365, $G19, $H19, $D19) - BSPrice($B19,$J19, $K19, $C19, ($I19-$B$1)/365, $G19, $H19, $D19)) * $F19</f>
        <v/>
      </c>
      <c r="AC19" s="78">
        <f>(BSPrice($B19*0.9,$J19, $K19, $C19, ($I19-$B$1)/365, $G19, $H19, $D19) - BSPrice($B19,$J19, $K19, $C19, ($I19-$B$1)/365, $G19, $H19, $D19)) * $F19</f>
        <v/>
      </c>
      <c r="AD19" s="78">
        <f>(BSPrice($B19*0.95,$J19, $K19, $C19, ($I19-$B$1)/365, $G19, $H19, $D19) - BSPrice($B19,$J19, $K19, $C19, ($I19-$B$1)/365, $G19, $H19, $D19)) * $F19</f>
        <v/>
      </c>
      <c r="AE19" s="78">
        <f>(BSPrice($B19*0.98,$J19, $K19, $C19, ($I19-$B$1)/365, $G19, $H19, $D19) - BSPrice($B19,$J19, $K19, $C19, ($I19-$B$1)/365, $G19, $H19, $D19)) * $F19</f>
        <v/>
      </c>
      <c r="AF19" s="78">
        <f>(BSPrice($B19*1.02,$J19, $K19, $C19, ($I19-$B$1)/365, $G19, $H19, $D19) - BSPrice($B19,$J19, $K19, $C19, ($I19-$B$1)/365, $G19, $H19, $D19)) * $F19</f>
        <v/>
      </c>
      <c r="AG19" s="78">
        <f>(BSPrice($B19*1.05,$J19, $K19, $C19, ($I19-$B$1)/365, $G19, $H19, $D19) - BSPrice($B19,$J19, $K19, $C19, ($I19-$B$1)/365, $G19, $H19, $D19)) * $F19</f>
        <v/>
      </c>
      <c r="AH19" s="78">
        <f>(BSPrice($B19*1.1,$J19, $K19, $C19, ($I19-$B$1)/365, $G19, $H19, $D19) - BSPrice($B19,$J19, $K19, $C19, ($I19-$B$1)/365, $G19, $H19, $D19)) * $F19</f>
        <v/>
      </c>
      <c r="AI19" s="78">
        <f>(BSPrice($B19*1.2,$J19, $K19, $C19, ($I19-$B$1)/365, $G19, $H19, $D19) - BSPrice($B19,$J19, $K19, $C19, ($I19-$B$1)/365, $G19, $H19, $D19)) * $F19</f>
        <v/>
      </c>
      <c r="AJ19" s="78">
        <f>(BSPrice($B19,$J19-0.1, $K19, $C19, ($I19-$B$1)/365, $G19, $H19, $D19) - BSPrice($B19,$J19, $K19, $C19, ($I19-$B$1)/365, $G19, $H19, $D19)) * $F19</f>
        <v/>
      </c>
      <c r="AK19" s="78">
        <f>(BSPrice($B19,$J19-0.05,$K19,$C19,($I19-$B$1)/365,$G19,$H19,$D19)-BSPrice($B19,$J19,$K19,$C19,($I19-$B$1)/365,$G19,$H19,$D19))*$F19</f>
        <v/>
      </c>
      <c r="AL19" s="78">
        <f>(BSPrice($B19,$J19-0.02, $K19, $C19, ($I19-$B$1)/365, $G19, $H19, $D19) - BSPrice($B19,$J19, $K19, $C19, ($I19-$B$1)/365, $G19, $H19, $D19)) * $F19</f>
        <v/>
      </c>
      <c r="AM19" s="78">
        <f>(BSPrice($B19,$J19-0.01, $K19, $C19, ($I19-$B$1)/365, $G19, $H19, $D19) - BSPrice($B19,$J19, $K19, $C19, ($I19-$B$1)/365, $G19, $H19, $D19)) * $F19</f>
        <v/>
      </c>
      <c r="AN19" s="78">
        <f>(BSPrice($B19,$J19+0.01, $K19, $C19, ($I19-$B$1)/365, $G19, $H19, $D19) - BSPrice($B19,$J19, $K19, $C19, ($I19-$B$1)/365, $G19, $H19, $D19)) * $F19</f>
        <v/>
      </c>
      <c r="AO19" s="78">
        <f>(BSPrice($B19,$J19+0.02, $K19, $C19, ($I19-$B$1)/365, $G19, $H19, $D19) - BSPrice($B19,$J19, $K19, $C19, ($I19-$B$1)/365, $G19, $H19, $D19)) * $F19</f>
        <v/>
      </c>
      <c r="AP19" s="78">
        <f>(BSPrice($B19,$J19+0.05, $K19, $C19, ($I19-$B$1)/365, $G19, $H19, $D19) - BSPrice($B19,$J19, $K19, $C19, ($I19-$B$1)/365, $G19, $H19, $D19)) * $F19</f>
        <v/>
      </c>
      <c r="AQ19" s="78">
        <f>(BSPrice($B19,$J19+0.1, $K19, $C19, ($I19-$B$1)/365, $G19, $H19, $D19) - BSPrice($B19,$J19, $K19, $C19, ($I19-$B$1)/365, $G19, $H19, $D19)) * $F19</f>
        <v/>
      </c>
      <c r="AR19" s="60">
        <f>(BSPrice($B19*0.8,$J19+-0.05, $K19, $C19, ($I19-$B$1)/365, $G19, $H19, $D19) - BSPrice($B19,$J19, $K19, $C19, ($I19-$B$1)/365, $G19, $H19, $D19)) * $F19</f>
        <v/>
      </c>
      <c r="AS19" s="60">
        <f>(BSPrice($B19*0.8,$J19+-0.02, $K19, $C19, ($I19-$B$1)/365, $G19, $H19, $D19) - BSPrice($B19,$J19, $K19, $C19, ($I19-$B$1)/365, $G19, $H19, $D19)) * $F19</f>
        <v/>
      </c>
      <c r="AT19" s="60">
        <f>(BSPrice($B19*0.8,$J19+0, $K19, $C19, ($I19-$B$1)/365, $G19, $H19, $D19) - BSPrice($B19,$J19, $K19, $C19, ($I19-$B$1)/365, $G19, $H19, $D19)) * $F19</f>
        <v/>
      </c>
      <c r="AU19" s="60">
        <f>(BSPrice($B19*0.8,$J19+0.02, $K19, $C19, ($I19-$B$1)/365, $G19, $H19, $D19) - BSPrice($B19,$J19, $K19, $C19, ($I19-$B$1)/365, $G19, $H19, $D19)) * $F19</f>
        <v/>
      </c>
      <c r="AV19" s="60">
        <f>(BSPrice($B19*0.8,$J19+0.05, $K19, $C19, ($I19-$B$1)/365, $G19, $H19, $D19) - BSPrice($B19,$J19, $K19, $C19, ($I19-$B$1)/365, $G19, $H19, $D19)) * $F19</f>
        <v/>
      </c>
      <c r="AW19" s="60">
        <f>(BSPrice($B19*0.8,$J19+0.1, $K19, $C19, ($I19-$B$1)/365, $G19, $H19, $D19) - BSPrice($B19,$J19, $K19, $C19, ($I19-$B$1)/365, $G19, $H19, $D19)) * $F19</f>
        <v/>
      </c>
      <c r="AX19" s="60">
        <f>(BSPrice($B19*0.8,$J19+0.2, $K19, $C19, ($I19-$B$1)/365, $G19, $H19, $D19) - BSPrice($B19,$J19, $K19, $C19, ($I19-$B$1)/365, $G19, $H19, $D19)) * $F19</f>
        <v/>
      </c>
      <c r="AY19" s="60">
        <f>(BSPrice($B19*0.9,$J19+-0.05, $K19, $C19, ($I19-$B$1)/365, $G19, $H19, $D19) - BSPrice($B19,$J19, $K19, $C19, ($I19-$B$1)/365, $G19, $H19, $D19)) * $F19</f>
        <v/>
      </c>
      <c r="AZ19" s="60">
        <f>(BSPrice($B19*0.9,$J19+-0.02, $K19, $C19, ($I19-$B$1)/365, $G19, $H19, $D19) - BSPrice($B19,$J19, $K19, $C19, ($I19-$B$1)/365, $G19, $H19, $D19)) * $F19</f>
        <v/>
      </c>
      <c r="BA19" s="60">
        <f>(BSPrice($B19*0.9,$J19+0, $K19, $C19, ($I19-$B$1)/365, $G19, $H19, $D19) - BSPrice($B19,$J19, $K19, $C19, ($I19-$B$1)/365, $G19, $H19, $D19)) * $F19</f>
        <v/>
      </c>
      <c r="BB19" s="60">
        <f>(BSPrice($B19*0.9,$J19+0.02, $K19, $C19, ($I19-$B$1)/365, $G19, $H19, $D19) - BSPrice($B19,$J19, $K19, $C19, ($I19-$B$1)/365, $G19, $H19, $D19)) * $F19</f>
        <v/>
      </c>
      <c r="BC19" s="60">
        <f>(BSPrice($B19*0.9,$J19+0.05, $K19, $C19, ($I19-$B$1)/365, $G19, $H19, $D19) - BSPrice($B19,$J19, $K19, $C19, ($I19-$B$1)/365, $G19, $H19, $D19)) * $F19</f>
        <v/>
      </c>
      <c r="BD19" s="60">
        <f>(BSPrice($B19*0.9,$J19+0.1, $K19, $C19, ($I19-$B$1)/365, $G19, $H19, $D19) - BSPrice($B19,$J19, $K19, $C19, ($I19-$B$1)/365, $G19, $H19, $D19)) * $F19</f>
        <v/>
      </c>
      <c r="BE19" s="60">
        <f>(BSPrice($B19*0.9,$J19+0.2, $K19, $C19, ($I19-$B$1)/365, $G19, $H19, $D19) - BSPrice($B19,$J19, $K19, $C19, ($I19-$B$1)/365, $G19, $H19, $D19)) * $F19</f>
        <v/>
      </c>
      <c r="BF19" s="60">
        <f>(BSPrice($B19*0.95,$J19+-0.05, $K19, $C19, ($I19-$B$1)/365, $G19, $H19, $D19) - BSPrice($B19,$J19, $K19, $C19, ($I19-$B$1)/365, $G19, $H19, $D19)) * $F19</f>
        <v/>
      </c>
      <c r="BG19" s="60">
        <f>(BSPrice($B19*0.95,$J19+-0.02, $K19, $C19, ($I19-$B$1)/365, $G19, $H19, $D19) - BSPrice($B19,$J19, $K19, $C19, ($I19-$B$1)/365, $G19, $H19, $D19)) * $F19</f>
        <v/>
      </c>
      <c r="BH19" s="60">
        <f>(BSPrice($B19*0.95,$J19+0, $K19, $C19, ($I19-$B$1)/365, $G19, $H19, $D19) - BSPrice($B19,$J19, $K19, $C19, ($I19-$B$1)/365, $G19, $H19, $D19)) * $F19</f>
        <v/>
      </c>
      <c r="BI19" s="60">
        <f>(BSPrice($B19*0.95,$J19+0.02, $K19, $C19, ($I19-$B$1)/365, $G19, $H19, $D19) - BSPrice($B19,$J19, $K19, $C19, ($I19-$B$1)/365, $G19, $H19, $D19)) * $F19</f>
        <v/>
      </c>
      <c r="BJ19" s="60">
        <f>(BSPrice($B19*0.95,$J19+0.05, $K19, $C19, ($I19-$B$1)/365, $G19, $H19, $D19) - BSPrice($B19,$J19, $K19, $C19, ($I19-$B$1)/365, $G19, $H19, $D19)) * $F19</f>
        <v/>
      </c>
      <c r="BK19" s="60">
        <f>(BSPrice($B19*0.95,$J19+0.1, $K19, $C19, ($I19-$B$1)/365, $G19, $H19, $D19) - BSPrice($B19,$J19, $K19, $C19, ($I19-$B$1)/365, $G19, $H19, $D19)) * $F19</f>
        <v/>
      </c>
      <c r="BL19" s="60">
        <f>(BSPrice($B19*0.95,$J19+0.2, $K19, $C19, ($I19-$B$1)/365, $G19, $H19, $D19) - BSPrice($B19,$J19, $K19, $C19, ($I19-$B$1)/365, $G19, $H19, $D19)) * $F19</f>
        <v/>
      </c>
      <c r="BM19" s="60">
        <f>(BSPrice($B19*1,$J19+-0.05, $K19, $C19, ($I19-$B$1)/365, $G19, $H19, $D19) - BSPrice($B19,$J19, $K19, $C19, ($I19-$B$1)/365, $G19, $H19, $D19)) * $F19</f>
        <v/>
      </c>
      <c r="BN19" s="60">
        <f>(BSPrice($B19*1,$J19+-0.02, $K19, $C19, ($I19-$B$1)/365, $G19, $H19, $D19) - BSPrice($B19,$J19, $K19, $C19, ($I19-$B$1)/365, $G19, $H19, $D19)) * $F19</f>
        <v/>
      </c>
      <c r="BO19" s="60">
        <f>(BSPrice($B19*1,$J19+0, $K19, $C19, ($I19-$B$1)/365, $G19, $H19, $D19) - BSPrice($B19,$J19, $K19, $C19, ($I19-$B$1)/365, $G19, $H19, $D19)) * $F19</f>
        <v/>
      </c>
      <c r="BP19" s="60">
        <f>(BSPrice($B19*1,$J19+0.02, $K19, $C19, ($I19-$B$1)/365, $G19, $H19, $D19) - BSPrice($B19,$J19, $K19, $C19, ($I19-$B$1)/365, $G19, $H19, $D19)) * $F19</f>
        <v/>
      </c>
      <c r="BQ19" s="60">
        <f>(BSPrice($B19*1,$J19+0.05, $K19, $C19, ($I19-$B$1)/365, $G19, $H19, $D19) - BSPrice($B19,$J19, $K19, $C19, ($I19-$B$1)/365, $G19, $H19, $D19)) * $F19</f>
        <v/>
      </c>
      <c r="BR19" s="60">
        <f>(BSPrice($B19*1,$J19+0.1, $K19, $C19, ($I19-$B$1)/365, $G19, $H19, $D19) - BSPrice($B19,$J19, $K19, $C19, ($I19-$B$1)/365, $G19, $H19, $D19)) * $F19</f>
        <v/>
      </c>
      <c r="BS19" s="60">
        <f>(BSPrice($B19*1,$J19+0.2, $K19, $C19, ($I19-$B$1)/365, $G19, $H19, $D19) - BSPrice($B19,$J19, $K19, $C19, ($I19-$B$1)/365, $G19, $H19, $D19)) * $F19</f>
        <v/>
      </c>
      <c r="BT19" s="60">
        <f>(BSPrice($B19*1.05,$J19+-0.05, $K19, $C19, ($I19-$B$1)/365, $G19, $H19, $D19) - BSPrice($B19,$J19, $K19, $C19, ($I19-$B$1)/365, $G19, $H19, $D19)) * $F19</f>
        <v/>
      </c>
      <c r="BU19" s="60">
        <f>(BSPrice($B19*1.05,$J19+-0.02, $K19, $C19, ($I19-$B$1)/365, $G19, $H19, $D19) - BSPrice($B19,$J19, $K19, $C19, ($I19-$B$1)/365, $G19, $H19, $D19)) * $F19</f>
        <v/>
      </c>
      <c r="BV19" s="60">
        <f>(BSPrice($B19*1.05,$J19+0, $K19, $C19, ($I19-$B$1)/365, $G19, $H19, $D19) - BSPrice($B19,$J19, $K19, $C19, ($I19-$B$1)/365, $G19, $H19, $D19)) * $F19</f>
        <v/>
      </c>
      <c r="BW19" s="60">
        <f>(BSPrice($B19*1.05,$J19+0.02, $K19, $C19, ($I19-$B$1)/365, $G19, $H19, $D19) - BSPrice($B19,$J19, $K19, $C19, ($I19-$B$1)/365, $G19, $H19, $D19)) * $F19</f>
        <v/>
      </c>
      <c r="BX19" s="60">
        <f>(BSPrice($B19*1.05,$J19+0.05, $K19, $C19, ($I19-$B$1)/365, $G19, $H19, $D19) - BSPrice($B19,$J19, $K19, $C19, ($I19-$B$1)/365, $G19, $H19, $D19)) * $F19</f>
        <v/>
      </c>
      <c r="BY19" s="60">
        <f>(BSPrice($B19*1.05,$J19+0.1, $K19, $C19, ($I19-$B$1)/365, $G19, $H19, $D19) - BSPrice($B19,$J19, $K19, $C19, ($I19-$B$1)/365, $G19, $H19, $D19)) * $F19</f>
        <v/>
      </c>
      <c r="BZ19" s="60">
        <f>(BSPrice($B19*1.05,$J19+0.2, $K19, $C19, ($I19-$B$1)/365, $G19, $H19, $D19) - BSPrice($B19,$J19, $K19, $C19, ($I19-$B$1)/365, $G19, $H19, $D19)) * $F19</f>
        <v/>
      </c>
      <c r="CA19" s="60">
        <f>(BSPrice($B19*1.1,$J19+-0.05, $K19, $C19, ($I19-$B$1)/365, $G19, $H19, $D19) - BSPrice($B19,$J19, $K19, $C19, ($I19-$B$1)/365, $G19, $H19, $D19)) * $F19</f>
        <v/>
      </c>
      <c r="CB19" s="60">
        <f>(BSPrice($B19*1.1,$J19+-0.02, $K19, $C19, ($I19-$B$1)/365, $G19, $H19, $D19) - BSPrice($B19,$J19, $K19, $C19, ($I19-$B$1)/365, $G19, $H19, $D19)) * $F19</f>
        <v/>
      </c>
      <c r="CC19" s="60">
        <f>(BSPrice($B19*1.1,$J19+0, $K19, $C19, ($I19-$B$1)/365, $G19, $H19, $D19) - BSPrice($B19,$J19, $K19, $C19, ($I19-$B$1)/365, $G19, $H19, $D19)) * $F19</f>
        <v/>
      </c>
      <c r="CD19" s="60">
        <f>(BSPrice($B19*1.1,$J19+0.02, $K19, $C19, ($I19-$B$1)/365, $G19, $H19, $D19) - BSPrice($B19,$J19, $K19, $C19, ($I19-$B$1)/365, $G19, $H19, $D19)) * $F19</f>
        <v/>
      </c>
      <c r="CE19" s="60">
        <f>(BSPrice($B19*1.1,$J19+0.05, $K19, $C19, ($I19-$B$1)/365, $G19, $H19, $D19) - BSPrice($B19,$J19, $K19, $C19, ($I19-$B$1)/365, $G19, $H19, $D19)) * $F19</f>
        <v/>
      </c>
      <c r="CF19" s="60">
        <f>(BSPrice($B19*1.1,$J19+0.1, $K19, $C19, ($I19-$B$1)/365, $G19, $H19, $D19) - BSPrice($B19,$J19, $K19, $C19, ($I19-$B$1)/365, $G19, $H19, $D19)) * $F19</f>
        <v/>
      </c>
      <c r="CG19" s="60">
        <f>(BSPrice($B19*1.1,$J19+0.2, $K19, $C19, ($I19-$B$1)/365, $G19, $H19, $D19) - BSPrice($B19,$J19, $K19, $C19, ($I19-$B$1)/365, $G19, $H19, $D19)) * $F19</f>
        <v/>
      </c>
      <c r="CH19" s="60">
        <f>(BSPrice($B19*1.2,$J19+-0.05, $K19, $C19, ($I19-$B$1)/365, $G19, $H19, $D19) - BSPrice($B19,$J19, $K19, $C19, ($I19-$B$1)/365, $G19, $H19, $D19)) * $F19</f>
        <v/>
      </c>
      <c r="CI19" s="60">
        <f>(BSPrice($B19*1.2,$J19+-0.02, $K19, $C19, ($I19-$B$1)/365, $G19, $H19, $D19) - BSPrice($B19,$J19, $K19, $C19, ($I19-$B$1)/365, $G19, $H19, $D19)) * $F19</f>
        <v/>
      </c>
      <c r="CJ19" s="60">
        <f>(BSPrice($B19*1.2,$J19+0, $K19, $C19, ($I19-$B$1)/365, $G19, $H19, $D19) - BSPrice($B19,$J19, $K19, $C19, ($I19-$B$1)/365, $G19, $H19, $D19)) * $F19</f>
        <v/>
      </c>
      <c r="CK19" s="60">
        <f>(BSPrice($B19*1.2,$J19+0.02, $K19, $C19, ($I19-$B$1)/365, $G19, $H19, $D19) - BSPrice($B19,$J19, $K19, $C19, ($I19-$B$1)/365, $G19, $H19, $D19)) * $F19</f>
        <v/>
      </c>
      <c r="CL19" s="60">
        <f>(BSPrice($B19*1.2,$J19+0.05, $K19, $C19, ($I19-$B$1)/365, $G19, $H19, $D19) - BSPrice($B19,$J19, $K19, $C19, ($I19-$B$1)/365, $G19, $H19, $D19)) * $F19</f>
        <v/>
      </c>
      <c r="CM19" s="60">
        <f>(BSPrice($B19*1.2,$J19+0.1, $K19, $C19, ($I19-$B$1)/365, $G19, $H19, $D19) - BSPrice($B19,$J19, $K19, $C19, ($I19-$B$1)/365, $G19, $H19, $D19)) * $F19</f>
        <v/>
      </c>
      <c r="CN19" s="60">
        <f>(BSPrice($B19*1.2,$J19+0.2, $K19, $C19, ($I19-$B$1)/365, $G19, $H19, $D19) - BSPrice($B19,$J19, $K19, $C19, ($I19-$B$1)/365, $G19, $H19, $D19)) * $F19</f>
        <v/>
      </c>
    </row>
    <row r="20">
      <c r="A20" s="3" t="inlineStr">
        <is>
          <t>SPX Index</t>
        </is>
      </c>
      <c r="B20" s="4">
        <f>VLOOKUP(A20,PriceData!$K$4:$L$6,2,FALSE)</f>
        <v/>
      </c>
      <c r="C20" s="46">
        <f>VLOOKUP(A20,PriceData!$K$4:$M$6,3,FALSE)</f>
        <v/>
      </c>
      <c r="D20" s="4" t="inlineStr">
        <is>
          <t>Option</t>
        </is>
      </c>
      <c r="E20" s="4" t="inlineStr">
        <is>
          <t>USD</t>
        </is>
      </c>
      <c r="F20" s="4" t="n">
        <v>25</v>
      </c>
      <c r="G20" s="4" t="n">
        <v>902</v>
      </c>
      <c r="H20" s="4" t="inlineStr">
        <is>
          <t>Put</t>
        </is>
      </c>
      <c r="I20" s="5" t="n">
        <v>40347</v>
      </c>
      <c r="J20" s="46">
        <f>FindImpliedVol(A20, D20, G20, I20)</f>
        <v/>
      </c>
      <c r="K20" s="30">
        <f>VLOOKUP(I20,PriceData!$A$5:$D$7,MATCH($E20,PriceData!$A$4:$D$4,0),FALSE)</f>
        <v/>
      </c>
      <c r="L20" s="2">
        <f>BSPrice($B20,$J20, $K20, $C20, ($I20-$B$1)/365, $G20, $H20, $D20)</f>
        <v/>
      </c>
      <c r="M20" s="2">
        <f>F20*L20</f>
        <v/>
      </c>
      <c r="N20" s="4" t="inlineStr">
        <is>
          <t>GoldMine Sacks</t>
        </is>
      </c>
      <c r="P20" s="60">
        <f>BSDelta(B20, J20, K20, C20, (I20-$B$1)/365, G20, H20, D20)</f>
        <v/>
      </c>
      <c r="Q20" s="60">
        <f>BSGamma(B20, J20, K20, C20, (I20-$B$1)/365, G20, D20)</f>
        <v/>
      </c>
      <c r="R20" s="58">
        <f>BSVega(B20, J20, K20, C20, (I20-$B$1)/365,G20, D20)</f>
        <v/>
      </c>
      <c r="S20" s="58">
        <f>BSVolga(B20, J20, K20, C20, (I20-$B$1)/365,G20, D20)</f>
        <v/>
      </c>
      <c r="T20" s="58">
        <f>BSVanna(B20,J20,K20, C20, (I20-$B$1)/365, G20, D20)</f>
        <v/>
      </c>
      <c r="U20" s="2">
        <f>BSRho(B20, J20, K20, C20, (I20-$B$1)/365, G20, H20, D20)</f>
        <v/>
      </c>
      <c r="V20" s="65">
        <f>$F20*$P20</f>
        <v/>
      </c>
      <c r="W20" s="65">
        <f>$F20*$Q20</f>
        <v/>
      </c>
      <c r="X20" s="78">
        <f>$F20*R20</f>
        <v/>
      </c>
      <c r="Y20" s="78">
        <f>$F20*S20</f>
        <v/>
      </c>
      <c r="Z20" s="78">
        <f>$F20*T20</f>
        <v/>
      </c>
      <c r="AA20" s="78">
        <f>$F20*U20</f>
        <v/>
      </c>
      <c r="AB20" s="78">
        <f>(BSPrice($B20*0.8,$J20, $K20, $C20, ($I20-$B$1)/365, $G20, $H20, $D20) - BSPrice($B20,$J20, $K20, $C20, ($I20-$B$1)/365, $G20, $H20, $D20)) * $F20</f>
        <v/>
      </c>
      <c r="AC20" s="78">
        <f>(BSPrice($B20*0.9,$J20, $K20, $C20, ($I20-$B$1)/365, $G20, $H20, $D20) - BSPrice($B20,$J20, $K20, $C20, ($I20-$B$1)/365, $G20, $H20, $D20)) * $F20</f>
        <v/>
      </c>
      <c r="AD20" s="78">
        <f>(BSPrice($B20*0.95,$J20, $K20, $C20, ($I20-$B$1)/365, $G20, $H20, $D20) - BSPrice($B20,$J20, $K20, $C20, ($I20-$B$1)/365, $G20, $H20, $D20)) * $F20</f>
        <v/>
      </c>
      <c r="AE20" s="78">
        <f>(BSPrice($B20*0.98,$J20, $K20, $C20, ($I20-$B$1)/365, $G20, $H20, $D20) - BSPrice($B20,$J20, $K20, $C20, ($I20-$B$1)/365, $G20, $H20, $D20)) * $F20</f>
        <v/>
      </c>
      <c r="AF20" s="78">
        <f>(BSPrice($B20*1.02,$J20, $K20, $C20, ($I20-$B$1)/365, $G20, $H20, $D20) - BSPrice($B20,$J20, $K20, $C20, ($I20-$B$1)/365, $G20, $H20, $D20)) * $F20</f>
        <v/>
      </c>
      <c r="AG20" s="78">
        <f>(BSPrice($B20*1.05,$J20, $K20, $C20, ($I20-$B$1)/365, $G20, $H20, $D20) - BSPrice($B20,$J20, $K20, $C20, ($I20-$B$1)/365, $G20, $H20, $D20)) * $F20</f>
        <v/>
      </c>
      <c r="AH20" s="78">
        <f>(BSPrice($B20*1.1,$J20, $K20, $C20, ($I20-$B$1)/365, $G20, $H20, $D20) - BSPrice($B20,$J20, $K20, $C20, ($I20-$B$1)/365, $G20, $H20, $D20)) * $F20</f>
        <v/>
      </c>
      <c r="AI20" s="78">
        <f>(BSPrice($B20*1.2,$J20, $K20, $C20, ($I20-$B$1)/365, $G20, $H20, $D20) - BSPrice($B20,$J20, $K20, $C20, ($I20-$B$1)/365, $G20, $H20, $D20)) * $F20</f>
        <v/>
      </c>
      <c r="AJ20" s="78">
        <f>(BSPrice($B20,$J20-0.1, $K20, $C20, ($I20-$B$1)/365, $G20, $H20, $D20) - BSPrice($B20,$J20, $K20, $C20, ($I20-$B$1)/365, $G20, $H20, $D20)) * $F20</f>
        <v/>
      </c>
      <c r="AK20" s="78">
        <f>(BSPrice($B20,$J20-0.05,$K20,$C20,($I20-$B$1)/365,$G20,$H20,$D20)-BSPrice($B20,$J20,$K20,$C20,($I20-$B$1)/365,$G20,$H20,$D20))*$F20</f>
        <v/>
      </c>
      <c r="AL20" s="78">
        <f>(BSPrice($B20,$J20-0.02, $K20, $C20, ($I20-$B$1)/365, $G20, $H20, $D20) - BSPrice($B20,$J20, $K20, $C20, ($I20-$B$1)/365, $G20, $H20, $D20)) * $F20</f>
        <v/>
      </c>
      <c r="AM20" s="78">
        <f>(BSPrice($B20,$J20-0.01, $K20, $C20, ($I20-$B$1)/365, $G20, $H20, $D20) - BSPrice($B20,$J20, $K20, $C20, ($I20-$B$1)/365, $G20, $H20, $D20)) * $F20</f>
        <v/>
      </c>
      <c r="AN20" s="78">
        <f>(BSPrice($B20,$J20+0.01, $K20, $C20, ($I20-$B$1)/365, $G20, $H20, $D20) - BSPrice($B20,$J20, $K20, $C20, ($I20-$B$1)/365, $G20, $H20, $D20)) * $F20</f>
        <v/>
      </c>
      <c r="AO20" s="78">
        <f>(BSPrice($B20,$J20+0.02, $K20, $C20, ($I20-$B$1)/365, $G20, $H20, $D20) - BSPrice($B20,$J20, $K20, $C20, ($I20-$B$1)/365, $G20, $H20, $D20)) * $F20</f>
        <v/>
      </c>
      <c r="AP20" s="78">
        <f>(BSPrice($B20,$J20+0.05, $K20, $C20, ($I20-$B$1)/365, $G20, $H20, $D20) - BSPrice($B20,$J20, $K20, $C20, ($I20-$B$1)/365, $G20, $H20, $D20)) * $F20</f>
        <v/>
      </c>
      <c r="AQ20" s="78">
        <f>(BSPrice($B20,$J20+0.1, $K20, $C20, ($I20-$B$1)/365, $G20, $H20, $D20) - BSPrice($B20,$J20, $K20, $C20, ($I20-$B$1)/365, $G20, $H20, $D20)) * $F20</f>
        <v/>
      </c>
      <c r="AR20" s="60">
        <f>(BSPrice($B20*0.8,$J20+-0.05, $K20, $C20, ($I20-$B$1)/365, $G20, $H20, $D20) - BSPrice($B20,$J20, $K20, $C20, ($I20-$B$1)/365, $G20, $H20, $D20)) * $F20</f>
        <v/>
      </c>
      <c r="AS20" s="60">
        <f>(BSPrice($B20*0.8,$J20+-0.02, $K20, $C20, ($I20-$B$1)/365, $G20, $H20, $D20) - BSPrice($B20,$J20, $K20, $C20, ($I20-$B$1)/365, $G20, $H20, $D20)) * $F20</f>
        <v/>
      </c>
      <c r="AT20" s="60">
        <f>(BSPrice($B20*0.8,$J20+0, $K20, $C20, ($I20-$B$1)/365, $G20, $H20, $D20) - BSPrice($B20,$J20, $K20, $C20, ($I20-$B$1)/365, $G20, $H20, $D20)) * $F20</f>
        <v/>
      </c>
      <c r="AU20" s="60">
        <f>(BSPrice($B20*0.8,$J20+0.02, $K20, $C20, ($I20-$B$1)/365, $G20, $H20, $D20) - BSPrice($B20,$J20, $K20, $C20, ($I20-$B$1)/365, $G20, $H20, $D20)) * $F20</f>
        <v/>
      </c>
      <c r="AV20" s="60">
        <f>(BSPrice($B20*0.8,$J20+0.05, $K20, $C20, ($I20-$B$1)/365, $G20, $H20, $D20) - BSPrice($B20,$J20, $K20, $C20, ($I20-$B$1)/365, $G20, $H20, $D20)) * $F20</f>
        <v/>
      </c>
      <c r="AW20" s="60">
        <f>(BSPrice($B20*0.8,$J20+0.1, $K20, $C20, ($I20-$B$1)/365, $G20, $H20, $D20) - BSPrice($B20,$J20, $K20, $C20, ($I20-$B$1)/365, $G20, $H20, $D20)) * $F20</f>
        <v/>
      </c>
      <c r="AX20" s="60">
        <f>(BSPrice($B20*0.8,$J20+0.2, $K20, $C20, ($I20-$B$1)/365, $G20, $H20, $D20) - BSPrice($B20,$J20, $K20, $C20, ($I20-$B$1)/365, $G20, $H20, $D20)) * $F20</f>
        <v/>
      </c>
      <c r="AY20" s="60">
        <f>(BSPrice($B20*0.9,$J20+-0.05, $K20, $C20, ($I20-$B$1)/365, $G20, $H20, $D20) - BSPrice($B20,$J20, $K20, $C20, ($I20-$B$1)/365, $G20, $H20, $D20)) * $F20</f>
        <v/>
      </c>
      <c r="AZ20" s="60">
        <f>(BSPrice($B20*0.9,$J20+-0.02, $K20, $C20, ($I20-$B$1)/365, $G20, $H20, $D20) - BSPrice($B20,$J20, $K20, $C20, ($I20-$B$1)/365, $G20, $H20, $D20)) * $F20</f>
        <v/>
      </c>
      <c r="BA20" s="60">
        <f>(BSPrice($B20*0.9,$J20+0, $K20, $C20, ($I20-$B$1)/365, $G20, $H20, $D20) - BSPrice($B20,$J20, $K20, $C20, ($I20-$B$1)/365, $G20, $H20, $D20)) * $F20</f>
        <v/>
      </c>
      <c r="BB20" s="60">
        <f>(BSPrice($B20*0.9,$J20+0.02, $K20, $C20, ($I20-$B$1)/365, $G20, $H20, $D20) - BSPrice($B20,$J20, $K20, $C20, ($I20-$B$1)/365, $G20, $H20, $D20)) * $F20</f>
        <v/>
      </c>
      <c r="BC20" s="60">
        <f>(BSPrice($B20*0.9,$J20+0.05, $K20, $C20, ($I20-$B$1)/365, $G20, $H20, $D20) - BSPrice($B20,$J20, $K20, $C20, ($I20-$B$1)/365, $G20, $H20, $D20)) * $F20</f>
        <v/>
      </c>
      <c r="BD20" s="60">
        <f>(BSPrice($B20*0.9,$J20+0.1, $K20, $C20, ($I20-$B$1)/365, $G20, $H20, $D20) - BSPrice($B20,$J20, $K20, $C20, ($I20-$B$1)/365, $G20, $H20, $D20)) * $F20</f>
        <v/>
      </c>
      <c r="BE20" s="60">
        <f>(BSPrice($B20*0.9,$J20+0.2, $K20, $C20, ($I20-$B$1)/365, $G20, $H20, $D20) - BSPrice($B20,$J20, $K20, $C20, ($I20-$B$1)/365, $G20, $H20, $D20)) * $F20</f>
        <v/>
      </c>
      <c r="BF20" s="60">
        <f>(BSPrice($B20*0.95,$J20+-0.05, $K20, $C20, ($I20-$B$1)/365, $G20, $H20, $D20) - BSPrice($B20,$J20, $K20, $C20, ($I20-$B$1)/365, $G20, $H20, $D20)) * $F20</f>
        <v/>
      </c>
      <c r="BG20" s="60">
        <f>(BSPrice($B20*0.95,$J20+-0.02, $K20, $C20, ($I20-$B$1)/365, $G20, $H20, $D20) - BSPrice($B20,$J20, $K20, $C20, ($I20-$B$1)/365, $G20, $H20, $D20)) * $F20</f>
        <v/>
      </c>
      <c r="BH20" s="60">
        <f>(BSPrice($B20*0.95,$J20+0, $K20, $C20, ($I20-$B$1)/365, $G20, $H20, $D20) - BSPrice($B20,$J20, $K20, $C20, ($I20-$B$1)/365, $G20, $H20, $D20)) * $F20</f>
        <v/>
      </c>
      <c r="BI20" s="60">
        <f>(BSPrice($B20*0.95,$J20+0.02, $K20, $C20, ($I20-$B$1)/365, $G20, $H20, $D20) - BSPrice($B20,$J20, $K20, $C20, ($I20-$B$1)/365, $G20, $H20, $D20)) * $F20</f>
        <v/>
      </c>
      <c r="BJ20" s="60">
        <f>(BSPrice($B20*0.95,$J20+0.05, $K20, $C20, ($I20-$B$1)/365, $G20, $H20, $D20) - BSPrice($B20,$J20, $K20, $C20, ($I20-$B$1)/365, $G20, $H20, $D20)) * $F20</f>
        <v/>
      </c>
      <c r="BK20" s="60">
        <f>(BSPrice($B20*0.95,$J20+0.1, $K20, $C20, ($I20-$B$1)/365, $G20, $H20, $D20) - BSPrice($B20,$J20, $K20, $C20, ($I20-$B$1)/365, $G20, $H20, $D20)) * $F20</f>
        <v/>
      </c>
      <c r="BL20" s="60">
        <f>(BSPrice($B20*0.95,$J20+0.2, $K20, $C20, ($I20-$B$1)/365, $G20, $H20, $D20) - BSPrice($B20,$J20, $K20, $C20, ($I20-$B$1)/365, $G20, $H20, $D20)) * $F20</f>
        <v/>
      </c>
      <c r="BM20" s="60">
        <f>(BSPrice($B20*1,$J20+-0.05, $K20, $C20, ($I20-$B$1)/365, $G20, $H20, $D20) - BSPrice($B20,$J20, $K20, $C20, ($I20-$B$1)/365, $G20, $H20, $D20)) * $F20</f>
        <v/>
      </c>
      <c r="BN20" s="60">
        <f>(BSPrice($B20*1,$J20+-0.02, $K20, $C20, ($I20-$B$1)/365, $G20, $H20, $D20) - BSPrice($B20,$J20, $K20, $C20, ($I20-$B$1)/365, $G20, $H20, $D20)) * $F20</f>
        <v/>
      </c>
      <c r="BO20" s="60">
        <f>(BSPrice($B20*1,$J20+0, $K20, $C20, ($I20-$B$1)/365, $G20, $H20, $D20) - BSPrice($B20,$J20, $K20, $C20, ($I20-$B$1)/365, $G20, $H20, $D20)) * $F20</f>
        <v/>
      </c>
      <c r="BP20" s="60">
        <f>(BSPrice($B20*1,$J20+0.02, $K20, $C20, ($I20-$B$1)/365, $G20, $H20, $D20) - BSPrice($B20,$J20, $K20, $C20, ($I20-$B$1)/365, $G20, $H20, $D20)) * $F20</f>
        <v/>
      </c>
      <c r="BQ20" s="60">
        <f>(BSPrice($B20*1,$J20+0.05, $K20, $C20, ($I20-$B$1)/365, $G20, $H20, $D20) - BSPrice($B20,$J20, $K20, $C20, ($I20-$B$1)/365, $G20, $H20, $D20)) * $F20</f>
        <v/>
      </c>
      <c r="BR20" s="60">
        <f>(BSPrice($B20*1,$J20+0.1, $K20, $C20, ($I20-$B$1)/365, $G20, $H20, $D20) - BSPrice($B20,$J20, $K20, $C20, ($I20-$B$1)/365, $G20, $H20, $D20)) * $F20</f>
        <v/>
      </c>
      <c r="BS20" s="60">
        <f>(BSPrice($B20*1,$J20+0.2, $K20, $C20, ($I20-$B$1)/365, $G20, $H20, $D20) - BSPrice($B20,$J20, $K20, $C20, ($I20-$B$1)/365, $G20, $H20, $D20)) * $F20</f>
        <v/>
      </c>
      <c r="BT20" s="60">
        <f>(BSPrice($B20*1.05,$J20+-0.05, $K20, $C20, ($I20-$B$1)/365, $G20, $H20, $D20) - BSPrice($B20,$J20, $K20, $C20, ($I20-$B$1)/365, $G20, $H20, $D20)) * $F20</f>
        <v/>
      </c>
      <c r="BU20" s="60">
        <f>(BSPrice($B20*1.05,$J20+-0.02, $K20, $C20, ($I20-$B$1)/365, $G20, $H20, $D20) - BSPrice($B20,$J20, $K20, $C20, ($I20-$B$1)/365, $G20, $H20, $D20)) * $F20</f>
        <v/>
      </c>
      <c r="BV20" s="60">
        <f>(BSPrice($B20*1.05,$J20+0, $K20, $C20, ($I20-$B$1)/365, $G20, $H20, $D20) - BSPrice($B20,$J20, $K20, $C20, ($I20-$B$1)/365, $G20, $H20, $D20)) * $F20</f>
        <v/>
      </c>
      <c r="BW20" s="60">
        <f>(BSPrice($B20*1.05,$J20+0.02, $K20, $C20, ($I20-$B$1)/365, $G20, $H20, $D20) - BSPrice($B20,$J20, $K20, $C20, ($I20-$B$1)/365, $G20, $H20, $D20)) * $F20</f>
        <v/>
      </c>
      <c r="BX20" s="60">
        <f>(BSPrice($B20*1.05,$J20+0.05, $K20, $C20, ($I20-$B$1)/365, $G20, $H20, $D20) - BSPrice($B20,$J20, $K20, $C20, ($I20-$B$1)/365, $G20, $H20, $D20)) * $F20</f>
        <v/>
      </c>
      <c r="BY20" s="60">
        <f>(BSPrice($B20*1.05,$J20+0.1, $K20, $C20, ($I20-$B$1)/365, $G20, $H20, $D20) - BSPrice($B20,$J20, $K20, $C20, ($I20-$B$1)/365, $G20, $H20, $D20)) * $F20</f>
        <v/>
      </c>
      <c r="BZ20" s="60">
        <f>(BSPrice($B20*1.05,$J20+0.2, $K20, $C20, ($I20-$B$1)/365, $G20, $H20, $D20) - BSPrice($B20,$J20, $K20, $C20, ($I20-$B$1)/365, $G20, $H20, $D20)) * $F20</f>
        <v/>
      </c>
      <c r="CA20" s="60">
        <f>(BSPrice($B20*1.1,$J20+-0.05, $K20, $C20, ($I20-$B$1)/365, $G20, $H20, $D20) - BSPrice($B20,$J20, $K20, $C20, ($I20-$B$1)/365, $G20, $H20, $D20)) * $F20</f>
        <v/>
      </c>
      <c r="CB20" s="60">
        <f>(BSPrice($B20*1.1,$J20+-0.02, $K20, $C20, ($I20-$B$1)/365, $G20, $H20, $D20) - BSPrice($B20,$J20, $K20, $C20, ($I20-$B$1)/365, $G20, $H20, $D20)) * $F20</f>
        <v/>
      </c>
      <c r="CC20" s="60">
        <f>(BSPrice($B20*1.1,$J20+0, $K20, $C20, ($I20-$B$1)/365, $G20, $H20, $D20) - BSPrice($B20,$J20, $K20, $C20, ($I20-$B$1)/365, $G20, $H20, $D20)) * $F20</f>
        <v/>
      </c>
      <c r="CD20" s="60">
        <f>(BSPrice($B20*1.1,$J20+0.02, $K20, $C20, ($I20-$B$1)/365, $G20, $H20, $D20) - BSPrice($B20,$J20, $K20, $C20, ($I20-$B$1)/365, $G20, $H20, $D20)) * $F20</f>
        <v/>
      </c>
      <c r="CE20" s="60">
        <f>(BSPrice($B20*1.1,$J20+0.05, $K20, $C20, ($I20-$B$1)/365, $G20, $H20, $D20) - BSPrice($B20,$J20, $K20, $C20, ($I20-$B$1)/365, $G20, $H20, $D20)) * $F20</f>
        <v/>
      </c>
      <c r="CF20" s="60">
        <f>(BSPrice($B20*1.1,$J20+0.1, $K20, $C20, ($I20-$B$1)/365, $G20, $H20, $D20) - BSPrice($B20,$J20, $K20, $C20, ($I20-$B$1)/365, $G20, $H20, $D20)) * $F20</f>
        <v/>
      </c>
      <c r="CG20" s="60">
        <f>(BSPrice($B20*1.1,$J20+0.2, $K20, $C20, ($I20-$B$1)/365, $G20, $H20, $D20) - BSPrice($B20,$J20, $K20, $C20, ($I20-$B$1)/365, $G20, $H20, $D20)) * $F20</f>
        <v/>
      </c>
      <c r="CH20" s="60">
        <f>(BSPrice($B20*1.2,$J20+-0.05, $K20, $C20, ($I20-$B$1)/365, $G20, $H20, $D20) - BSPrice($B20,$J20, $K20, $C20, ($I20-$B$1)/365, $G20, $H20, $D20)) * $F20</f>
        <v/>
      </c>
      <c r="CI20" s="60">
        <f>(BSPrice($B20*1.2,$J20+-0.02, $K20, $C20, ($I20-$B$1)/365, $G20, $H20, $D20) - BSPrice($B20,$J20, $K20, $C20, ($I20-$B$1)/365, $G20, $H20, $D20)) * $F20</f>
        <v/>
      </c>
      <c r="CJ20" s="60">
        <f>(BSPrice($B20*1.2,$J20+0, $K20, $C20, ($I20-$B$1)/365, $G20, $H20, $D20) - BSPrice($B20,$J20, $K20, $C20, ($I20-$B$1)/365, $G20, $H20, $D20)) * $F20</f>
        <v/>
      </c>
      <c r="CK20" s="60">
        <f>(BSPrice($B20*1.2,$J20+0.02, $K20, $C20, ($I20-$B$1)/365, $G20, $H20, $D20) - BSPrice($B20,$J20, $K20, $C20, ($I20-$B$1)/365, $G20, $H20, $D20)) * $F20</f>
        <v/>
      </c>
      <c r="CL20" s="60">
        <f>(BSPrice($B20*1.2,$J20+0.05, $K20, $C20, ($I20-$B$1)/365, $G20, $H20, $D20) - BSPrice($B20,$J20, $K20, $C20, ($I20-$B$1)/365, $G20, $H20, $D20)) * $F20</f>
        <v/>
      </c>
      <c r="CM20" s="60">
        <f>(BSPrice($B20*1.2,$J20+0.1, $K20, $C20, ($I20-$B$1)/365, $G20, $H20, $D20) - BSPrice($B20,$J20, $K20, $C20, ($I20-$B$1)/365, $G20, $H20, $D20)) * $F20</f>
        <v/>
      </c>
      <c r="CN20" s="60">
        <f>(BSPrice($B20*1.2,$J20+0.2, $K20, $C20, ($I20-$B$1)/365, $G20, $H20, $D20) - BSPrice($B20,$J20, $K20, $C20, ($I20-$B$1)/365, $G20, $H20, $D20)) * $F20</f>
        <v/>
      </c>
    </row>
    <row r="21">
      <c r="A21" s="3" t="inlineStr">
        <is>
          <t>SPX Index</t>
        </is>
      </c>
      <c r="B21" s="4">
        <f>VLOOKUP(A21,PriceData!$K$4:$L$6,2,FALSE)</f>
        <v/>
      </c>
      <c r="C21" s="46">
        <f>VLOOKUP(A21,PriceData!$K$4:$M$6,3,FALSE)</f>
        <v/>
      </c>
      <c r="D21" s="4" t="inlineStr">
        <is>
          <t>Option</t>
        </is>
      </c>
      <c r="E21" s="4" t="inlineStr">
        <is>
          <t>USD</t>
        </is>
      </c>
      <c r="F21" s="4" t="n">
        <v>25</v>
      </c>
      <c r="G21" s="4" t="n">
        <v>902</v>
      </c>
      <c r="H21" s="4" t="inlineStr">
        <is>
          <t>Put</t>
        </is>
      </c>
      <c r="I21" s="5" t="n">
        <v>40347</v>
      </c>
      <c r="J21" s="46">
        <f>FindImpliedVol(A21, D21, G21, I21)</f>
        <v/>
      </c>
      <c r="K21" s="30">
        <f>VLOOKUP(I21,PriceData!$A$5:$D$7,MATCH($E21,PriceData!$A$4:$D$4,0),FALSE)</f>
        <v/>
      </c>
      <c r="L21" s="2">
        <f>BSPrice($B21,$J21, $K21, $C21, ($I21-$B$1)/365, $G21, $H21, $D21)</f>
        <v/>
      </c>
      <c r="M21" s="2">
        <f>F21*L21</f>
        <v/>
      </c>
      <c r="N21" s="4" t="inlineStr">
        <is>
          <t>Exch</t>
        </is>
      </c>
      <c r="P21" s="60">
        <f>BSDelta(B21, J21, K21, C21, (I21-$B$1)/365, G21, H21, D21)</f>
        <v/>
      </c>
      <c r="Q21" s="60">
        <f>BSGamma(B21, J21, K21, C21, (I21-$B$1)/365, G21, D21)</f>
        <v/>
      </c>
      <c r="R21" s="58">
        <f>BSVega(B21, J21, K21, C21, (I21-$B$1)/365,G21, D21)</f>
        <v/>
      </c>
      <c r="S21" s="58">
        <f>BSVolga(B21, J21, K21, C21, (I21-$B$1)/365,G21, D21)</f>
        <v/>
      </c>
      <c r="T21" s="58">
        <f>BSVanna(B21,J21,K21, C21, (I21-$B$1)/365, G21, D21)</f>
        <v/>
      </c>
      <c r="U21" s="2">
        <f>BSRho(B21, J21, K21, C21, (I21-$B$1)/365, G21, H21, D21)</f>
        <v/>
      </c>
      <c r="V21" s="65">
        <f>$F21*$P21</f>
        <v/>
      </c>
      <c r="W21" s="65">
        <f>$F21*$Q21</f>
        <v/>
      </c>
      <c r="X21" s="78">
        <f>$F21*R21</f>
        <v/>
      </c>
      <c r="Y21" s="78">
        <f>$F21*S21</f>
        <v/>
      </c>
      <c r="Z21" s="78">
        <f>$F21*T21</f>
        <v/>
      </c>
      <c r="AA21" s="78">
        <f>$F21*U21</f>
        <v/>
      </c>
      <c r="AB21" s="78">
        <f>(BSPrice($B21*0.8,$J21, $K21, $C21, ($I21-$B$1)/365, $G21, $H21, $D21) - BSPrice($B21,$J21, $K21, $C21, ($I21-$B$1)/365, $G21, $H21, $D21)) * $F21</f>
        <v/>
      </c>
      <c r="AC21" s="78">
        <f>(BSPrice($B21*0.9,$J21, $K21, $C21, ($I21-$B$1)/365, $G21, $H21, $D21) - BSPrice($B21,$J21, $K21, $C21, ($I21-$B$1)/365, $G21, $H21, $D21)) * $F21</f>
        <v/>
      </c>
      <c r="AD21" s="78">
        <f>(BSPrice($B21*0.95,$J21, $K21, $C21, ($I21-$B$1)/365, $G21, $H21, $D21) - BSPrice($B21,$J21, $K21, $C21, ($I21-$B$1)/365, $G21, $H21, $D21)) * $F21</f>
        <v/>
      </c>
      <c r="AE21" s="78">
        <f>(BSPrice($B21*0.98,$J21, $K21, $C21, ($I21-$B$1)/365, $G21, $H21, $D21) - BSPrice($B21,$J21, $K21, $C21, ($I21-$B$1)/365, $G21, $H21, $D21)) * $F21</f>
        <v/>
      </c>
      <c r="AF21" s="78">
        <f>(BSPrice($B21*1.02,$J21, $K21, $C21, ($I21-$B$1)/365, $G21, $H21, $D21) - BSPrice($B21,$J21, $K21, $C21, ($I21-$B$1)/365, $G21, $H21, $D21)) * $F21</f>
        <v/>
      </c>
      <c r="AG21" s="78">
        <f>(BSPrice($B21*1.05,$J21, $K21, $C21, ($I21-$B$1)/365, $G21, $H21, $D21) - BSPrice($B21,$J21, $K21, $C21, ($I21-$B$1)/365, $G21, $H21, $D21)) * $F21</f>
        <v/>
      </c>
      <c r="AH21" s="78">
        <f>(BSPrice($B21*1.1,$J21, $K21, $C21, ($I21-$B$1)/365, $G21, $H21, $D21) - BSPrice($B21,$J21, $K21, $C21, ($I21-$B$1)/365, $G21, $H21, $D21)) * $F21</f>
        <v/>
      </c>
      <c r="AI21" s="78">
        <f>(BSPrice($B21*1.2,$J21, $K21, $C21, ($I21-$B$1)/365, $G21, $H21, $D21) - BSPrice($B21,$J21, $K21, $C21, ($I21-$B$1)/365, $G21, $H21, $D21)) * $F21</f>
        <v/>
      </c>
      <c r="AJ21" s="78">
        <f>(BSPrice($B21,$J21-0.1, $K21, $C21, ($I21-$B$1)/365, $G21, $H21, $D21) - BSPrice($B21,$J21, $K21, $C21, ($I21-$B$1)/365, $G21, $H21, $D21)) * $F21</f>
        <v/>
      </c>
      <c r="AK21" s="78">
        <f>(BSPrice($B21,$J21-0.05,$K21,$C21,($I21-$B$1)/365,$G21,$H21,$D21)-BSPrice($B21,$J21,$K21,$C21,($I21-$B$1)/365,$G21,$H21,$D21))*$F21</f>
        <v/>
      </c>
      <c r="AL21" s="78">
        <f>(BSPrice($B21,$J21-0.02, $K21, $C21, ($I21-$B$1)/365, $G21, $H21, $D21) - BSPrice($B21,$J21, $K21, $C21, ($I21-$B$1)/365, $G21, $H21, $D21)) * $F21</f>
        <v/>
      </c>
      <c r="AM21" s="78">
        <f>(BSPrice($B21,$J21-0.01, $K21, $C21, ($I21-$B$1)/365, $G21, $H21, $D21) - BSPrice($B21,$J21, $K21, $C21, ($I21-$B$1)/365, $G21, $H21, $D21)) * $F21</f>
        <v/>
      </c>
      <c r="AN21" s="78">
        <f>(BSPrice($B21,$J21+0.01, $K21, $C21, ($I21-$B$1)/365, $G21, $H21, $D21) - BSPrice($B21,$J21, $K21, $C21, ($I21-$B$1)/365, $G21, $H21, $D21)) * $F21</f>
        <v/>
      </c>
      <c r="AO21" s="78">
        <f>(BSPrice($B21,$J21+0.02, $K21, $C21, ($I21-$B$1)/365, $G21, $H21, $D21) - BSPrice($B21,$J21, $K21, $C21, ($I21-$B$1)/365, $G21, $H21, $D21)) * $F21</f>
        <v/>
      </c>
      <c r="AP21" s="78">
        <f>(BSPrice($B21,$J21+0.05, $K21, $C21, ($I21-$B$1)/365, $G21, $H21, $D21) - BSPrice($B21,$J21, $K21, $C21, ($I21-$B$1)/365, $G21, $H21, $D21)) * $F21</f>
        <v/>
      </c>
      <c r="AQ21" s="78">
        <f>(BSPrice($B21,$J21+0.1, $K21, $C21, ($I21-$B$1)/365, $G21, $H21, $D21) - BSPrice($B21,$J21, $K21, $C21, ($I21-$B$1)/365, $G21, $H21, $D21)) * $F21</f>
        <v/>
      </c>
      <c r="AR21" s="60">
        <f>(BSPrice($B21*0.8,$J21+-0.05, $K21, $C21, ($I21-$B$1)/365, $G21, $H21, $D21) - BSPrice($B21,$J21, $K21, $C21, ($I21-$B$1)/365, $G21, $H21, $D21)) * $F21</f>
        <v/>
      </c>
      <c r="AS21" s="60">
        <f>(BSPrice($B21*0.8,$J21+-0.02, $K21, $C21, ($I21-$B$1)/365, $G21, $H21, $D21) - BSPrice($B21,$J21, $K21, $C21, ($I21-$B$1)/365, $G21, $H21, $D21)) * $F21</f>
        <v/>
      </c>
      <c r="AT21" s="60">
        <f>(BSPrice($B21*0.8,$J21+0, $K21, $C21, ($I21-$B$1)/365, $G21, $H21, $D21) - BSPrice($B21,$J21, $K21, $C21, ($I21-$B$1)/365, $G21, $H21, $D21)) * $F21</f>
        <v/>
      </c>
      <c r="AU21" s="60">
        <f>(BSPrice($B21*0.8,$J21+0.02, $K21, $C21, ($I21-$B$1)/365, $G21, $H21, $D21) - BSPrice($B21,$J21, $K21, $C21, ($I21-$B$1)/365, $G21, $H21, $D21)) * $F21</f>
        <v/>
      </c>
      <c r="AV21" s="60">
        <f>(BSPrice($B21*0.8,$J21+0.05, $K21, $C21, ($I21-$B$1)/365, $G21, $H21, $D21) - BSPrice($B21,$J21, $K21, $C21, ($I21-$B$1)/365, $G21, $H21, $D21)) * $F21</f>
        <v/>
      </c>
      <c r="AW21" s="60">
        <f>(BSPrice($B21*0.8,$J21+0.1, $K21, $C21, ($I21-$B$1)/365, $G21, $H21, $D21) - BSPrice($B21,$J21, $K21, $C21, ($I21-$B$1)/365, $G21, $H21, $D21)) * $F21</f>
        <v/>
      </c>
      <c r="AX21" s="60">
        <f>(BSPrice($B21*0.8,$J21+0.2, $K21, $C21, ($I21-$B$1)/365, $G21, $H21, $D21) - BSPrice($B21,$J21, $K21, $C21, ($I21-$B$1)/365, $G21, $H21, $D21)) * $F21</f>
        <v/>
      </c>
      <c r="AY21" s="60">
        <f>(BSPrice($B21*0.9,$J21+-0.05, $K21, $C21, ($I21-$B$1)/365, $G21, $H21, $D21) - BSPrice($B21,$J21, $K21, $C21, ($I21-$B$1)/365, $G21, $H21, $D21)) * $F21</f>
        <v/>
      </c>
      <c r="AZ21" s="60">
        <f>(BSPrice($B21*0.9,$J21+-0.02, $K21, $C21, ($I21-$B$1)/365, $G21, $H21, $D21) - BSPrice($B21,$J21, $K21, $C21, ($I21-$B$1)/365, $G21, $H21, $D21)) * $F21</f>
        <v/>
      </c>
      <c r="BA21" s="60">
        <f>(BSPrice($B21*0.9,$J21+0, $K21, $C21, ($I21-$B$1)/365, $G21, $H21, $D21) - BSPrice($B21,$J21, $K21, $C21, ($I21-$B$1)/365, $G21, $H21, $D21)) * $F21</f>
        <v/>
      </c>
      <c r="BB21" s="60">
        <f>(BSPrice($B21*0.9,$J21+0.02, $K21, $C21, ($I21-$B$1)/365, $G21, $H21, $D21) - BSPrice($B21,$J21, $K21, $C21, ($I21-$B$1)/365, $G21, $H21, $D21)) * $F21</f>
        <v/>
      </c>
      <c r="BC21" s="60">
        <f>(BSPrice($B21*0.9,$J21+0.05, $K21, $C21, ($I21-$B$1)/365, $G21, $H21, $D21) - BSPrice($B21,$J21, $K21, $C21, ($I21-$B$1)/365, $G21, $H21, $D21)) * $F21</f>
        <v/>
      </c>
      <c r="BD21" s="60">
        <f>(BSPrice($B21*0.9,$J21+0.1, $K21, $C21, ($I21-$B$1)/365, $G21, $H21, $D21) - BSPrice($B21,$J21, $K21, $C21, ($I21-$B$1)/365, $G21, $H21, $D21)) * $F21</f>
        <v/>
      </c>
      <c r="BE21" s="60">
        <f>(BSPrice($B21*0.9,$J21+0.2, $K21, $C21, ($I21-$B$1)/365, $G21, $H21, $D21) - BSPrice($B21,$J21, $K21, $C21, ($I21-$B$1)/365, $G21, $H21, $D21)) * $F21</f>
        <v/>
      </c>
      <c r="BF21" s="60">
        <f>(BSPrice($B21*0.95,$J21+-0.05, $K21, $C21, ($I21-$B$1)/365, $G21, $H21, $D21) - BSPrice($B21,$J21, $K21, $C21, ($I21-$B$1)/365, $G21, $H21, $D21)) * $F21</f>
        <v/>
      </c>
      <c r="BG21" s="60">
        <f>(BSPrice($B21*0.95,$J21+-0.02, $K21, $C21, ($I21-$B$1)/365, $G21, $H21, $D21) - BSPrice($B21,$J21, $K21, $C21, ($I21-$B$1)/365, $G21, $H21, $D21)) * $F21</f>
        <v/>
      </c>
      <c r="BH21" s="60">
        <f>(BSPrice($B21*0.95,$J21+0, $K21, $C21, ($I21-$B$1)/365, $G21, $H21, $D21) - BSPrice($B21,$J21, $K21, $C21, ($I21-$B$1)/365, $G21, $H21, $D21)) * $F21</f>
        <v/>
      </c>
      <c r="BI21" s="60">
        <f>(BSPrice($B21*0.95,$J21+0.02, $K21, $C21, ($I21-$B$1)/365, $G21, $H21, $D21) - BSPrice($B21,$J21, $K21, $C21, ($I21-$B$1)/365, $G21, $H21, $D21)) * $F21</f>
        <v/>
      </c>
      <c r="BJ21" s="60">
        <f>(BSPrice($B21*0.95,$J21+0.05, $K21, $C21, ($I21-$B$1)/365, $G21, $H21, $D21) - BSPrice($B21,$J21, $K21, $C21, ($I21-$B$1)/365, $G21, $H21, $D21)) * $F21</f>
        <v/>
      </c>
      <c r="BK21" s="60">
        <f>(BSPrice($B21*0.95,$J21+0.1, $K21, $C21, ($I21-$B$1)/365, $G21, $H21, $D21) - BSPrice($B21,$J21, $K21, $C21, ($I21-$B$1)/365, $G21, $H21, $D21)) * $F21</f>
        <v/>
      </c>
      <c r="BL21" s="60">
        <f>(BSPrice($B21*0.95,$J21+0.2, $K21, $C21, ($I21-$B$1)/365, $G21, $H21, $D21) - BSPrice($B21,$J21, $K21, $C21, ($I21-$B$1)/365, $G21, $H21, $D21)) * $F21</f>
        <v/>
      </c>
      <c r="BM21" s="60">
        <f>(BSPrice($B21*1,$J21+-0.05, $K21, $C21, ($I21-$B$1)/365, $G21, $H21, $D21) - BSPrice($B21,$J21, $K21, $C21, ($I21-$B$1)/365, $G21, $H21, $D21)) * $F21</f>
        <v/>
      </c>
      <c r="BN21" s="60">
        <f>(BSPrice($B21*1,$J21+-0.02, $K21, $C21, ($I21-$B$1)/365, $G21, $H21, $D21) - BSPrice($B21,$J21, $K21, $C21, ($I21-$B$1)/365, $G21, $H21, $D21)) * $F21</f>
        <v/>
      </c>
      <c r="BO21" s="60">
        <f>(BSPrice($B21*1,$J21+0, $K21, $C21, ($I21-$B$1)/365, $G21, $H21, $D21) - BSPrice($B21,$J21, $K21, $C21, ($I21-$B$1)/365, $G21, $H21, $D21)) * $F21</f>
        <v/>
      </c>
      <c r="BP21" s="60">
        <f>(BSPrice($B21*1,$J21+0.02, $K21, $C21, ($I21-$B$1)/365, $G21, $H21, $D21) - BSPrice($B21,$J21, $K21, $C21, ($I21-$B$1)/365, $G21, $H21, $D21)) * $F21</f>
        <v/>
      </c>
      <c r="BQ21" s="60">
        <f>(BSPrice($B21*1,$J21+0.05, $K21, $C21, ($I21-$B$1)/365, $G21, $H21, $D21) - BSPrice($B21,$J21, $K21, $C21, ($I21-$B$1)/365, $G21, $H21, $D21)) * $F21</f>
        <v/>
      </c>
      <c r="BR21" s="60">
        <f>(BSPrice($B21*1,$J21+0.1, $K21, $C21, ($I21-$B$1)/365, $G21, $H21, $D21) - BSPrice($B21,$J21, $K21, $C21, ($I21-$B$1)/365, $G21, $H21, $D21)) * $F21</f>
        <v/>
      </c>
      <c r="BS21" s="60">
        <f>(BSPrice($B21*1,$J21+0.2, $K21, $C21, ($I21-$B$1)/365, $G21, $H21, $D21) - BSPrice($B21,$J21, $K21, $C21, ($I21-$B$1)/365, $G21, $H21, $D21)) * $F21</f>
        <v/>
      </c>
      <c r="BT21" s="60">
        <f>(BSPrice($B21*1.05,$J21+-0.05, $K21, $C21, ($I21-$B$1)/365, $G21, $H21, $D21) - BSPrice($B21,$J21, $K21, $C21, ($I21-$B$1)/365, $G21, $H21, $D21)) * $F21</f>
        <v/>
      </c>
      <c r="BU21" s="60">
        <f>(BSPrice($B21*1.05,$J21+-0.02, $K21, $C21, ($I21-$B$1)/365, $G21, $H21, $D21) - BSPrice($B21,$J21, $K21, $C21, ($I21-$B$1)/365, $G21, $H21, $D21)) * $F21</f>
        <v/>
      </c>
      <c r="BV21" s="60">
        <f>(BSPrice($B21*1.05,$J21+0, $K21, $C21, ($I21-$B$1)/365, $G21, $H21, $D21) - BSPrice($B21,$J21, $K21, $C21, ($I21-$B$1)/365, $G21, $H21, $D21)) * $F21</f>
        <v/>
      </c>
      <c r="BW21" s="60">
        <f>(BSPrice($B21*1.05,$J21+0.02, $K21, $C21, ($I21-$B$1)/365, $G21, $H21, $D21) - BSPrice($B21,$J21, $K21, $C21, ($I21-$B$1)/365, $G21, $H21, $D21)) * $F21</f>
        <v/>
      </c>
      <c r="BX21" s="60">
        <f>(BSPrice($B21*1.05,$J21+0.05, $K21, $C21, ($I21-$B$1)/365, $G21, $H21, $D21) - BSPrice($B21,$J21, $K21, $C21, ($I21-$B$1)/365, $G21, $H21, $D21)) * $F21</f>
        <v/>
      </c>
      <c r="BY21" s="60">
        <f>(BSPrice($B21*1.05,$J21+0.1, $K21, $C21, ($I21-$B$1)/365, $G21, $H21, $D21) - BSPrice($B21,$J21, $K21, $C21, ($I21-$B$1)/365, $G21, $H21, $D21)) * $F21</f>
        <v/>
      </c>
      <c r="BZ21" s="60">
        <f>(BSPrice($B21*1.05,$J21+0.2, $K21, $C21, ($I21-$B$1)/365, $G21, $H21, $D21) - BSPrice($B21,$J21, $K21, $C21, ($I21-$B$1)/365, $G21, $H21, $D21)) * $F21</f>
        <v/>
      </c>
      <c r="CA21" s="60">
        <f>(BSPrice($B21*1.1,$J21+-0.05, $K21, $C21, ($I21-$B$1)/365, $G21, $H21, $D21) - BSPrice($B21,$J21, $K21, $C21, ($I21-$B$1)/365, $G21, $H21, $D21)) * $F21</f>
        <v/>
      </c>
      <c r="CB21" s="60">
        <f>(BSPrice($B21*1.1,$J21+-0.02, $K21, $C21, ($I21-$B$1)/365, $G21, $H21, $D21) - BSPrice($B21,$J21, $K21, $C21, ($I21-$B$1)/365, $G21, $H21, $D21)) * $F21</f>
        <v/>
      </c>
      <c r="CC21" s="60">
        <f>(BSPrice($B21*1.1,$J21+0, $K21, $C21, ($I21-$B$1)/365, $G21, $H21, $D21) - BSPrice($B21,$J21, $K21, $C21, ($I21-$B$1)/365, $G21, $H21, $D21)) * $F21</f>
        <v/>
      </c>
      <c r="CD21" s="60">
        <f>(BSPrice($B21*1.1,$J21+0.02, $K21, $C21, ($I21-$B$1)/365, $G21, $H21, $D21) - BSPrice($B21,$J21, $K21, $C21, ($I21-$B$1)/365, $G21, $H21, $D21)) * $F21</f>
        <v/>
      </c>
      <c r="CE21" s="60">
        <f>(BSPrice($B21*1.1,$J21+0.05, $K21, $C21, ($I21-$B$1)/365, $G21, $H21, $D21) - BSPrice($B21,$J21, $K21, $C21, ($I21-$B$1)/365, $G21, $H21, $D21)) * $F21</f>
        <v/>
      </c>
      <c r="CF21" s="60">
        <f>(BSPrice($B21*1.1,$J21+0.1, $K21, $C21, ($I21-$B$1)/365, $G21, $H21, $D21) - BSPrice($B21,$J21, $K21, $C21, ($I21-$B$1)/365, $G21, $H21, $D21)) * $F21</f>
        <v/>
      </c>
      <c r="CG21" s="60">
        <f>(BSPrice($B21*1.1,$J21+0.2, $K21, $C21, ($I21-$B$1)/365, $G21, $H21, $D21) - BSPrice($B21,$J21, $K21, $C21, ($I21-$B$1)/365, $G21, $H21, $D21)) * $F21</f>
        <v/>
      </c>
      <c r="CH21" s="60">
        <f>(BSPrice($B21*1.2,$J21+-0.05, $K21, $C21, ($I21-$B$1)/365, $G21, $H21, $D21) - BSPrice($B21,$J21, $K21, $C21, ($I21-$B$1)/365, $G21, $H21, $D21)) * $F21</f>
        <v/>
      </c>
      <c r="CI21" s="60">
        <f>(BSPrice($B21*1.2,$J21+-0.02, $K21, $C21, ($I21-$B$1)/365, $G21, $H21, $D21) - BSPrice($B21,$J21, $K21, $C21, ($I21-$B$1)/365, $G21, $H21, $D21)) * $F21</f>
        <v/>
      </c>
      <c r="CJ21" s="60">
        <f>(BSPrice($B21*1.2,$J21+0, $K21, $C21, ($I21-$B$1)/365, $G21, $H21, $D21) - BSPrice($B21,$J21, $K21, $C21, ($I21-$B$1)/365, $G21, $H21, $D21)) * $F21</f>
        <v/>
      </c>
      <c r="CK21" s="60">
        <f>(BSPrice($B21*1.2,$J21+0.02, $K21, $C21, ($I21-$B$1)/365, $G21, $H21, $D21) - BSPrice($B21,$J21, $K21, $C21, ($I21-$B$1)/365, $G21, $H21, $D21)) * $F21</f>
        <v/>
      </c>
      <c r="CL21" s="60">
        <f>(BSPrice($B21*1.2,$J21+0.05, $K21, $C21, ($I21-$B$1)/365, $G21, $H21, $D21) - BSPrice($B21,$J21, $K21, $C21, ($I21-$B$1)/365, $G21, $H21, $D21)) * $F21</f>
        <v/>
      </c>
      <c r="CM21" s="60">
        <f>(BSPrice($B21*1.2,$J21+0.1, $K21, $C21, ($I21-$B$1)/365, $G21, $H21, $D21) - BSPrice($B21,$J21, $K21, $C21, ($I21-$B$1)/365, $G21, $H21, $D21)) * $F21</f>
        <v/>
      </c>
      <c r="CN21" s="60">
        <f>(BSPrice($B21*1.2,$J21+0.2, $K21, $C21, ($I21-$B$1)/365, $G21, $H21, $D21) - BSPrice($B21,$J21, $K21, $C21, ($I21-$B$1)/365, $G21, $H21, $D21)) * $F21</f>
        <v/>
      </c>
    </row>
    <row r="22">
      <c r="A22" s="3" t="inlineStr">
        <is>
          <t>SPX Index</t>
        </is>
      </c>
      <c r="B22" s="4">
        <f>VLOOKUP(A22,PriceData!$K$4:$L$6,2,FALSE)</f>
        <v/>
      </c>
      <c r="C22" s="46">
        <f>VLOOKUP(A22,PriceData!$K$4:$M$6,3,FALSE)</f>
        <v/>
      </c>
      <c r="D22" s="4" t="inlineStr">
        <is>
          <t>Option</t>
        </is>
      </c>
      <c r="E22" s="4" t="inlineStr">
        <is>
          <t>USD</t>
        </is>
      </c>
      <c r="F22" s="4" t="n">
        <v>50</v>
      </c>
      <c r="G22" s="4" t="n">
        <v>1331</v>
      </c>
      <c r="H22" s="4" t="inlineStr">
        <is>
          <t>Call</t>
        </is>
      </c>
      <c r="I22" s="5" t="n">
        <v>40347</v>
      </c>
      <c r="J22" s="46">
        <f>FindImpliedVol(A22, D22, G22, I22)</f>
        <v/>
      </c>
      <c r="K22" s="30">
        <f>VLOOKUP(I22,PriceData!$A$5:$D$7,MATCH($E22,PriceData!$A$4:$D$4,0),FALSE)</f>
        <v/>
      </c>
      <c r="L22" s="2">
        <f>BSPrice($B22,$J22, $K22, $C22, ($I22-$B$1)/365, $G22, $H22, $D22)</f>
        <v/>
      </c>
      <c r="M22" s="2">
        <f>F22*L22</f>
        <v/>
      </c>
      <c r="N22" s="4" t="inlineStr">
        <is>
          <t>Exch</t>
        </is>
      </c>
      <c r="P22" s="60">
        <f>BSDelta(B22, J22, K22, C22, (I22-$B$1)/365, G22, H22, D22)</f>
        <v/>
      </c>
      <c r="Q22" s="60">
        <f>BSGamma(B22, J22, K22, C22, (I22-$B$1)/365, G22, D22)</f>
        <v/>
      </c>
      <c r="R22" s="58">
        <f>BSVega(B22, J22, K22, C22, (I22-$B$1)/365,G22, D22)</f>
        <v/>
      </c>
      <c r="S22" s="58">
        <f>BSVolga(B22, J22, K22, C22, (I22-$B$1)/365,G22, D22)</f>
        <v/>
      </c>
      <c r="T22" s="58">
        <f>BSVanna(B22,J22,K22, C22, (I22-$B$1)/365, G22, D22)</f>
        <v/>
      </c>
      <c r="U22" s="2">
        <f>BSRho(B22, J22, K22, C22, (I22-$B$1)/365, G22, H22, D22)</f>
        <v/>
      </c>
      <c r="V22" s="65">
        <f>$F22*$P22</f>
        <v/>
      </c>
      <c r="W22" s="65">
        <f>$F22*$Q22</f>
        <v/>
      </c>
      <c r="X22" s="78">
        <f>$F22*R22</f>
        <v/>
      </c>
      <c r="Y22" s="78">
        <f>$F22*S22</f>
        <v/>
      </c>
      <c r="Z22" s="78">
        <f>$F22*T22</f>
        <v/>
      </c>
      <c r="AA22" s="78">
        <f>$F22*U22</f>
        <v/>
      </c>
      <c r="AB22" s="78">
        <f>(BSPrice($B22*0.8,$J22, $K22, $C22, ($I22-$B$1)/365, $G22, $H22, $D22) - BSPrice($B22,$J22, $K22, $C22, ($I22-$B$1)/365, $G22, $H22, $D22)) * $F22</f>
        <v/>
      </c>
      <c r="AC22" s="78">
        <f>(BSPrice($B22*0.9,$J22, $K22, $C22, ($I22-$B$1)/365, $G22, $H22, $D22) - BSPrice($B22,$J22, $K22, $C22, ($I22-$B$1)/365, $G22, $H22, $D22)) * $F22</f>
        <v/>
      </c>
      <c r="AD22" s="78">
        <f>(BSPrice($B22*0.95,$J22, $K22, $C22, ($I22-$B$1)/365, $G22, $H22, $D22) - BSPrice($B22,$J22, $K22, $C22, ($I22-$B$1)/365, $G22, $H22, $D22)) * $F22</f>
        <v/>
      </c>
      <c r="AE22" s="78">
        <f>(BSPrice($B22*0.98,$J22, $K22, $C22, ($I22-$B$1)/365, $G22, $H22, $D22) - BSPrice($B22,$J22, $K22, $C22, ($I22-$B$1)/365, $G22, $H22, $D22)) * $F22</f>
        <v/>
      </c>
      <c r="AF22" s="78">
        <f>(BSPrice($B22*1.02,$J22, $K22, $C22, ($I22-$B$1)/365, $G22, $H22, $D22) - BSPrice($B22,$J22, $K22, $C22, ($I22-$B$1)/365, $G22, $H22, $D22)) * $F22</f>
        <v/>
      </c>
      <c r="AG22" s="78">
        <f>(BSPrice($B22*1.05,$J22, $K22, $C22, ($I22-$B$1)/365, $G22, $H22, $D22) - BSPrice($B22,$J22, $K22, $C22, ($I22-$B$1)/365, $G22, $H22, $D22)) * $F22</f>
        <v/>
      </c>
      <c r="AH22" s="78">
        <f>(BSPrice($B22*1.1,$J22, $K22, $C22, ($I22-$B$1)/365, $G22, $H22, $D22) - BSPrice($B22,$J22, $K22, $C22, ($I22-$B$1)/365, $G22, $H22, $D22)) * $F22</f>
        <v/>
      </c>
      <c r="AI22" s="78">
        <f>(BSPrice($B22*1.2,$J22, $K22, $C22, ($I22-$B$1)/365, $G22, $H22, $D22) - BSPrice($B22,$J22, $K22, $C22, ($I22-$B$1)/365, $G22, $H22, $D22)) * $F22</f>
        <v/>
      </c>
      <c r="AJ22" s="78">
        <f>(BSPrice($B22,$J22-0.1, $K22, $C22, ($I22-$B$1)/365, $G22, $H22, $D22) - BSPrice($B22,$J22, $K22, $C22, ($I22-$B$1)/365, $G22, $H22, $D22)) * $F22</f>
        <v/>
      </c>
      <c r="AK22" s="78">
        <f>(BSPrice($B22,$J22-0.05,$K22,$C22,($I22-$B$1)/365,$G22,$H22,$D22)-BSPrice($B22,$J22,$K22,$C22,($I22-$B$1)/365,$G22,$H22,$D22))*$F22</f>
        <v/>
      </c>
      <c r="AL22" s="78">
        <f>(BSPrice($B22,$J22-0.02, $K22, $C22, ($I22-$B$1)/365, $G22, $H22, $D22) - BSPrice($B22,$J22, $K22, $C22, ($I22-$B$1)/365, $G22, $H22, $D22)) * $F22</f>
        <v/>
      </c>
      <c r="AM22" s="78">
        <f>(BSPrice($B22,$J22-0.01, $K22, $C22, ($I22-$B$1)/365, $G22, $H22, $D22) - BSPrice($B22,$J22, $K22, $C22, ($I22-$B$1)/365, $G22, $H22, $D22)) * $F22</f>
        <v/>
      </c>
      <c r="AN22" s="78">
        <f>(BSPrice($B22,$J22+0.01, $K22, $C22, ($I22-$B$1)/365, $G22, $H22, $D22) - BSPrice($B22,$J22, $K22, $C22, ($I22-$B$1)/365, $G22, $H22, $D22)) * $F22</f>
        <v/>
      </c>
      <c r="AO22" s="78">
        <f>(BSPrice($B22,$J22+0.02, $K22, $C22, ($I22-$B$1)/365, $G22, $H22, $D22) - BSPrice($B22,$J22, $K22, $C22, ($I22-$B$1)/365, $G22, $H22, $D22)) * $F22</f>
        <v/>
      </c>
      <c r="AP22" s="78">
        <f>(BSPrice($B22,$J22+0.05, $K22, $C22, ($I22-$B$1)/365, $G22, $H22, $D22) - BSPrice($B22,$J22, $K22, $C22, ($I22-$B$1)/365, $G22, $H22, $D22)) * $F22</f>
        <v/>
      </c>
      <c r="AQ22" s="78">
        <f>(BSPrice($B22,$J22+0.1, $K22, $C22, ($I22-$B$1)/365, $G22, $H22, $D22) - BSPrice($B22,$J22, $K22, $C22, ($I22-$B$1)/365, $G22, $H22, $D22)) * $F22</f>
        <v/>
      </c>
      <c r="AR22" s="60">
        <f>(BSPrice($B22*0.8,$J22+-0.05, $K22, $C22, ($I22-$B$1)/365, $G22, $H22, $D22) - BSPrice($B22,$J22, $K22, $C22, ($I22-$B$1)/365, $G22, $H22, $D22)) * $F22</f>
        <v/>
      </c>
      <c r="AS22" s="60">
        <f>(BSPrice($B22*0.8,$J22+-0.02, $K22, $C22, ($I22-$B$1)/365, $G22, $H22, $D22) - BSPrice($B22,$J22, $K22, $C22, ($I22-$B$1)/365, $G22, $H22, $D22)) * $F22</f>
        <v/>
      </c>
      <c r="AT22" s="60">
        <f>(BSPrice($B22*0.8,$J22+0, $K22, $C22, ($I22-$B$1)/365, $G22, $H22, $D22) - BSPrice($B22,$J22, $K22, $C22, ($I22-$B$1)/365, $G22, $H22, $D22)) * $F22</f>
        <v/>
      </c>
      <c r="AU22" s="60">
        <f>(BSPrice($B22*0.8,$J22+0.02, $K22, $C22, ($I22-$B$1)/365, $G22, $H22, $D22) - BSPrice($B22,$J22, $K22, $C22, ($I22-$B$1)/365, $G22, $H22, $D22)) * $F22</f>
        <v/>
      </c>
      <c r="AV22" s="60">
        <f>(BSPrice($B22*0.8,$J22+0.05, $K22, $C22, ($I22-$B$1)/365, $G22, $H22, $D22) - BSPrice($B22,$J22, $K22, $C22, ($I22-$B$1)/365, $G22, $H22, $D22)) * $F22</f>
        <v/>
      </c>
      <c r="AW22" s="60">
        <f>(BSPrice($B22*0.8,$J22+0.1, $K22, $C22, ($I22-$B$1)/365, $G22, $H22, $D22) - BSPrice($B22,$J22, $K22, $C22, ($I22-$B$1)/365, $G22, $H22, $D22)) * $F22</f>
        <v/>
      </c>
      <c r="AX22" s="60">
        <f>(BSPrice($B22*0.8,$J22+0.2, $K22, $C22, ($I22-$B$1)/365, $G22, $H22, $D22) - BSPrice($B22,$J22, $K22, $C22, ($I22-$B$1)/365, $G22, $H22, $D22)) * $F22</f>
        <v/>
      </c>
      <c r="AY22" s="60">
        <f>(BSPrice($B22*0.9,$J22+-0.05, $K22, $C22, ($I22-$B$1)/365, $G22, $H22, $D22) - BSPrice($B22,$J22, $K22, $C22, ($I22-$B$1)/365, $G22, $H22, $D22)) * $F22</f>
        <v/>
      </c>
      <c r="AZ22" s="60">
        <f>(BSPrice($B22*0.9,$J22+-0.02, $K22, $C22, ($I22-$B$1)/365, $G22, $H22, $D22) - BSPrice($B22,$J22, $K22, $C22, ($I22-$B$1)/365, $G22, $H22, $D22)) * $F22</f>
        <v/>
      </c>
      <c r="BA22" s="60">
        <f>(BSPrice($B22*0.9,$J22+0, $K22, $C22, ($I22-$B$1)/365, $G22, $H22, $D22) - BSPrice($B22,$J22, $K22, $C22, ($I22-$B$1)/365, $G22, $H22, $D22)) * $F22</f>
        <v/>
      </c>
      <c r="BB22" s="60">
        <f>(BSPrice($B22*0.9,$J22+0.02, $K22, $C22, ($I22-$B$1)/365, $G22, $H22, $D22) - BSPrice($B22,$J22, $K22, $C22, ($I22-$B$1)/365, $G22, $H22, $D22)) * $F22</f>
        <v/>
      </c>
      <c r="BC22" s="60">
        <f>(BSPrice($B22*0.9,$J22+0.05, $K22, $C22, ($I22-$B$1)/365, $G22, $H22, $D22) - BSPrice($B22,$J22, $K22, $C22, ($I22-$B$1)/365, $G22, $H22, $D22)) * $F22</f>
        <v/>
      </c>
      <c r="BD22" s="60">
        <f>(BSPrice($B22*0.9,$J22+0.1, $K22, $C22, ($I22-$B$1)/365, $G22, $H22, $D22) - BSPrice($B22,$J22, $K22, $C22, ($I22-$B$1)/365, $G22, $H22, $D22)) * $F22</f>
        <v/>
      </c>
      <c r="BE22" s="60">
        <f>(BSPrice($B22*0.9,$J22+0.2, $K22, $C22, ($I22-$B$1)/365, $G22, $H22, $D22) - BSPrice($B22,$J22, $K22, $C22, ($I22-$B$1)/365, $G22, $H22, $D22)) * $F22</f>
        <v/>
      </c>
      <c r="BF22" s="60">
        <f>(BSPrice($B22*0.95,$J22+-0.05, $K22, $C22, ($I22-$B$1)/365, $G22, $H22, $D22) - BSPrice($B22,$J22, $K22, $C22, ($I22-$B$1)/365, $G22, $H22, $D22)) * $F22</f>
        <v/>
      </c>
      <c r="BG22" s="60">
        <f>(BSPrice($B22*0.95,$J22+-0.02, $K22, $C22, ($I22-$B$1)/365, $G22, $H22, $D22) - BSPrice($B22,$J22, $K22, $C22, ($I22-$B$1)/365, $G22, $H22, $D22)) * $F22</f>
        <v/>
      </c>
      <c r="BH22" s="60">
        <f>(BSPrice($B22*0.95,$J22+0, $K22, $C22, ($I22-$B$1)/365, $G22, $H22, $D22) - BSPrice($B22,$J22, $K22, $C22, ($I22-$B$1)/365, $G22, $H22, $D22)) * $F22</f>
        <v/>
      </c>
      <c r="BI22" s="60">
        <f>(BSPrice($B22*0.95,$J22+0.02, $K22, $C22, ($I22-$B$1)/365, $G22, $H22, $D22) - BSPrice($B22,$J22, $K22, $C22, ($I22-$B$1)/365, $G22, $H22, $D22)) * $F22</f>
        <v/>
      </c>
      <c r="BJ22" s="60">
        <f>(BSPrice($B22*0.95,$J22+0.05, $K22, $C22, ($I22-$B$1)/365, $G22, $H22, $D22) - BSPrice($B22,$J22, $K22, $C22, ($I22-$B$1)/365, $G22, $H22, $D22)) * $F22</f>
        <v/>
      </c>
      <c r="BK22" s="60">
        <f>(BSPrice($B22*0.95,$J22+0.1, $K22, $C22, ($I22-$B$1)/365, $G22, $H22, $D22) - BSPrice($B22,$J22, $K22, $C22, ($I22-$B$1)/365, $G22, $H22, $D22)) * $F22</f>
        <v/>
      </c>
      <c r="BL22" s="60">
        <f>(BSPrice($B22*0.95,$J22+0.2, $K22, $C22, ($I22-$B$1)/365, $G22, $H22, $D22) - BSPrice($B22,$J22, $K22, $C22, ($I22-$B$1)/365, $G22, $H22, $D22)) * $F22</f>
        <v/>
      </c>
      <c r="BM22" s="60">
        <f>(BSPrice($B22*1,$J22+-0.05, $K22, $C22, ($I22-$B$1)/365, $G22, $H22, $D22) - BSPrice($B22,$J22, $K22, $C22, ($I22-$B$1)/365, $G22, $H22, $D22)) * $F22</f>
        <v/>
      </c>
      <c r="BN22" s="60">
        <f>(BSPrice($B22*1,$J22+-0.02, $K22, $C22, ($I22-$B$1)/365, $G22, $H22, $D22) - BSPrice($B22,$J22, $K22, $C22, ($I22-$B$1)/365, $G22, $H22, $D22)) * $F22</f>
        <v/>
      </c>
      <c r="BO22" s="60">
        <f>(BSPrice($B22*1,$J22+0, $K22, $C22, ($I22-$B$1)/365, $G22, $H22, $D22) - BSPrice($B22,$J22, $K22, $C22, ($I22-$B$1)/365, $G22, $H22, $D22)) * $F22</f>
        <v/>
      </c>
      <c r="BP22" s="60">
        <f>(BSPrice($B22*1,$J22+0.02, $K22, $C22, ($I22-$B$1)/365, $G22, $H22, $D22) - BSPrice($B22,$J22, $K22, $C22, ($I22-$B$1)/365, $G22, $H22, $D22)) * $F22</f>
        <v/>
      </c>
      <c r="BQ22" s="60">
        <f>(BSPrice($B22*1,$J22+0.05, $K22, $C22, ($I22-$B$1)/365, $G22, $H22, $D22) - BSPrice($B22,$J22, $K22, $C22, ($I22-$B$1)/365, $G22, $H22, $D22)) * $F22</f>
        <v/>
      </c>
      <c r="BR22" s="60">
        <f>(BSPrice($B22*1,$J22+0.1, $K22, $C22, ($I22-$B$1)/365, $G22, $H22, $D22) - BSPrice($B22,$J22, $K22, $C22, ($I22-$B$1)/365, $G22, $H22, $D22)) * $F22</f>
        <v/>
      </c>
      <c r="BS22" s="60">
        <f>(BSPrice($B22*1,$J22+0.2, $K22, $C22, ($I22-$B$1)/365, $G22, $H22, $D22) - BSPrice($B22,$J22, $K22, $C22, ($I22-$B$1)/365, $G22, $H22, $D22)) * $F22</f>
        <v/>
      </c>
      <c r="BT22" s="60">
        <f>(BSPrice($B22*1.05,$J22+-0.05, $K22, $C22, ($I22-$B$1)/365, $G22, $H22, $D22) - BSPrice($B22,$J22, $K22, $C22, ($I22-$B$1)/365, $G22, $H22, $D22)) * $F22</f>
        <v/>
      </c>
      <c r="BU22" s="60">
        <f>(BSPrice($B22*1.05,$J22+-0.02, $K22, $C22, ($I22-$B$1)/365, $G22, $H22, $D22) - BSPrice($B22,$J22, $K22, $C22, ($I22-$B$1)/365, $G22, $H22, $D22)) * $F22</f>
        <v/>
      </c>
      <c r="BV22" s="60">
        <f>(BSPrice($B22*1.05,$J22+0, $K22, $C22, ($I22-$B$1)/365, $G22, $H22, $D22) - BSPrice($B22,$J22, $K22, $C22, ($I22-$B$1)/365, $G22, $H22, $D22)) * $F22</f>
        <v/>
      </c>
      <c r="BW22" s="60">
        <f>(BSPrice($B22*1.05,$J22+0.02, $K22, $C22, ($I22-$B$1)/365, $G22, $H22, $D22) - BSPrice($B22,$J22, $K22, $C22, ($I22-$B$1)/365, $G22, $H22, $D22)) * $F22</f>
        <v/>
      </c>
      <c r="BX22" s="60">
        <f>(BSPrice($B22*1.05,$J22+0.05, $K22, $C22, ($I22-$B$1)/365, $G22, $H22, $D22) - BSPrice($B22,$J22, $K22, $C22, ($I22-$B$1)/365, $G22, $H22, $D22)) * $F22</f>
        <v/>
      </c>
      <c r="BY22" s="60">
        <f>(BSPrice($B22*1.05,$J22+0.1, $K22, $C22, ($I22-$B$1)/365, $G22, $H22, $D22) - BSPrice($B22,$J22, $K22, $C22, ($I22-$B$1)/365, $G22, $H22, $D22)) * $F22</f>
        <v/>
      </c>
      <c r="BZ22" s="60">
        <f>(BSPrice($B22*1.05,$J22+0.2, $K22, $C22, ($I22-$B$1)/365, $G22, $H22, $D22) - BSPrice($B22,$J22, $K22, $C22, ($I22-$B$1)/365, $G22, $H22, $D22)) * $F22</f>
        <v/>
      </c>
      <c r="CA22" s="60">
        <f>(BSPrice($B22*1.1,$J22+-0.05, $K22, $C22, ($I22-$B$1)/365, $G22, $H22, $D22) - BSPrice($B22,$J22, $K22, $C22, ($I22-$B$1)/365, $G22, $H22, $D22)) * $F22</f>
        <v/>
      </c>
      <c r="CB22" s="60">
        <f>(BSPrice($B22*1.1,$J22+-0.02, $K22, $C22, ($I22-$B$1)/365, $G22, $H22, $D22) - BSPrice($B22,$J22, $K22, $C22, ($I22-$B$1)/365, $G22, $H22, $D22)) * $F22</f>
        <v/>
      </c>
      <c r="CC22" s="60">
        <f>(BSPrice($B22*1.1,$J22+0, $K22, $C22, ($I22-$B$1)/365, $G22, $H22, $D22) - BSPrice($B22,$J22, $K22, $C22, ($I22-$B$1)/365, $G22, $H22, $D22)) * $F22</f>
        <v/>
      </c>
      <c r="CD22" s="60">
        <f>(BSPrice($B22*1.1,$J22+0.02, $K22, $C22, ($I22-$B$1)/365, $G22, $H22, $D22) - BSPrice($B22,$J22, $K22, $C22, ($I22-$B$1)/365, $G22, $H22, $D22)) * $F22</f>
        <v/>
      </c>
      <c r="CE22" s="60">
        <f>(BSPrice($B22*1.1,$J22+0.05, $K22, $C22, ($I22-$B$1)/365, $G22, $H22, $D22) - BSPrice($B22,$J22, $K22, $C22, ($I22-$B$1)/365, $G22, $H22, $D22)) * $F22</f>
        <v/>
      </c>
      <c r="CF22" s="60">
        <f>(BSPrice($B22*1.1,$J22+0.1, $K22, $C22, ($I22-$B$1)/365, $G22, $H22, $D22) - BSPrice($B22,$J22, $K22, $C22, ($I22-$B$1)/365, $G22, $H22, $D22)) * $F22</f>
        <v/>
      </c>
      <c r="CG22" s="60">
        <f>(BSPrice($B22*1.1,$J22+0.2, $K22, $C22, ($I22-$B$1)/365, $G22, $H22, $D22) - BSPrice($B22,$J22, $K22, $C22, ($I22-$B$1)/365, $G22, $H22, $D22)) * $F22</f>
        <v/>
      </c>
      <c r="CH22" s="60">
        <f>(BSPrice($B22*1.2,$J22+-0.05, $K22, $C22, ($I22-$B$1)/365, $G22, $H22, $D22) - BSPrice($B22,$J22, $K22, $C22, ($I22-$B$1)/365, $G22, $H22, $D22)) * $F22</f>
        <v/>
      </c>
      <c r="CI22" s="60">
        <f>(BSPrice($B22*1.2,$J22+-0.02, $K22, $C22, ($I22-$B$1)/365, $G22, $H22, $D22) - BSPrice($B22,$J22, $K22, $C22, ($I22-$B$1)/365, $G22, $H22, $D22)) * $F22</f>
        <v/>
      </c>
      <c r="CJ22" s="60">
        <f>(BSPrice($B22*1.2,$J22+0, $K22, $C22, ($I22-$B$1)/365, $G22, $H22, $D22) - BSPrice($B22,$J22, $K22, $C22, ($I22-$B$1)/365, $G22, $H22, $D22)) * $F22</f>
        <v/>
      </c>
      <c r="CK22" s="60">
        <f>(BSPrice($B22*1.2,$J22+0.02, $K22, $C22, ($I22-$B$1)/365, $G22, $H22, $D22) - BSPrice($B22,$J22, $K22, $C22, ($I22-$B$1)/365, $G22, $H22, $D22)) * $F22</f>
        <v/>
      </c>
      <c r="CL22" s="60">
        <f>(BSPrice($B22*1.2,$J22+0.05, $K22, $C22, ($I22-$B$1)/365, $G22, $H22, $D22) - BSPrice($B22,$J22, $K22, $C22, ($I22-$B$1)/365, $G22, $H22, $D22)) * $F22</f>
        <v/>
      </c>
      <c r="CM22" s="60">
        <f>(BSPrice($B22*1.2,$J22+0.1, $K22, $C22, ($I22-$B$1)/365, $G22, $H22, $D22) - BSPrice($B22,$J22, $K22, $C22, ($I22-$B$1)/365, $G22, $H22, $D22)) * $F22</f>
        <v/>
      </c>
      <c r="CN22" s="60">
        <f>(BSPrice($B22*1.2,$J22+0.2, $K22, $C22, ($I22-$B$1)/365, $G22, $H22, $D22) - BSPrice($B22,$J22, $K22, $C22, ($I22-$B$1)/365, $G22, $H22, $D22)) * $F22</f>
        <v/>
      </c>
    </row>
    <row r="23">
      <c r="A23" s="3" t="inlineStr">
        <is>
          <t>SPX Index</t>
        </is>
      </c>
      <c r="B23" s="4">
        <f>VLOOKUP(A23,PriceData!$K$4:$L$6,2,FALSE)</f>
        <v/>
      </c>
      <c r="C23" s="46">
        <f>VLOOKUP(A23,PriceData!$K$4:$M$6,3,FALSE)</f>
        <v/>
      </c>
      <c r="D23" s="4" t="inlineStr">
        <is>
          <t>Option</t>
        </is>
      </c>
      <c r="E23" s="4" t="inlineStr">
        <is>
          <t>USD</t>
        </is>
      </c>
      <c r="F23" s="4" t="n">
        <v>50</v>
      </c>
      <c r="G23" s="4" t="n">
        <v>1298</v>
      </c>
      <c r="H23" s="4" t="inlineStr">
        <is>
          <t>Call</t>
        </is>
      </c>
      <c r="I23" s="5" t="n">
        <v>40347</v>
      </c>
      <c r="J23" s="46">
        <f>FindImpliedVol(A23, D23, G23, I23)</f>
        <v/>
      </c>
      <c r="K23" s="30">
        <f>VLOOKUP(I23,PriceData!$A$5:$D$7,MATCH($E23,PriceData!$A$4:$D$4,0),FALSE)</f>
        <v/>
      </c>
      <c r="L23" s="2">
        <f>BSPrice($B23,$J23, $K23, $C23, ($I23-$B$1)/365, $G23, $H23, $D23)</f>
        <v/>
      </c>
      <c r="M23" s="2">
        <f>F23*L23</f>
        <v/>
      </c>
      <c r="N23" s="4" t="inlineStr">
        <is>
          <t>Exch</t>
        </is>
      </c>
      <c r="P23" s="60">
        <f>BSDelta(B23, J23, K23, C23, (I23-$B$1)/365, G23, H23, D23)</f>
        <v/>
      </c>
      <c r="Q23" s="60">
        <f>BSGamma(B23, J23, K23, C23, (I23-$B$1)/365, G23, D23)</f>
        <v/>
      </c>
      <c r="R23" s="58">
        <f>BSVega(B23, J23, K23, C23, (I23-$B$1)/365,G23, D23)</f>
        <v/>
      </c>
      <c r="S23" s="58">
        <f>BSVolga(B23, J23, K23, C23, (I23-$B$1)/365,G23, D23)</f>
        <v/>
      </c>
      <c r="T23" s="58">
        <f>BSVanna(B23,J23,K23, C23, (I23-$B$1)/365, G23, D23)</f>
        <v/>
      </c>
      <c r="U23" s="2">
        <f>BSRho(B23, J23, K23, C23, (I23-$B$1)/365, G23, H23, D23)</f>
        <v/>
      </c>
      <c r="V23" s="65">
        <f>$F23*$P23</f>
        <v/>
      </c>
      <c r="W23" s="65">
        <f>$F23*$Q23</f>
        <v/>
      </c>
      <c r="X23" s="78">
        <f>$F23*R23</f>
        <v/>
      </c>
      <c r="Y23" s="78">
        <f>$F23*S23</f>
        <v/>
      </c>
      <c r="Z23" s="78">
        <f>$F23*T23</f>
        <v/>
      </c>
      <c r="AA23" s="78">
        <f>$F23*U23</f>
        <v/>
      </c>
      <c r="AB23" s="78">
        <f>(BSPrice($B23*0.8,$J23, $K23, $C23, ($I23-$B$1)/365, $G23, $H23, $D23) - BSPrice($B23,$J23, $K23, $C23, ($I23-$B$1)/365, $G23, $H23, $D23)) * $F23</f>
        <v/>
      </c>
      <c r="AC23" s="78">
        <f>(BSPrice($B23*0.9,$J23, $K23, $C23, ($I23-$B$1)/365, $G23, $H23, $D23) - BSPrice($B23,$J23, $K23, $C23, ($I23-$B$1)/365, $G23, $H23, $D23)) * $F23</f>
        <v/>
      </c>
      <c r="AD23" s="78">
        <f>(BSPrice($B23*0.95,$J23, $K23, $C23, ($I23-$B$1)/365, $G23, $H23, $D23) - BSPrice($B23,$J23, $K23, $C23, ($I23-$B$1)/365, $G23, $H23, $D23)) * $F23</f>
        <v/>
      </c>
      <c r="AE23" s="78">
        <f>(BSPrice($B23*0.98,$J23, $K23, $C23, ($I23-$B$1)/365, $G23, $H23, $D23) - BSPrice($B23,$J23, $K23, $C23, ($I23-$B$1)/365, $G23, $H23, $D23)) * $F23</f>
        <v/>
      </c>
      <c r="AF23" s="78">
        <f>(BSPrice($B23*1.02,$J23, $K23, $C23, ($I23-$B$1)/365, $G23, $H23, $D23) - BSPrice($B23,$J23, $K23, $C23, ($I23-$B$1)/365, $G23, $H23, $D23)) * $F23</f>
        <v/>
      </c>
      <c r="AG23" s="78">
        <f>(BSPrice($B23*1.05,$J23, $K23, $C23, ($I23-$B$1)/365, $G23, $H23, $D23) - BSPrice($B23,$J23, $K23, $C23, ($I23-$B$1)/365, $G23, $H23, $D23)) * $F23</f>
        <v/>
      </c>
      <c r="AH23" s="78">
        <f>(BSPrice($B23*1.1,$J23, $K23, $C23, ($I23-$B$1)/365, $G23, $H23, $D23) - BSPrice($B23,$J23, $K23, $C23, ($I23-$B$1)/365, $G23, $H23, $D23)) * $F23</f>
        <v/>
      </c>
      <c r="AI23" s="78">
        <f>(BSPrice($B23*1.2,$J23, $K23, $C23, ($I23-$B$1)/365, $G23, $H23, $D23) - BSPrice($B23,$J23, $K23, $C23, ($I23-$B$1)/365, $G23, $H23, $D23)) * $F23</f>
        <v/>
      </c>
      <c r="AJ23" s="78">
        <f>(BSPrice($B23,$J23-0.1, $K23, $C23, ($I23-$B$1)/365, $G23, $H23, $D23) - BSPrice($B23,$J23, $K23, $C23, ($I23-$B$1)/365, $G23, $H23, $D23)) * $F23</f>
        <v/>
      </c>
      <c r="AK23" s="78">
        <f>(BSPrice($B23,$J23-0.05,$K23,$C23,($I23-$B$1)/365,$G23,$H23,$D23)-BSPrice($B23,$J23,$K23,$C23,($I23-$B$1)/365,$G23,$H23,$D23))*$F23</f>
        <v/>
      </c>
      <c r="AL23" s="78">
        <f>(BSPrice($B23,$J23-0.02, $K23, $C23, ($I23-$B$1)/365, $G23, $H23, $D23) - BSPrice($B23,$J23, $K23, $C23, ($I23-$B$1)/365, $G23, $H23, $D23)) * $F23</f>
        <v/>
      </c>
      <c r="AM23" s="78">
        <f>(BSPrice($B23,$J23-0.01, $K23, $C23, ($I23-$B$1)/365, $G23, $H23, $D23) - BSPrice($B23,$J23, $K23, $C23, ($I23-$B$1)/365, $G23, $H23, $D23)) * $F23</f>
        <v/>
      </c>
      <c r="AN23" s="78">
        <f>(BSPrice($B23,$J23+0.01, $K23, $C23, ($I23-$B$1)/365, $G23, $H23, $D23) - BSPrice($B23,$J23, $K23, $C23, ($I23-$B$1)/365, $G23, $H23, $D23)) * $F23</f>
        <v/>
      </c>
      <c r="AO23" s="78">
        <f>(BSPrice($B23,$J23+0.02, $K23, $C23, ($I23-$B$1)/365, $G23, $H23, $D23) - BSPrice($B23,$J23, $K23, $C23, ($I23-$B$1)/365, $G23, $H23, $D23)) * $F23</f>
        <v/>
      </c>
      <c r="AP23" s="78">
        <f>(BSPrice($B23,$J23+0.05, $K23, $C23, ($I23-$B$1)/365, $G23, $H23, $D23) - BSPrice($B23,$J23, $K23, $C23, ($I23-$B$1)/365, $G23, $H23, $D23)) * $F23</f>
        <v/>
      </c>
      <c r="AQ23" s="78">
        <f>(BSPrice($B23,$J23+0.1, $K23, $C23, ($I23-$B$1)/365, $G23, $H23, $D23) - BSPrice($B23,$J23, $K23, $C23, ($I23-$B$1)/365, $G23, $H23, $D23)) * $F23</f>
        <v/>
      </c>
      <c r="AR23" s="60">
        <f>(BSPrice($B23*0.8,$J23+-0.05, $K23, $C23, ($I23-$B$1)/365, $G23, $H23, $D23) - BSPrice($B23,$J23, $K23, $C23, ($I23-$B$1)/365, $G23, $H23, $D23)) * $F23</f>
        <v/>
      </c>
      <c r="AS23" s="60">
        <f>(BSPrice($B23*0.8,$J23+-0.02, $K23, $C23, ($I23-$B$1)/365, $G23, $H23, $D23) - BSPrice($B23,$J23, $K23, $C23, ($I23-$B$1)/365, $G23, $H23, $D23)) * $F23</f>
        <v/>
      </c>
      <c r="AT23" s="60">
        <f>(BSPrice($B23*0.8,$J23+0, $K23, $C23, ($I23-$B$1)/365, $G23, $H23, $D23) - BSPrice($B23,$J23, $K23, $C23, ($I23-$B$1)/365, $G23, $H23, $D23)) * $F23</f>
        <v/>
      </c>
      <c r="AU23" s="60">
        <f>(BSPrice($B23*0.8,$J23+0.02, $K23, $C23, ($I23-$B$1)/365, $G23, $H23, $D23) - BSPrice($B23,$J23, $K23, $C23, ($I23-$B$1)/365, $G23, $H23, $D23)) * $F23</f>
        <v/>
      </c>
      <c r="AV23" s="60">
        <f>(BSPrice($B23*0.8,$J23+0.05, $K23, $C23, ($I23-$B$1)/365, $G23, $H23, $D23) - BSPrice($B23,$J23, $K23, $C23, ($I23-$B$1)/365, $G23, $H23, $D23)) * $F23</f>
        <v/>
      </c>
      <c r="AW23" s="60">
        <f>(BSPrice($B23*0.8,$J23+0.1, $K23, $C23, ($I23-$B$1)/365, $G23, $H23, $D23) - BSPrice($B23,$J23, $K23, $C23, ($I23-$B$1)/365, $G23, $H23, $D23)) * $F23</f>
        <v/>
      </c>
      <c r="AX23" s="60">
        <f>(BSPrice($B23*0.8,$J23+0.2, $K23, $C23, ($I23-$B$1)/365, $G23, $H23, $D23) - BSPrice($B23,$J23, $K23, $C23, ($I23-$B$1)/365, $G23, $H23, $D23)) * $F23</f>
        <v/>
      </c>
      <c r="AY23" s="60">
        <f>(BSPrice($B23*0.9,$J23+-0.05, $K23, $C23, ($I23-$B$1)/365, $G23, $H23, $D23) - BSPrice($B23,$J23, $K23, $C23, ($I23-$B$1)/365, $G23, $H23, $D23)) * $F23</f>
        <v/>
      </c>
      <c r="AZ23" s="60">
        <f>(BSPrice($B23*0.9,$J23+-0.02, $K23, $C23, ($I23-$B$1)/365, $G23, $H23, $D23) - BSPrice($B23,$J23, $K23, $C23, ($I23-$B$1)/365, $G23, $H23, $D23)) * $F23</f>
        <v/>
      </c>
      <c r="BA23" s="60">
        <f>(BSPrice($B23*0.9,$J23+0, $K23, $C23, ($I23-$B$1)/365, $G23, $H23, $D23) - BSPrice($B23,$J23, $K23, $C23, ($I23-$B$1)/365, $G23, $H23, $D23)) * $F23</f>
        <v/>
      </c>
      <c r="BB23" s="60">
        <f>(BSPrice($B23*0.9,$J23+0.02, $K23, $C23, ($I23-$B$1)/365, $G23, $H23, $D23) - BSPrice($B23,$J23, $K23, $C23, ($I23-$B$1)/365, $G23, $H23, $D23)) * $F23</f>
        <v/>
      </c>
      <c r="BC23" s="60">
        <f>(BSPrice($B23*0.9,$J23+0.05, $K23, $C23, ($I23-$B$1)/365, $G23, $H23, $D23) - BSPrice($B23,$J23, $K23, $C23, ($I23-$B$1)/365, $G23, $H23, $D23)) * $F23</f>
        <v/>
      </c>
      <c r="BD23" s="60">
        <f>(BSPrice($B23*0.9,$J23+0.1, $K23, $C23, ($I23-$B$1)/365, $G23, $H23, $D23) - BSPrice($B23,$J23, $K23, $C23, ($I23-$B$1)/365, $G23, $H23, $D23)) * $F23</f>
        <v/>
      </c>
      <c r="BE23" s="60">
        <f>(BSPrice($B23*0.9,$J23+0.2, $K23, $C23, ($I23-$B$1)/365, $G23, $H23, $D23) - BSPrice($B23,$J23, $K23, $C23, ($I23-$B$1)/365, $G23, $H23, $D23)) * $F23</f>
        <v/>
      </c>
      <c r="BF23" s="60">
        <f>(BSPrice($B23*0.95,$J23+-0.05, $K23, $C23, ($I23-$B$1)/365, $G23, $H23, $D23) - BSPrice($B23,$J23, $K23, $C23, ($I23-$B$1)/365, $G23, $H23, $D23)) * $F23</f>
        <v/>
      </c>
      <c r="BG23" s="60">
        <f>(BSPrice($B23*0.95,$J23+-0.02, $K23, $C23, ($I23-$B$1)/365, $G23, $H23, $D23) - BSPrice($B23,$J23, $K23, $C23, ($I23-$B$1)/365, $G23, $H23, $D23)) * $F23</f>
        <v/>
      </c>
      <c r="BH23" s="60">
        <f>(BSPrice($B23*0.95,$J23+0, $K23, $C23, ($I23-$B$1)/365, $G23, $H23, $D23) - BSPrice($B23,$J23, $K23, $C23, ($I23-$B$1)/365, $G23, $H23, $D23)) * $F23</f>
        <v/>
      </c>
      <c r="BI23" s="60">
        <f>(BSPrice($B23*0.95,$J23+0.02, $K23, $C23, ($I23-$B$1)/365, $G23, $H23, $D23) - BSPrice($B23,$J23, $K23, $C23, ($I23-$B$1)/365, $G23, $H23, $D23)) * $F23</f>
        <v/>
      </c>
      <c r="BJ23" s="60">
        <f>(BSPrice($B23*0.95,$J23+0.05, $K23, $C23, ($I23-$B$1)/365, $G23, $H23, $D23) - BSPrice($B23,$J23, $K23, $C23, ($I23-$B$1)/365, $G23, $H23, $D23)) * $F23</f>
        <v/>
      </c>
      <c r="BK23" s="60">
        <f>(BSPrice($B23*0.95,$J23+0.1, $K23, $C23, ($I23-$B$1)/365, $G23, $H23, $D23) - BSPrice($B23,$J23, $K23, $C23, ($I23-$B$1)/365, $G23, $H23, $D23)) * $F23</f>
        <v/>
      </c>
      <c r="BL23" s="60">
        <f>(BSPrice($B23*0.95,$J23+0.2, $K23, $C23, ($I23-$B$1)/365, $G23, $H23, $D23) - BSPrice($B23,$J23, $K23, $C23, ($I23-$B$1)/365, $G23, $H23, $D23)) * $F23</f>
        <v/>
      </c>
      <c r="BM23" s="60">
        <f>(BSPrice($B23*1,$J23+-0.05, $K23, $C23, ($I23-$B$1)/365, $G23, $H23, $D23) - BSPrice($B23,$J23, $K23, $C23, ($I23-$B$1)/365, $G23, $H23, $D23)) * $F23</f>
        <v/>
      </c>
      <c r="BN23" s="60">
        <f>(BSPrice($B23*1,$J23+-0.02, $K23, $C23, ($I23-$B$1)/365, $G23, $H23, $D23) - BSPrice($B23,$J23, $K23, $C23, ($I23-$B$1)/365, $G23, $H23, $D23)) * $F23</f>
        <v/>
      </c>
      <c r="BO23" s="60">
        <f>(BSPrice($B23*1,$J23+0, $K23, $C23, ($I23-$B$1)/365, $G23, $H23, $D23) - BSPrice($B23,$J23, $K23, $C23, ($I23-$B$1)/365, $G23, $H23, $D23)) * $F23</f>
        <v/>
      </c>
      <c r="BP23" s="60">
        <f>(BSPrice($B23*1,$J23+0.02, $K23, $C23, ($I23-$B$1)/365, $G23, $H23, $D23) - BSPrice($B23,$J23, $K23, $C23, ($I23-$B$1)/365, $G23, $H23, $D23)) * $F23</f>
        <v/>
      </c>
      <c r="BQ23" s="60">
        <f>(BSPrice($B23*1,$J23+0.05, $K23, $C23, ($I23-$B$1)/365, $G23, $H23, $D23) - BSPrice($B23,$J23, $K23, $C23, ($I23-$B$1)/365, $G23, $H23, $D23)) * $F23</f>
        <v/>
      </c>
      <c r="BR23" s="60">
        <f>(BSPrice($B23*1,$J23+0.1, $K23, $C23, ($I23-$B$1)/365, $G23, $H23, $D23) - BSPrice($B23,$J23, $K23, $C23, ($I23-$B$1)/365, $G23, $H23, $D23)) * $F23</f>
        <v/>
      </c>
      <c r="BS23" s="60">
        <f>(BSPrice($B23*1,$J23+0.2, $K23, $C23, ($I23-$B$1)/365, $G23, $H23, $D23) - BSPrice($B23,$J23, $K23, $C23, ($I23-$B$1)/365, $G23, $H23, $D23)) * $F23</f>
        <v/>
      </c>
      <c r="BT23" s="60">
        <f>(BSPrice($B23*1.05,$J23+-0.05, $K23, $C23, ($I23-$B$1)/365, $G23, $H23, $D23) - BSPrice($B23,$J23, $K23, $C23, ($I23-$B$1)/365, $G23, $H23, $D23)) * $F23</f>
        <v/>
      </c>
      <c r="BU23" s="60">
        <f>(BSPrice($B23*1.05,$J23+-0.02, $K23, $C23, ($I23-$B$1)/365, $G23, $H23, $D23) - BSPrice($B23,$J23, $K23, $C23, ($I23-$B$1)/365, $G23, $H23, $D23)) * $F23</f>
        <v/>
      </c>
      <c r="BV23" s="60">
        <f>(BSPrice($B23*1.05,$J23+0, $K23, $C23, ($I23-$B$1)/365, $G23, $H23, $D23) - BSPrice($B23,$J23, $K23, $C23, ($I23-$B$1)/365, $G23, $H23, $D23)) * $F23</f>
        <v/>
      </c>
      <c r="BW23" s="60">
        <f>(BSPrice($B23*1.05,$J23+0.02, $K23, $C23, ($I23-$B$1)/365, $G23, $H23, $D23) - BSPrice($B23,$J23, $K23, $C23, ($I23-$B$1)/365, $G23, $H23, $D23)) * $F23</f>
        <v/>
      </c>
      <c r="BX23" s="60">
        <f>(BSPrice($B23*1.05,$J23+0.05, $K23, $C23, ($I23-$B$1)/365, $G23, $H23, $D23) - BSPrice($B23,$J23, $K23, $C23, ($I23-$B$1)/365, $G23, $H23, $D23)) * $F23</f>
        <v/>
      </c>
      <c r="BY23" s="60">
        <f>(BSPrice($B23*1.05,$J23+0.1, $K23, $C23, ($I23-$B$1)/365, $G23, $H23, $D23) - BSPrice($B23,$J23, $K23, $C23, ($I23-$B$1)/365, $G23, $H23, $D23)) * $F23</f>
        <v/>
      </c>
      <c r="BZ23" s="60">
        <f>(BSPrice($B23*1.05,$J23+0.2, $K23, $C23, ($I23-$B$1)/365, $G23, $H23, $D23) - BSPrice($B23,$J23, $K23, $C23, ($I23-$B$1)/365, $G23, $H23, $D23)) * $F23</f>
        <v/>
      </c>
      <c r="CA23" s="60">
        <f>(BSPrice($B23*1.1,$J23+-0.05, $K23, $C23, ($I23-$B$1)/365, $G23, $H23, $D23) - BSPrice($B23,$J23, $K23, $C23, ($I23-$B$1)/365, $G23, $H23, $D23)) * $F23</f>
        <v/>
      </c>
      <c r="CB23" s="60">
        <f>(BSPrice($B23*1.1,$J23+-0.02, $K23, $C23, ($I23-$B$1)/365, $G23, $H23, $D23) - BSPrice($B23,$J23, $K23, $C23, ($I23-$B$1)/365, $G23, $H23, $D23)) * $F23</f>
        <v/>
      </c>
      <c r="CC23" s="60">
        <f>(BSPrice($B23*1.1,$J23+0, $K23, $C23, ($I23-$B$1)/365, $G23, $H23, $D23) - BSPrice($B23,$J23, $K23, $C23, ($I23-$B$1)/365, $G23, $H23, $D23)) * $F23</f>
        <v/>
      </c>
      <c r="CD23" s="60">
        <f>(BSPrice($B23*1.1,$J23+0.02, $K23, $C23, ($I23-$B$1)/365, $G23, $H23, $D23) - BSPrice($B23,$J23, $K23, $C23, ($I23-$B$1)/365, $G23, $H23, $D23)) * $F23</f>
        <v/>
      </c>
      <c r="CE23" s="60">
        <f>(BSPrice($B23*1.1,$J23+0.05, $K23, $C23, ($I23-$B$1)/365, $G23, $H23, $D23) - BSPrice($B23,$J23, $K23, $C23, ($I23-$B$1)/365, $G23, $H23, $D23)) * $F23</f>
        <v/>
      </c>
      <c r="CF23" s="60">
        <f>(BSPrice($B23*1.1,$J23+0.1, $K23, $C23, ($I23-$B$1)/365, $G23, $H23, $D23) - BSPrice($B23,$J23, $K23, $C23, ($I23-$B$1)/365, $G23, $H23, $D23)) * $F23</f>
        <v/>
      </c>
      <c r="CG23" s="60">
        <f>(BSPrice($B23*1.1,$J23+0.2, $K23, $C23, ($I23-$B$1)/365, $G23, $H23, $D23) - BSPrice($B23,$J23, $K23, $C23, ($I23-$B$1)/365, $G23, $H23, $D23)) * $F23</f>
        <v/>
      </c>
      <c r="CH23" s="60">
        <f>(BSPrice($B23*1.2,$J23+-0.05, $K23, $C23, ($I23-$B$1)/365, $G23, $H23, $D23) - BSPrice($B23,$J23, $K23, $C23, ($I23-$B$1)/365, $G23, $H23, $D23)) * $F23</f>
        <v/>
      </c>
      <c r="CI23" s="60">
        <f>(BSPrice($B23*1.2,$J23+-0.02, $K23, $C23, ($I23-$B$1)/365, $G23, $H23, $D23) - BSPrice($B23,$J23, $K23, $C23, ($I23-$B$1)/365, $G23, $H23, $D23)) * $F23</f>
        <v/>
      </c>
      <c r="CJ23" s="60">
        <f>(BSPrice($B23*1.2,$J23+0, $K23, $C23, ($I23-$B$1)/365, $G23, $H23, $D23) - BSPrice($B23,$J23, $K23, $C23, ($I23-$B$1)/365, $G23, $H23, $D23)) * $F23</f>
        <v/>
      </c>
      <c r="CK23" s="60">
        <f>(BSPrice($B23*1.2,$J23+0.02, $K23, $C23, ($I23-$B$1)/365, $G23, $H23, $D23) - BSPrice($B23,$J23, $K23, $C23, ($I23-$B$1)/365, $G23, $H23, $D23)) * $F23</f>
        <v/>
      </c>
      <c r="CL23" s="60">
        <f>(BSPrice($B23*1.2,$J23+0.05, $K23, $C23, ($I23-$B$1)/365, $G23, $H23, $D23) - BSPrice($B23,$J23, $K23, $C23, ($I23-$B$1)/365, $G23, $H23, $D23)) * $F23</f>
        <v/>
      </c>
      <c r="CM23" s="60">
        <f>(BSPrice($B23*1.2,$J23+0.1, $K23, $C23, ($I23-$B$1)/365, $G23, $H23, $D23) - BSPrice($B23,$J23, $K23, $C23, ($I23-$B$1)/365, $G23, $H23, $D23)) * $F23</f>
        <v/>
      </c>
      <c r="CN23" s="60">
        <f>(BSPrice($B23*1.2,$J23+0.2, $K23, $C23, ($I23-$B$1)/365, $G23, $H23, $D23) - BSPrice($B23,$J23, $K23, $C23, ($I23-$B$1)/365, $G23, $H23, $D23)) * $F23</f>
        <v/>
      </c>
    </row>
    <row r="24">
      <c r="A24" s="3" t="inlineStr">
        <is>
          <t>SPX Index</t>
        </is>
      </c>
      <c r="B24" s="4">
        <f>VLOOKUP(A24,PriceData!$K$4:$L$6,2,FALSE)</f>
        <v/>
      </c>
      <c r="C24" s="46">
        <f>VLOOKUP(A24,PriceData!$K$4:$M$6,3,FALSE)</f>
        <v/>
      </c>
      <c r="D24" s="4" t="inlineStr">
        <is>
          <t>Option</t>
        </is>
      </c>
      <c r="E24" s="4" t="inlineStr">
        <is>
          <t>USD</t>
        </is>
      </c>
      <c r="F24" s="4" t="n">
        <v>-30</v>
      </c>
      <c r="G24" s="4" t="n">
        <v>1232</v>
      </c>
      <c r="H24" s="4" t="inlineStr">
        <is>
          <t>Call</t>
        </is>
      </c>
      <c r="I24" s="5" t="n">
        <v>40347</v>
      </c>
      <c r="J24" s="46">
        <f>FindImpliedVol(A24, D24, G24, I24)</f>
        <v/>
      </c>
      <c r="K24" s="30">
        <f>VLOOKUP(I24,PriceData!$A$5:$D$7,MATCH($E24,PriceData!$A$4:$D$4,0),FALSE)</f>
        <v/>
      </c>
      <c r="L24" s="2">
        <f>BSPrice($B24,$J24, $K24, $C24, ($I24-$B$1)/365, $G24, $H24, $D24)</f>
        <v/>
      </c>
      <c r="M24" s="2">
        <f>F24*L24</f>
        <v/>
      </c>
      <c r="N24" s="4" t="inlineStr">
        <is>
          <t>Exch</t>
        </is>
      </c>
      <c r="P24" s="60">
        <f>BSDelta(B24, J24, K24, C24, (I24-$B$1)/365, G24, H24, D24)</f>
        <v/>
      </c>
      <c r="Q24" s="60">
        <f>BSGamma(B24, J24, K24, C24, (I24-$B$1)/365, G24, D24)</f>
        <v/>
      </c>
      <c r="R24" s="58">
        <f>BSVega(B24, J24, K24, C24, (I24-$B$1)/365,G24, D24)</f>
        <v/>
      </c>
      <c r="S24" s="58">
        <f>BSVolga(B24, J24, K24, C24, (I24-$B$1)/365,G24, D24)</f>
        <v/>
      </c>
      <c r="T24" s="58">
        <f>BSVanna(B24,J24,K24, C24, (I24-$B$1)/365, G24, D24)</f>
        <v/>
      </c>
      <c r="U24" s="2">
        <f>BSRho(B24, J24, K24, C24, (I24-$B$1)/365, G24, H24, D24)</f>
        <v/>
      </c>
      <c r="V24" s="65">
        <f>$F24*$P24</f>
        <v/>
      </c>
      <c r="W24" s="65">
        <f>$F24*$Q24</f>
        <v/>
      </c>
      <c r="X24" s="78">
        <f>$F24*R24</f>
        <v/>
      </c>
      <c r="Y24" s="78">
        <f>$F24*S24</f>
        <v/>
      </c>
      <c r="Z24" s="78">
        <f>$F24*T24</f>
        <v/>
      </c>
      <c r="AA24" s="78">
        <f>$F24*U24</f>
        <v/>
      </c>
      <c r="AB24" s="78">
        <f>(BSPrice($B24*0.8,$J24, $K24, $C24, ($I24-$B$1)/365, $G24, $H24, $D24) - BSPrice($B24,$J24, $K24, $C24, ($I24-$B$1)/365, $G24, $H24, $D24)) * $F24</f>
        <v/>
      </c>
      <c r="AC24" s="78">
        <f>(BSPrice($B24*0.9,$J24, $K24, $C24, ($I24-$B$1)/365, $G24, $H24, $D24) - BSPrice($B24,$J24, $K24, $C24, ($I24-$B$1)/365, $G24, $H24, $D24)) * $F24</f>
        <v/>
      </c>
      <c r="AD24" s="78">
        <f>(BSPrice($B24*0.95,$J24, $K24, $C24, ($I24-$B$1)/365, $G24, $H24, $D24) - BSPrice($B24,$J24, $K24, $C24, ($I24-$B$1)/365, $G24, $H24, $D24)) * $F24</f>
        <v/>
      </c>
      <c r="AE24" s="78">
        <f>(BSPrice($B24*0.98,$J24, $K24, $C24, ($I24-$B$1)/365, $G24, $H24, $D24) - BSPrice($B24,$J24, $K24, $C24, ($I24-$B$1)/365, $G24, $H24, $D24)) * $F24</f>
        <v/>
      </c>
      <c r="AF24" s="78">
        <f>(BSPrice($B24*1.02,$J24, $K24, $C24, ($I24-$B$1)/365, $G24, $H24, $D24) - BSPrice($B24,$J24, $K24, $C24, ($I24-$B$1)/365, $G24, $H24, $D24)) * $F24</f>
        <v/>
      </c>
      <c r="AG24" s="78">
        <f>(BSPrice($B24*1.05,$J24, $K24, $C24, ($I24-$B$1)/365, $G24, $H24, $D24) - BSPrice($B24,$J24, $K24, $C24, ($I24-$B$1)/365, $G24, $H24, $D24)) * $F24</f>
        <v/>
      </c>
      <c r="AH24" s="78">
        <f>(BSPrice($B24*1.1,$J24, $K24, $C24, ($I24-$B$1)/365, $G24, $H24, $D24) - BSPrice($B24,$J24, $K24, $C24, ($I24-$B$1)/365, $G24, $H24, $D24)) * $F24</f>
        <v/>
      </c>
      <c r="AI24" s="78">
        <f>(BSPrice($B24*1.2,$J24, $K24, $C24, ($I24-$B$1)/365, $G24, $H24, $D24) - BSPrice($B24,$J24, $K24, $C24, ($I24-$B$1)/365, $G24, $H24, $D24)) * $F24</f>
        <v/>
      </c>
      <c r="AJ24" s="78">
        <f>(BSPrice($B24,$J24-0.1, $K24, $C24, ($I24-$B$1)/365, $G24, $H24, $D24) - BSPrice($B24,$J24, $K24, $C24, ($I24-$B$1)/365, $G24, $H24, $D24)) * $F24</f>
        <v/>
      </c>
      <c r="AK24" s="78">
        <f>(BSPrice($B24,$J24-0.05,$K24,$C24,($I24-$B$1)/365,$G24,$H24,$D24)-BSPrice($B24,$J24,$K24,$C24,($I24-$B$1)/365,$G24,$H24,$D24))*$F24</f>
        <v/>
      </c>
      <c r="AL24" s="78">
        <f>(BSPrice($B24,$J24-0.02, $K24, $C24, ($I24-$B$1)/365, $G24, $H24, $D24) - BSPrice($B24,$J24, $K24, $C24, ($I24-$B$1)/365, $G24, $H24, $D24)) * $F24</f>
        <v/>
      </c>
      <c r="AM24" s="78">
        <f>(BSPrice($B24,$J24-0.01, $K24, $C24, ($I24-$B$1)/365, $G24, $H24, $D24) - BSPrice($B24,$J24, $K24, $C24, ($I24-$B$1)/365, $G24, $H24, $D24)) * $F24</f>
        <v/>
      </c>
      <c r="AN24" s="78">
        <f>(BSPrice($B24,$J24+0.01, $K24, $C24, ($I24-$B$1)/365, $G24, $H24, $D24) - BSPrice($B24,$J24, $K24, $C24, ($I24-$B$1)/365, $G24, $H24, $D24)) * $F24</f>
        <v/>
      </c>
      <c r="AO24" s="78">
        <f>(BSPrice($B24,$J24+0.02, $K24, $C24, ($I24-$B$1)/365, $G24, $H24, $D24) - BSPrice($B24,$J24, $K24, $C24, ($I24-$B$1)/365, $G24, $H24, $D24)) * $F24</f>
        <v/>
      </c>
      <c r="AP24" s="78">
        <f>(BSPrice($B24,$J24+0.05, $K24, $C24, ($I24-$B$1)/365, $G24, $H24, $D24) - BSPrice($B24,$J24, $K24, $C24, ($I24-$B$1)/365, $G24, $H24, $D24)) * $F24</f>
        <v/>
      </c>
      <c r="AQ24" s="78">
        <f>(BSPrice($B24,$J24+0.1, $K24, $C24, ($I24-$B$1)/365, $G24, $H24, $D24) - BSPrice($B24,$J24, $K24, $C24, ($I24-$B$1)/365, $G24, $H24, $D24)) * $F24</f>
        <v/>
      </c>
      <c r="AR24" s="60">
        <f>(BSPrice($B24*0.8,$J24+-0.05, $K24, $C24, ($I24-$B$1)/365, $G24, $H24, $D24) - BSPrice($B24,$J24, $K24, $C24, ($I24-$B$1)/365, $G24, $H24, $D24)) * $F24</f>
        <v/>
      </c>
      <c r="AS24" s="60">
        <f>(BSPrice($B24*0.8,$J24+-0.02, $K24, $C24, ($I24-$B$1)/365, $G24, $H24, $D24) - BSPrice($B24,$J24, $K24, $C24, ($I24-$B$1)/365, $G24, $H24, $D24)) * $F24</f>
        <v/>
      </c>
      <c r="AT24" s="60">
        <f>(BSPrice($B24*0.8,$J24+0, $K24, $C24, ($I24-$B$1)/365, $G24, $H24, $D24) - BSPrice($B24,$J24, $K24, $C24, ($I24-$B$1)/365, $G24, $H24, $D24)) * $F24</f>
        <v/>
      </c>
      <c r="AU24" s="60">
        <f>(BSPrice($B24*0.8,$J24+0.02, $K24, $C24, ($I24-$B$1)/365, $G24, $H24, $D24) - BSPrice($B24,$J24, $K24, $C24, ($I24-$B$1)/365, $G24, $H24, $D24)) * $F24</f>
        <v/>
      </c>
      <c r="AV24" s="60">
        <f>(BSPrice($B24*0.8,$J24+0.05, $K24, $C24, ($I24-$B$1)/365, $G24, $H24, $D24) - BSPrice($B24,$J24, $K24, $C24, ($I24-$B$1)/365, $G24, $H24, $D24)) * $F24</f>
        <v/>
      </c>
      <c r="AW24" s="60">
        <f>(BSPrice($B24*0.8,$J24+0.1, $K24, $C24, ($I24-$B$1)/365, $G24, $H24, $D24) - BSPrice($B24,$J24, $K24, $C24, ($I24-$B$1)/365, $G24, $H24, $D24)) * $F24</f>
        <v/>
      </c>
      <c r="AX24" s="60">
        <f>(BSPrice($B24*0.8,$J24+0.2, $K24, $C24, ($I24-$B$1)/365, $G24, $H24, $D24) - BSPrice($B24,$J24, $K24, $C24, ($I24-$B$1)/365, $G24, $H24, $D24)) * $F24</f>
        <v/>
      </c>
      <c r="AY24" s="60">
        <f>(BSPrice($B24*0.9,$J24+-0.05, $K24, $C24, ($I24-$B$1)/365, $G24, $H24, $D24) - BSPrice($B24,$J24, $K24, $C24, ($I24-$B$1)/365, $G24, $H24, $D24)) * $F24</f>
        <v/>
      </c>
      <c r="AZ24" s="60">
        <f>(BSPrice($B24*0.9,$J24+-0.02, $K24, $C24, ($I24-$B$1)/365, $G24, $H24, $D24) - BSPrice($B24,$J24, $K24, $C24, ($I24-$B$1)/365, $G24, $H24, $D24)) * $F24</f>
        <v/>
      </c>
      <c r="BA24" s="60">
        <f>(BSPrice($B24*0.9,$J24+0, $K24, $C24, ($I24-$B$1)/365, $G24, $H24, $D24) - BSPrice($B24,$J24, $K24, $C24, ($I24-$B$1)/365, $G24, $H24, $D24)) * $F24</f>
        <v/>
      </c>
      <c r="BB24" s="60">
        <f>(BSPrice($B24*0.9,$J24+0.02, $K24, $C24, ($I24-$B$1)/365, $G24, $H24, $D24) - BSPrice($B24,$J24, $K24, $C24, ($I24-$B$1)/365, $G24, $H24, $D24)) * $F24</f>
        <v/>
      </c>
      <c r="BC24" s="60">
        <f>(BSPrice($B24*0.9,$J24+0.05, $K24, $C24, ($I24-$B$1)/365, $G24, $H24, $D24) - BSPrice($B24,$J24, $K24, $C24, ($I24-$B$1)/365, $G24, $H24, $D24)) * $F24</f>
        <v/>
      </c>
      <c r="BD24" s="60">
        <f>(BSPrice($B24*0.9,$J24+0.1, $K24, $C24, ($I24-$B$1)/365, $G24, $H24, $D24) - BSPrice($B24,$J24, $K24, $C24, ($I24-$B$1)/365, $G24, $H24, $D24)) * $F24</f>
        <v/>
      </c>
      <c r="BE24" s="60">
        <f>(BSPrice($B24*0.9,$J24+0.2, $K24, $C24, ($I24-$B$1)/365, $G24, $H24, $D24) - BSPrice($B24,$J24, $K24, $C24, ($I24-$B$1)/365, $G24, $H24, $D24)) * $F24</f>
        <v/>
      </c>
      <c r="BF24" s="60">
        <f>(BSPrice($B24*0.95,$J24+-0.05, $K24, $C24, ($I24-$B$1)/365, $G24, $H24, $D24) - BSPrice($B24,$J24, $K24, $C24, ($I24-$B$1)/365, $G24, $H24, $D24)) * $F24</f>
        <v/>
      </c>
      <c r="BG24" s="60">
        <f>(BSPrice($B24*0.95,$J24+-0.02, $K24, $C24, ($I24-$B$1)/365, $G24, $H24, $D24) - BSPrice($B24,$J24, $K24, $C24, ($I24-$B$1)/365, $G24, $H24, $D24)) * $F24</f>
        <v/>
      </c>
      <c r="BH24" s="60">
        <f>(BSPrice($B24*0.95,$J24+0, $K24, $C24, ($I24-$B$1)/365, $G24, $H24, $D24) - BSPrice($B24,$J24, $K24, $C24, ($I24-$B$1)/365, $G24, $H24, $D24)) * $F24</f>
        <v/>
      </c>
      <c r="BI24" s="60">
        <f>(BSPrice($B24*0.95,$J24+0.02, $K24, $C24, ($I24-$B$1)/365, $G24, $H24, $D24) - BSPrice($B24,$J24, $K24, $C24, ($I24-$B$1)/365, $G24, $H24, $D24)) * $F24</f>
        <v/>
      </c>
      <c r="BJ24" s="60">
        <f>(BSPrice($B24*0.95,$J24+0.05, $K24, $C24, ($I24-$B$1)/365, $G24, $H24, $D24) - BSPrice($B24,$J24, $K24, $C24, ($I24-$B$1)/365, $G24, $H24, $D24)) * $F24</f>
        <v/>
      </c>
      <c r="BK24" s="60">
        <f>(BSPrice($B24*0.95,$J24+0.1, $K24, $C24, ($I24-$B$1)/365, $G24, $H24, $D24) - BSPrice($B24,$J24, $K24, $C24, ($I24-$B$1)/365, $G24, $H24, $D24)) * $F24</f>
        <v/>
      </c>
      <c r="BL24" s="60">
        <f>(BSPrice($B24*0.95,$J24+0.2, $K24, $C24, ($I24-$B$1)/365, $G24, $H24, $D24) - BSPrice($B24,$J24, $K24, $C24, ($I24-$B$1)/365, $G24, $H24, $D24)) * $F24</f>
        <v/>
      </c>
      <c r="BM24" s="60">
        <f>(BSPrice($B24*1,$J24+-0.05, $K24, $C24, ($I24-$B$1)/365, $G24, $H24, $D24) - BSPrice($B24,$J24, $K24, $C24, ($I24-$B$1)/365, $G24, $H24, $D24)) * $F24</f>
        <v/>
      </c>
      <c r="BN24" s="60">
        <f>(BSPrice($B24*1,$J24+-0.02, $K24, $C24, ($I24-$B$1)/365, $G24, $H24, $D24) - BSPrice($B24,$J24, $K24, $C24, ($I24-$B$1)/365, $G24, $H24, $D24)) * $F24</f>
        <v/>
      </c>
      <c r="BO24" s="60">
        <f>(BSPrice($B24*1,$J24+0, $K24, $C24, ($I24-$B$1)/365, $G24, $H24, $D24) - BSPrice($B24,$J24, $K24, $C24, ($I24-$B$1)/365, $G24, $H24, $D24)) * $F24</f>
        <v/>
      </c>
      <c r="BP24" s="60">
        <f>(BSPrice($B24*1,$J24+0.02, $K24, $C24, ($I24-$B$1)/365, $G24, $H24, $D24) - BSPrice($B24,$J24, $K24, $C24, ($I24-$B$1)/365, $G24, $H24, $D24)) * $F24</f>
        <v/>
      </c>
      <c r="BQ24" s="60">
        <f>(BSPrice($B24*1,$J24+0.05, $K24, $C24, ($I24-$B$1)/365, $G24, $H24, $D24) - BSPrice($B24,$J24, $K24, $C24, ($I24-$B$1)/365, $G24, $H24, $D24)) * $F24</f>
        <v/>
      </c>
      <c r="BR24" s="60">
        <f>(BSPrice($B24*1,$J24+0.1, $K24, $C24, ($I24-$B$1)/365, $G24, $H24, $D24) - BSPrice($B24,$J24, $K24, $C24, ($I24-$B$1)/365, $G24, $H24, $D24)) * $F24</f>
        <v/>
      </c>
      <c r="BS24" s="60">
        <f>(BSPrice($B24*1,$J24+0.2, $K24, $C24, ($I24-$B$1)/365, $G24, $H24, $D24) - BSPrice($B24,$J24, $K24, $C24, ($I24-$B$1)/365, $G24, $H24, $D24)) * $F24</f>
        <v/>
      </c>
      <c r="BT24" s="60">
        <f>(BSPrice($B24*1.05,$J24+-0.05, $K24, $C24, ($I24-$B$1)/365, $G24, $H24, $D24) - BSPrice($B24,$J24, $K24, $C24, ($I24-$B$1)/365, $G24, $H24, $D24)) * $F24</f>
        <v/>
      </c>
      <c r="BU24" s="60">
        <f>(BSPrice($B24*1.05,$J24+-0.02, $K24, $C24, ($I24-$B$1)/365, $G24, $H24, $D24) - BSPrice($B24,$J24, $K24, $C24, ($I24-$B$1)/365, $G24, $H24, $D24)) * $F24</f>
        <v/>
      </c>
      <c r="BV24" s="60">
        <f>(BSPrice($B24*1.05,$J24+0, $K24, $C24, ($I24-$B$1)/365, $G24, $H24, $D24) - BSPrice($B24,$J24, $K24, $C24, ($I24-$B$1)/365, $G24, $H24, $D24)) * $F24</f>
        <v/>
      </c>
      <c r="BW24" s="60">
        <f>(BSPrice($B24*1.05,$J24+0.02, $K24, $C24, ($I24-$B$1)/365, $G24, $H24, $D24) - BSPrice($B24,$J24, $K24, $C24, ($I24-$B$1)/365, $G24, $H24, $D24)) * $F24</f>
        <v/>
      </c>
      <c r="BX24" s="60">
        <f>(BSPrice($B24*1.05,$J24+0.05, $K24, $C24, ($I24-$B$1)/365, $G24, $H24, $D24) - BSPrice($B24,$J24, $K24, $C24, ($I24-$B$1)/365, $G24, $H24, $D24)) * $F24</f>
        <v/>
      </c>
      <c r="BY24" s="60">
        <f>(BSPrice($B24*1.05,$J24+0.1, $K24, $C24, ($I24-$B$1)/365, $G24, $H24, $D24) - BSPrice($B24,$J24, $K24, $C24, ($I24-$B$1)/365, $G24, $H24, $D24)) * $F24</f>
        <v/>
      </c>
      <c r="BZ24" s="60">
        <f>(BSPrice($B24*1.05,$J24+0.2, $K24, $C24, ($I24-$B$1)/365, $G24, $H24, $D24) - BSPrice($B24,$J24, $K24, $C24, ($I24-$B$1)/365, $G24, $H24, $D24)) * $F24</f>
        <v/>
      </c>
      <c r="CA24" s="60">
        <f>(BSPrice($B24*1.1,$J24+-0.05, $K24, $C24, ($I24-$B$1)/365, $G24, $H24, $D24) - BSPrice($B24,$J24, $K24, $C24, ($I24-$B$1)/365, $G24, $H24, $D24)) * $F24</f>
        <v/>
      </c>
      <c r="CB24" s="60">
        <f>(BSPrice($B24*1.1,$J24+-0.02, $K24, $C24, ($I24-$B$1)/365, $G24, $H24, $D24) - BSPrice($B24,$J24, $K24, $C24, ($I24-$B$1)/365, $G24, $H24, $D24)) * $F24</f>
        <v/>
      </c>
      <c r="CC24" s="60">
        <f>(BSPrice($B24*1.1,$J24+0, $K24, $C24, ($I24-$B$1)/365, $G24, $H24, $D24) - BSPrice($B24,$J24, $K24, $C24, ($I24-$B$1)/365, $G24, $H24, $D24)) * $F24</f>
        <v/>
      </c>
      <c r="CD24" s="60">
        <f>(BSPrice($B24*1.1,$J24+0.02, $K24, $C24, ($I24-$B$1)/365, $G24, $H24, $D24) - BSPrice($B24,$J24, $K24, $C24, ($I24-$B$1)/365, $G24, $H24, $D24)) * $F24</f>
        <v/>
      </c>
      <c r="CE24" s="60">
        <f>(BSPrice($B24*1.1,$J24+0.05, $K24, $C24, ($I24-$B$1)/365, $G24, $H24, $D24) - BSPrice($B24,$J24, $K24, $C24, ($I24-$B$1)/365, $G24, $H24, $D24)) * $F24</f>
        <v/>
      </c>
      <c r="CF24" s="60">
        <f>(BSPrice($B24*1.1,$J24+0.1, $K24, $C24, ($I24-$B$1)/365, $G24, $H24, $D24) - BSPrice($B24,$J24, $K24, $C24, ($I24-$B$1)/365, $G24, $H24, $D24)) * $F24</f>
        <v/>
      </c>
      <c r="CG24" s="60">
        <f>(BSPrice($B24*1.1,$J24+0.2, $K24, $C24, ($I24-$B$1)/365, $G24, $H24, $D24) - BSPrice($B24,$J24, $K24, $C24, ($I24-$B$1)/365, $G24, $H24, $D24)) * $F24</f>
        <v/>
      </c>
      <c r="CH24" s="60">
        <f>(BSPrice($B24*1.2,$J24+-0.05, $K24, $C24, ($I24-$B$1)/365, $G24, $H24, $D24) - BSPrice($B24,$J24, $K24, $C24, ($I24-$B$1)/365, $G24, $H24, $D24)) * $F24</f>
        <v/>
      </c>
      <c r="CI24" s="60">
        <f>(BSPrice($B24*1.2,$J24+-0.02, $K24, $C24, ($I24-$B$1)/365, $G24, $H24, $D24) - BSPrice($B24,$J24, $K24, $C24, ($I24-$B$1)/365, $G24, $H24, $D24)) * $F24</f>
        <v/>
      </c>
      <c r="CJ24" s="60">
        <f>(BSPrice($B24*1.2,$J24+0, $K24, $C24, ($I24-$B$1)/365, $G24, $H24, $D24) - BSPrice($B24,$J24, $K24, $C24, ($I24-$B$1)/365, $G24, $H24, $D24)) * $F24</f>
        <v/>
      </c>
      <c r="CK24" s="60">
        <f>(BSPrice($B24*1.2,$J24+0.02, $K24, $C24, ($I24-$B$1)/365, $G24, $H24, $D24) - BSPrice($B24,$J24, $K24, $C24, ($I24-$B$1)/365, $G24, $H24, $D24)) * $F24</f>
        <v/>
      </c>
      <c r="CL24" s="60">
        <f>(BSPrice($B24*1.2,$J24+0.05, $K24, $C24, ($I24-$B$1)/365, $G24, $H24, $D24) - BSPrice($B24,$J24, $K24, $C24, ($I24-$B$1)/365, $G24, $H24, $D24)) * $F24</f>
        <v/>
      </c>
      <c r="CM24" s="60">
        <f>(BSPrice($B24*1.2,$J24+0.1, $K24, $C24, ($I24-$B$1)/365, $G24, $H24, $D24) - BSPrice($B24,$J24, $K24, $C24, ($I24-$B$1)/365, $G24, $H24, $D24)) * $F24</f>
        <v/>
      </c>
      <c r="CN24" s="60">
        <f>(BSPrice($B24*1.2,$J24+0.2, $K24, $C24, ($I24-$B$1)/365, $G24, $H24, $D24) - BSPrice($B24,$J24, $K24, $C24, ($I24-$B$1)/365, $G24, $H24, $D24)) * $F24</f>
        <v/>
      </c>
    </row>
    <row r="25">
      <c r="A25" s="3" t="inlineStr">
        <is>
          <t>SPX Index</t>
        </is>
      </c>
      <c r="B25" s="4">
        <f>VLOOKUP(A25,PriceData!$K$4:$L$6,2,FALSE)</f>
        <v/>
      </c>
      <c r="C25" s="46">
        <f>VLOOKUP(A25,PriceData!$K$4:$M$6,3,FALSE)</f>
        <v/>
      </c>
      <c r="D25" s="4" t="inlineStr">
        <is>
          <t>Option</t>
        </is>
      </c>
      <c r="E25" s="4" t="inlineStr">
        <is>
          <t>USD</t>
        </is>
      </c>
      <c r="F25" s="4" t="n">
        <v>-30</v>
      </c>
      <c r="G25" s="4" t="n">
        <v>1001</v>
      </c>
      <c r="H25" s="4" t="inlineStr">
        <is>
          <t>Put</t>
        </is>
      </c>
      <c r="I25" s="5" t="n">
        <v>40347</v>
      </c>
      <c r="J25" s="46">
        <f>FindImpliedVol(A25, D25, G25, I25)</f>
        <v/>
      </c>
      <c r="K25" s="30">
        <f>VLOOKUP(I25,PriceData!$A$5:$D$7,MATCH($E25,PriceData!$A$4:$D$4,0),FALSE)</f>
        <v/>
      </c>
      <c r="L25" s="2">
        <f>BSPrice($B25,$J25, $K25, $C25, ($I25-$B$1)/365, $G25, $H25, $D25)</f>
        <v/>
      </c>
      <c r="M25" s="2">
        <f>F25*L25</f>
        <v/>
      </c>
      <c r="N25" s="4" t="inlineStr">
        <is>
          <t>JP Horgan</t>
        </is>
      </c>
      <c r="P25" s="60">
        <f>BSDelta(B25, J25, K25, C25, (I25-$B$1)/365, G25, H25, D25)</f>
        <v/>
      </c>
      <c r="Q25" s="60">
        <f>BSGamma(B25, J25, K25, C25, (I25-$B$1)/365, G25, D25)</f>
        <v/>
      </c>
      <c r="R25" s="58">
        <f>BSVega(B25, J25, K25, C25, (I25-$B$1)/365,G25, D25)</f>
        <v/>
      </c>
      <c r="S25" s="58">
        <f>BSVolga(B25, J25, K25, C25, (I25-$B$1)/365,G25, D25)</f>
        <v/>
      </c>
      <c r="T25" s="58">
        <f>BSVanna(B25,J25,K25, C25, (I25-$B$1)/365, G25, D25)</f>
        <v/>
      </c>
      <c r="U25" s="2">
        <f>BSRho(B25, J25, K25, C25, (I25-$B$1)/365, G25, H25, D25)</f>
        <v/>
      </c>
      <c r="V25" s="65">
        <f>$F25*$P25</f>
        <v/>
      </c>
      <c r="W25" s="65">
        <f>$F25*$Q25</f>
        <v/>
      </c>
      <c r="X25" s="78">
        <f>$F25*R25</f>
        <v/>
      </c>
      <c r="Y25" s="78">
        <f>$F25*S25</f>
        <v/>
      </c>
      <c r="Z25" s="78">
        <f>$F25*T25</f>
        <v/>
      </c>
      <c r="AA25" s="78">
        <f>$F25*U25</f>
        <v/>
      </c>
      <c r="AB25" s="78">
        <f>(BSPrice($B25*0.8,$J25, $K25, $C25, ($I25-$B$1)/365, $G25, $H25, $D25) - BSPrice($B25,$J25, $K25, $C25, ($I25-$B$1)/365, $G25, $H25, $D25)) * $F25</f>
        <v/>
      </c>
      <c r="AC25" s="78">
        <f>(BSPrice($B25*0.9,$J25, $K25, $C25, ($I25-$B$1)/365, $G25, $H25, $D25) - BSPrice($B25,$J25, $K25, $C25, ($I25-$B$1)/365, $G25, $H25, $D25)) * $F25</f>
        <v/>
      </c>
      <c r="AD25" s="78">
        <f>(BSPrice($B25*0.95,$J25, $K25, $C25, ($I25-$B$1)/365, $G25, $H25, $D25) - BSPrice($B25,$J25, $K25, $C25, ($I25-$B$1)/365, $G25, $H25, $D25)) * $F25</f>
        <v/>
      </c>
      <c r="AE25" s="78">
        <f>(BSPrice($B25*0.98,$J25, $K25, $C25, ($I25-$B$1)/365, $G25, $H25, $D25) - BSPrice($B25,$J25, $K25, $C25, ($I25-$B$1)/365, $G25, $H25, $D25)) * $F25</f>
        <v/>
      </c>
      <c r="AF25" s="78">
        <f>(BSPrice($B25*1.02,$J25, $K25, $C25, ($I25-$B$1)/365, $G25, $H25, $D25) - BSPrice($B25,$J25, $K25, $C25, ($I25-$B$1)/365, $G25, $H25, $D25)) * $F25</f>
        <v/>
      </c>
      <c r="AG25" s="78">
        <f>(BSPrice($B25*1.05,$J25, $K25, $C25, ($I25-$B$1)/365, $G25, $H25, $D25) - BSPrice($B25,$J25, $K25, $C25, ($I25-$B$1)/365, $G25, $H25, $D25)) * $F25</f>
        <v/>
      </c>
      <c r="AH25" s="78">
        <f>(BSPrice($B25*1.1,$J25, $K25, $C25, ($I25-$B$1)/365, $G25, $H25, $D25) - BSPrice($B25,$J25, $K25, $C25, ($I25-$B$1)/365, $G25, $H25, $D25)) * $F25</f>
        <v/>
      </c>
      <c r="AI25" s="78">
        <f>(BSPrice($B25*1.2,$J25, $K25, $C25, ($I25-$B$1)/365, $G25, $H25, $D25) - BSPrice($B25,$J25, $K25, $C25, ($I25-$B$1)/365, $G25, $H25, $D25)) * $F25</f>
        <v/>
      </c>
      <c r="AJ25" s="78">
        <f>(BSPrice($B25,$J25-0.1, $K25, $C25, ($I25-$B$1)/365, $G25, $H25, $D25) - BSPrice($B25,$J25, $K25, $C25, ($I25-$B$1)/365, $G25, $H25, $D25)) * $F25</f>
        <v/>
      </c>
      <c r="AK25" s="78">
        <f>(BSPrice($B25,$J25-0.05,$K25,$C25,($I25-$B$1)/365,$G25,$H25,$D25)-BSPrice($B25,$J25,$K25,$C25,($I25-$B$1)/365,$G25,$H25,$D25))*$F25</f>
        <v/>
      </c>
      <c r="AL25" s="78">
        <f>(BSPrice($B25,$J25-0.02, $K25, $C25, ($I25-$B$1)/365, $G25, $H25, $D25) - BSPrice($B25,$J25, $K25, $C25, ($I25-$B$1)/365, $G25, $H25, $D25)) * $F25</f>
        <v/>
      </c>
      <c r="AM25" s="78">
        <f>(BSPrice($B25,$J25-0.01, $K25, $C25, ($I25-$B$1)/365, $G25, $H25, $D25) - BSPrice($B25,$J25, $K25, $C25, ($I25-$B$1)/365, $G25, $H25, $D25)) * $F25</f>
        <v/>
      </c>
      <c r="AN25" s="78">
        <f>(BSPrice($B25,$J25+0.01, $K25, $C25, ($I25-$B$1)/365, $G25, $H25, $D25) - BSPrice($B25,$J25, $K25, $C25, ($I25-$B$1)/365, $G25, $H25, $D25)) * $F25</f>
        <v/>
      </c>
      <c r="AO25" s="78">
        <f>(BSPrice($B25,$J25+0.02, $K25, $C25, ($I25-$B$1)/365, $G25, $H25, $D25) - BSPrice($B25,$J25, $K25, $C25, ($I25-$B$1)/365, $G25, $H25, $D25)) * $F25</f>
        <v/>
      </c>
      <c r="AP25" s="78">
        <f>(BSPrice($B25,$J25+0.05, $K25, $C25, ($I25-$B$1)/365, $G25, $H25, $D25) - BSPrice($B25,$J25, $K25, $C25, ($I25-$B$1)/365, $G25, $H25, $D25)) * $F25</f>
        <v/>
      </c>
      <c r="AQ25" s="78">
        <f>(BSPrice($B25,$J25+0.1, $K25, $C25, ($I25-$B$1)/365, $G25, $H25, $D25) - BSPrice($B25,$J25, $K25, $C25, ($I25-$B$1)/365, $G25, $H25, $D25)) * $F25</f>
        <v/>
      </c>
      <c r="AR25" s="60">
        <f>(BSPrice($B25*0.8,$J25+-0.05, $K25, $C25, ($I25-$B$1)/365, $G25, $H25, $D25) - BSPrice($B25,$J25, $K25, $C25, ($I25-$B$1)/365, $G25, $H25, $D25)) * $F25</f>
        <v/>
      </c>
      <c r="AS25" s="60">
        <f>(BSPrice($B25*0.8,$J25+-0.02, $K25, $C25, ($I25-$B$1)/365, $G25, $H25, $D25) - BSPrice($B25,$J25, $K25, $C25, ($I25-$B$1)/365, $G25, $H25, $D25)) * $F25</f>
        <v/>
      </c>
      <c r="AT25" s="60">
        <f>(BSPrice($B25*0.8,$J25+0, $K25, $C25, ($I25-$B$1)/365, $G25, $H25, $D25) - BSPrice($B25,$J25, $K25, $C25, ($I25-$B$1)/365, $G25, $H25, $D25)) * $F25</f>
        <v/>
      </c>
      <c r="AU25" s="60">
        <f>(BSPrice($B25*0.8,$J25+0.02, $K25, $C25, ($I25-$B$1)/365, $G25, $H25, $D25) - BSPrice($B25,$J25, $K25, $C25, ($I25-$B$1)/365, $G25, $H25, $D25)) * $F25</f>
        <v/>
      </c>
      <c r="AV25" s="60">
        <f>(BSPrice($B25*0.8,$J25+0.05, $K25, $C25, ($I25-$B$1)/365, $G25, $H25, $D25) - BSPrice($B25,$J25, $K25, $C25, ($I25-$B$1)/365, $G25, $H25, $D25)) * $F25</f>
        <v/>
      </c>
      <c r="AW25" s="60">
        <f>(BSPrice($B25*0.8,$J25+0.1, $K25, $C25, ($I25-$B$1)/365, $G25, $H25, $D25) - BSPrice($B25,$J25, $K25, $C25, ($I25-$B$1)/365, $G25, $H25, $D25)) * $F25</f>
        <v/>
      </c>
      <c r="AX25" s="60">
        <f>(BSPrice($B25*0.8,$J25+0.2, $K25, $C25, ($I25-$B$1)/365, $G25, $H25, $D25) - BSPrice($B25,$J25, $K25, $C25, ($I25-$B$1)/365, $G25, $H25, $D25)) * $F25</f>
        <v/>
      </c>
      <c r="AY25" s="60">
        <f>(BSPrice($B25*0.9,$J25+-0.05, $K25, $C25, ($I25-$B$1)/365, $G25, $H25, $D25) - BSPrice($B25,$J25, $K25, $C25, ($I25-$B$1)/365, $G25, $H25, $D25)) * $F25</f>
        <v/>
      </c>
      <c r="AZ25" s="60">
        <f>(BSPrice($B25*0.9,$J25+-0.02, $K25, $C25, ($I25-$B$1)/365, $G25, $H25, $D25) - BSPrice($B25,$J25, $K25, $C25, ($I25-$B$1)/365, $G25, $H25, $D25)) * $F25</f>
        <v/>
      </c>
      <c r="BA25" s="60">
        <f>(BSPrice($B25*0.9,$J25+0, $K25, $C25, ($I25-$B$1)/365, $G25, $H25, $D25) - BSPrice($B25,$J25, $K25, $C25, ($I25-$B$1)/365, $G25, $H25, $D25)) * $F25</f>
        <v/>
      </c>
      <c r="BB25" s="60">
        <f>(BSPrice($B25*0.9,$J25+0.02, $K25, $C25, ($I25-$B$1)/365, $G25, $H25, $D25) - BSPrice($B25,$J25, $K25, $C25, ($I25-$B$1)/365, $G25, $H25, $D25)) * $F25</f>
        <v/>
      </c>
      <c r="BC25" s="60">
        <f>(BSPrice($B25*0.9,$J25+0.05, $K25, $C25, ($I25-$B$1)/365, $G25, $H25, $D25) - BSPrice($B25,$J25, $K25, $C25, ($I25-$B$1)/365, $G25, $H25, $D25)) * $F25</f>
        <v/>
      </c>
      <c r="BD25" s="60">
        <f>(BSPrice($B25*0.9,$J25+0.1, $K25, $C25, ($I25-$B$1)/365, $G25, $H25, $D25) - BSPrice($B25,$J25, $K25, $C25, ($I25-$B$1)/365, $G25, $H25, $D25)) * $F25</f>
        <v/>
      </c>
      <c r="BE25" s="60">
        <f>(BSPrice($B25*0.9,$J25+0.2, $K25, $C25, ($I25-$B$1)/365, $G25, $H25, $D25) - BSPrice($B25,$J25, $K25, $C25, ($I25-$B$1)/365, $G25, $H25, $D25)) * $F25</f>
        <v/>
      </c>
      <c r="BF25" s="60">
        <f>(BSPrice($B25*0.95,$J25+-0.05, $K25, $C25, ($I25-$B$1)/365, $G25, $H25, $D25) - BSPrice($B25,$J25, $K25, $C25, ($I25-$B$1)/365, $G25, $H25, $D25)) * $F25</f>
        <v/>
      </c>
      <c r="BG25" s="60">
        <f>(BSPrice($B25*0.95,$J25+-0.02, $K25, $C25, ($I25-$B$1)/365, $G25, $H25, $D25) - BSPrice($B25,$J25, $K25, $C25, ($I25-$B$1)/365, $G25, $H25, $D25)) * $F25</f>
        <v/>
      </c>
      <c r="BH25" s="60">
        <f>(BSPrice($B25*0.95,$J25+0, $K25, $C25, ($I25-$B$1)/365, $G25, $H25, $D25) - BSPrice($B25,$J25, $K25, $C25, ($I25-$B$1)/365, $G25, $H25, $D25)) * $F25</f>
        <v/>
      </c>
      <c r="BI25" s="60">
        <f>(BSPrice($B25*0.95,$J25+0.02, $K25, $C25, ($I25-$B$1)/365, $G25, $H25, $D25) - BSPrice($B25,$J25, $K25, $C25, ($I25-$B$1)/365, $G25, $H25, $D25)) * $F25</f>
        <v/>
      </c>
      <c r="BJ25" s="60">
        <f>(BSPrice($B25*0.95,$J25+0.05, $K25, $C25, ($I25-$B$1)/365, $G25, $H25, $D25) - BSPrice($B25,$J25, $K25, $C25, ($I25-$B$1)/365, $G25, $H25, $D25)) * $F25</f>
        <v/>
      </c>
      <c r="BK25" s="60">
        <f>(BSPrice($B25*0.95,$J25+0.1, $K25, $C25, ($I25-$B$1)/365, $G25, $H25, $D25) - BSPrice($B25,$J25, $K25, $C25, ($I25-$B$1)/365, $G25, $H25, $D25)) * $F25</f>
        <v/>
      </c>
      <c r="BL25" s="60">
        <f>(BSPrice($B25*0.95,$J25+0.2, $K25, $C25, ($I25-$B$1)/365, $G25, $H25, $D25) - BSPrice($B25,$J25, $K25, $C25, ($I25-$B$1)/365, $G25, $H25, $D25)) * $F25</f>
        <v/>
      </c>
      <c r="BM25" s="60">
        <f>(BSPrice($B25*1,$J25+-0.05, $K25, $C25, ($I25-$B$1)/365, $G25, $H25, $D25) - BSPrice($B25,$J25, $K25, $C25, ($I25-$B$1)/365, $G25, $H25, $D25)) * $F25</f>
        <v/>
      </c>
      <c r="BN25" s="60">
        <f>(BSPrice($B25*1,$J25+-0.02, $K25, $C25, ($I25-$B$1)/365, $G25, $H25, $D25) - BSPrice($B25,$J25, $K25, $C25, ($I25-$B$1)/365, $G25, $H25, $D25)) * $F25</f>
        <v/>
      </c>
      <c r="BO25" s="60">
        <f>(BSPrice($B25*1,$J25+0, $K25, $C25, ($I25-$B$1)/365, $G25, $H25, $D25) - BSPrice($B25,$J25, $K25, $C25, ($I25-$B$1)/365, $G25, $H25, $D25)) * $F25</f>
        <v/>
      </c>
      <c r="BP25" s="60">
        <f>(BSPrice($B25*1,$J25+0.02, $K25, $C25, ($I25-$B$1)/365, $G25, $H25, $D25) - BSPrice($B25,$J25, $K25, $C25, ($I25-$B$1)/365, $G25, $H25, $D25)) * $F25</f>
        <v/>
      </c>
      <c r="BQ25" s="60">
        <f>(BSPrice($B25*1,$J25+0.05, $K25, $C25, ($I25-$B$1)/365, $G25, $H25, $D25) - BSPrice($B25,$J25, $K25, $C25, ($I25-$B$1)/365, $G25, $H25, $D25)) * $F25</f>
        <v/>
      </c>
      <c r="BR25" s="60">
        <f>(BSPrice($B25*1,$J25+0.1, $K25, $C25, ($I25-$B$1)/365, $G25, $H25, $D25) - BSPrice($B25,$J25, $K25, $C25, ($I25-$B$1)/365, $G25, $H25, $D25)) * $F25</f>
        <v/>
      </c>
      <c r="BS25" s="60">
        <f>(BSPrice($B25*1,$J25+0.2, $K25, $C25, ($I25-$B$1)/365, $G25, $H25, $D25) - BSPrice($B25,$J25, $K25, $C25, ($I25-$B$1)/365, $G25, $H25, $D25)) * $F25</f>
        <v/>
      </c>
      <c r="BT25" s="60">
        <f>(BSPrice($B25*1.05,$J25+-0.05, $K25, $C25, ($I25-$B$1)/365, $G25, $H25, $D25) - BSPrice($B25,$J25, $K25, $C25, ($I25-$B$1)/365, $G25, $H25, $D25)) * $F25</f>
        <v/>
      </c>
      <c r="BU25" s="60">
        <f>(BSPrice($B25*1.05,$J25+-0.02, $K25, $C25, ($I25-$B$1)/365, $G25, $H25, $D25) - BSPrice($B25,$J25, $K25, $C25, ($I25-$B$1)/365, $G25, $H25, $D25)) * $F25</f>
        <v/>
      </c>
      <c r="BV25" s="60">
        <f>(BSPrice($B25*1.05,$J25+0, $K25, $C25, ($I25-$B$1)/365, $G25, $H25, $D25) - BSPrice($B25,$J25, $K25, $C25, ($I25-$B$1)/365, $G25, $H25, $D25)) * $F25</f>
        <v/>
      </c>
      <c r="BW25" s="60">
        <f>(BSPrice($B25*1.05,$J25+0.02, $K25, $C25, ($I25-$B$1)/365, $G25, $H25, $D25) - BSPrice($B25,$J25, $K25, $C25, ($I25-$B$1)/365, $G25, $H25, $D25)) * $F25</f>
        <v/>
      </c>
      <c r="BX25" s="60">
        <f>(BSPrice($B25*1.05,$J25+0.05, $K25, $C25, ($I25-$B$1)/365, $G25, $H25, $D25) - BSPrice($B25,$J25, $K25, $C25, ($I25-$B$1)/365, $G25, $H25, $D25)) * $F25</f>
        <v/>
      </c>
      <c r="BY25" s="60">
        <f>(BSPrice($B25*1.05,$J25+0.1, $K25, $C25, ($I25-$B$1)/365, $G25, $H25, $D25) - BSPrice($B25,$J25, $K25, $C25, ($I25-$B$1)/365, $G25, $H25, $D25)) * $F25</f>
        <v/>
      </c>
      <c r="BZ25" s="60">
        <f>(BSPrice($B25*1.05,$J25+0.2, $K25, $C25, ($I25-$B$1)/365, $G25, $H25, $D25) - BSPrice($B25,$J25, $K25, $C25, ($I25-$B$1)/365, $G25, $H25, $D25)) * $F25</f>
        <v/>
      </c>
      <c r="CA25" s="60">
        <f>(BSPrice($B25*1.1,$J25+-0.05, $K25, $C25, ($I25-$B$1)/365, $G25, $H25, $D25) - BSPrice($B25,$J25, $K25, $C25, ($I25-$B$1)/365, $G25, $H25, $D25)) * $F25</f>
        <v/>
      </c>
      <c r="CB25" s="60">
        <f>(BSPrice($B25*1.1,$J25+-0.02, $K25, $C25, ($I25-$B$1)/365, $G25, $H25, $D25) - BSPrice($B25,$J25, $K25, $C25, ($I25-$B$1)/365, $G25, $H25, $D25)) * $F25</f>
        <v/>
      </c>
      <c r="CC25" s="60">
        <f>(BSPrice($B25*1.1,$J25+0, $K25, $C25, ($I25-$B$1)/365, $G25, $H25, $D25) - BSPrice($B25,$J25, $K25, $C25, ($I25-$B$1)/365, $G25, $H25, $D25)) * $F25</f>
        <v/>
      </c>
      <c r="CD25" s="60">
        <f>(BSPrice($B25*1.1,$J25+0.02, $K25, $C25, ($I25-$B$1)/365, $G25, $H25, $D25) - BSPrice($B25,$J25, $K25, $C25, ($I25-$B$1)/365, $G25, $H25, $D25)) * $F25</f>
        <v/>
      </c>
      <c r="CE25" s="60">
        <f>(BSPrice($B25*1.1,$J25+0.05, $K25, $C25, ($I25-$B$1)/365, $G25, $H25, $D25) - BSPrice($B25,$J25, $K25, $C25, ($I25-$B$1)/365, $G25, $H25, $D25)) * $F25</f>
        <v/>
      </c>
      <c r="CF25" s="60">
        <f>(BSPrice($B25*1.1,$J25+0.1, $K25, $C25, ($I25-$B$1)/365, $G25, $H25, $D25) - BSPrice($B25,$J25, $K25, $C25, ($I25-$B$1)/365, $G25, $H25, $D25)) * $F25</f>
        <v/>
      </c>
      <c r="CG25" s="60">
        <f>(BSPrice($B25*1.1,$J25+0.2, $K25, $C25, ($I25-$B$1)/365, $G25, $H25, $D25) - BSPrice($B25,$J25, $K25, $C25, ($I25-$B$1)/365, $G25, $H25, $D25)) * $F25</f>
        <v/>
      </c>
      <c r="CH25" s="60">
        <f>(BSPrice($B25*1.2,$J25+-0.05, $K25, $C25, ($I25-$B$1)/365, $G25, $H25, $D25) - BSPrice($B25,$J25, $K25, $C25, ($I25-$B$1)/365, $G25, $H25, $D25)) * $F25</f>
        <v/>
      </c>
      <c r="CI25" s="60">
        <f>(BSPrice($B25*1.2,$J25+-0.02, $K25, $C25, ($I25-$B$1)/365, $G25, $H25, $D25) - BSPrice($B25,$J25, $K25, $C25, ($I25-$B$1)/365, $G25, $H25, $D25)) * $F25</f>
        <v/>
      </c>
      <c r="CJ25" s="60">
        <f>(BSPrice($B25*1.2,$J25+0, $K25, $C25, ($I25-$B$1)/365, $G25, $H25, $D25) - BSPrice($B25,$J25, $K25, $C25, ($I25-$B$1)/365, $G25, $H25, $D25)) * $F25</f>
        <v/>
      </c>
      <c r="CK25" s="60">
        <f>(BSPrice($B25*1.2,$J25+0.02, $K25, $C25, ($I25-$B$1)/365, $G25, $H25, $D25) - BSPrice($B25,$J25, $K25, $C25, ($I25-$B$1)/365, $G25, $H25, $D25)) * $F25</f>
        <v/>
      </c>
      <c r="CL25" s="60">
        <f>(BSPrice($B25*1.2,$J25+0.05, $K25, $C25, ($I25-$B$1)/365, $G25, $H25, $D25) - BSPrice($B25,$J25, $K25, $C25, ($I25-$B$1)/365, $G25, $H25, $D25)) * $F25</f>
        <v/>
      </c>
      <c r="CM25" s="60">
        <f>(BSPrice($B25*1.2,$J25+0.1, $K25, $C25, ($I25-$B$1)/365, $G25, $H25, $D25) - BSPrice($B25,$J25, $K25, $C25, ($I25-$B$1)/365, $G25, $H25, $D25)) * $F25</f>
        <v/>
      </c>
      <c r="CN25" s="60">
        <f>(BSPrice($B25*1.2,$J25+0.2, $K25, $C25, ($I25-$B$1)/365, $G25, $H25, $D25) - BSPrice($B25,$J25, $K25, $C25, ($I25-$B$1)/365, $G25, $H25, $D25)) * $F25</f>
        <v/>
      </c>
    </row>
    <row r="26">
      <c r="A26" s="3" t="inlineStr">
        <is>
          <t>SPX Index</t>
        </is>
      </c>
      <c r="B26" s="4">
        <f>VLOOKUP(A26,PriceData!$K$4:$L$6,2,FALSE)</f>
        <v/>
      </c>
      <c r="C26" s="46">
        <f>VLOOKUP(A26,PriceData!$K$4:$M$6,3,FALSE)</f>
        <v/>
      </c>
      <c r="D26" s="4" t="inlineStr">
        <is>
          <t>Option</t>
        </is>
      </c>
      <c r="E26" s="4" t="inlineStr">
        <is>
          <t>USD</t>
        </is>
      </c>
      <c r="F26" s="4" t="n">
        <v>-50</v>
      </c>
      <c r="G26" s="4" t="n">
        <v>1100</v>
      </c>
      <c r="H26" s="4" t="inlineStr">
        <is>
          <t>Call</t>
        </is>
      </c>
      <c r="I26" s="5" t="n">
        <v>40347</v>
      </c>
      <c r="J26" s="46">
        <f>FindImpliedVol(A26, D26, G26, I26)</f>
        <v/>
      </c>
      <c r="K26" s="30">
        <f>VLOOKUP(I26,PriceData!$A$5:$D$7,MATCH($E26,PriceData!$A$4:$D$4,0),FALSE)</f>
        <v/>
      </c>
      <c r="L26" s="2">
        <f>BSPrice($B26,$J26, $K26, $C26, ($I26-$B$1)/365, $G26, $H26, $D26)</f>
        <v/>
      </c>
      <c r="M26" s="2">
        <f>F26*L26</f>
        <v/>
      </c>
      <c r="N26" s="4" t="inlineStr">
        <is>
          <t>Exch</t>
        </is>
      </c>
      <c r="P26" s="60">
        <f>BSDelta(B26, J26, K26, C26, (I26-$B$1)/365, G26, H26, D26)</f>
        <v/>
      </c>
      <c r="Q26" s="60">
        <f>BSGamma(B26, J26, K26, C26, (I26-$B$1)/365, G26, D26)</f>
        <v/>
      </c>
      <c r="R26" s="58">
        <f>BSVega(B26, J26, K26, C26, (I26-$B$1)/365,G26, D26)</f>
        <v/>
      </c>
      <c r="S26" s="58">
        <f>BSVolga(B26, J26, K26, C26, (I26-$B$1)/365,G26, D26)</f>
        <v/>
      </c>
      <c r="T26" s="58">
        <f>BSVanna(B26,J26,K26, C26, (I26-$B$1)/365, G26, D26)</f>
        <v/>
      </c>
      <c r="U26" s="2">
        <f>BSRho(B26, J26, K26, C26, (I26-$B$1)/365, G26, H26, D26)</f>
        <v/>
      </c>
      <c r="V26" s="65">
        <f>$F26*$P26</f>
        <v/>
      </c>
      <c r="W26" s="65">
        <f>$F26*$Q26</f>
        <v/>
      </c>
      <c r="X26" s="78">
        <f>$F26*R26</f>
        <v/>
      </c>
      <c r="Y26" s="78">
        <f>$F26*S26</f>
        <v/>
      </c>
      <c r="Z26" s="78">
        <f>$F26*T26</f>
        <v/>
      </c>
      <c r="AA26" s="78">
        <f>$F26*U26</f>
        <v/>
      </c>
      <c r="AB26" s="78">
        <f>(BSPrice($B26*0.8,$J26, $K26, $C26, ($I26-$B$1)/365, $G26, $H26, $D26) - BSPrice($B26,$J26, $K26, $C26, ($I26-$B$1)/365, $G26, $H26, $D26)) * $F26</f>
        <v/>
      </c>
      <c r="AC26" s="78">
        <f>(BSPrice($B26*0.9,$J26, $K26, $C26, ($I26-$B$1)/365, $G26, $H26, $D26) - BSPrice($B26,$J26, $K26, $C26, ($I26-$B$1)/365, $G26, $H26, $D26)) * $F26</f>
        <v/>
      </c>
      <c r="AD26" s="78">
        <f>(BSPrice($B26*0.95,$J26, $K26, $C26, ($I26-$B$1)/365, $G26, $H26, $D26) - BSPrice($B26,$J26, $K26, $C26, ($I26-$B$1)/365, $G26, $H26, $D26)) * $F26</f>
        <v/>
      </c>
      <c r="AE26" s="78">
        <f>(BSPrice($B26*0.98,$J26, $K26, $C26, ($I26-$B$1)/365, $G26, $H26, $D26) - BSPrice($B26,$J26, $K26, $C26, ($I26-$B$1)/365, $G26, $H26, $D26)) * $F26</f>
        <v/>
      </c>
      <c r="AF26" s="78">
        <f>(BSPrice($B26*1.02,$J26, $K26, $C26, ($I26-$B$1)/365, $G26, $H26, $D26) - BSPrice($B26,$J26, $K26, $C26, ($I26-$B$1)/365, $G26, $H26, $D26)) * $F26</f>
        <v/>
      </c>
      <c r="AG26" s="78">
        <f>(BSPrice($B26*1.05,$J26, $K26, $C26, ($I26-$B$1)/365, $G26, $H26, $D26) - BSPrice($B26,$J26, $K26, $C26, ($I26-$B$1)/365, $G26, $H26, $D26)) * $F26</f>
        <v/>
      </c>
      <c r="AH26" s="78">
        <f>(BSPrice($B26*1.1,$J26, $K26, $C26, ($I26-$B$1)/365, $G26, $H26, $D26) - BSPrice($B26,$J26, $K26, $C26, ($I26-$B$1)/365, $G26, $H26, $D26)) * $F26</f>
        <v/>
      </c>
      <c r="AI26" s="78">
        <f>(BSPrice($B26*1.2,$J26, $K26, $C26, ($I26-$B$1)/365, $G26, $H26, $D26) - BSPrice($B26,$J26, $K26, $C26, ($I26-$B$1)/365, $G26, $H26, $D26)) * $F26</f>
        <v/>
      </c>
      <c r="AJ26" s="78">
        <f>(BSPrice($B26,$J26-0.1, $K26, $C26, ($I26-$B$1)/365, $G26, $H26, $D26) - BSPrice($B26,$J26, $K26, $C26, ($I26-$B$1)/365, $G26, $H26, $D26)) * $F26</f>
        <v/>
      </c>
      <c r="AK26" s="78">
        <f>(BSPrice($B26,$J26-0.05,$K26,$C26,($I26-$B$1)/365,$G26,$H26,$D26)-BSPrice($B26,$J26,$K26,$C26,($I26-$B$1)/365,$G26,$H26,$D26))*$F26</f>
        <v/>
      </c>
      <c r="AL26" s="78">
        <f>(BSPrice($B26,$J26-0.02, $K26, $C26, ($I26-$B$1)/365, $G26, $H26, $D26) - BSPrice($B26,$J26, $K26, $C26, ($I26-$B$1)/365, $G26, $H26, $D26)) * $F26</f>
        <v/>
      </c>
      <c r="AM26" s="78">
        <f>(BSPrice($B26,$J26-0.01, $K26, $C26, ($I26-$B$1)/365, $G26, $H26, $D26) - BSPrice($B26,$J26, $K26, $C26, ($I26-$B$1)/365, $G26, $H26, $D26)) * $F26</f>
        <v/>
      </c>
      <c r="AN26" s="78">
        <f>(BSPrice($B26,$J26+0.01, $K26, $C26, ($I26-$B$1)/365, $G26, $H26, $D26) - BSPrice($B26,$J26, $K26, $C26, ($I26-$B$1)/365, $G26, $H26, $D26)) * $F26</f>
        <v/>
      </c>
      <c r="AO26" s="78">
        <f>(BSPrice($B26,$J26+0.02, $K26, $C26, ($I26-$B$1)/365, $G26, $H26, $D26) - BSPrice($B26,$J26, $K26, $C26, ($I26-$B$1)/365, $G26, $H26, $D26)) * $F26</f>
        <v/>
      </c>
      <c r="AP26" s="78">
        <f>(BSPrice($B26,$J26+0.05, $K26, $C26, ($I26-$B$1)/365, $G26, $H26, $D26) - BSPrice($B26,$J26, $K26, $C26, ($I26-$B$1)/365, $G26, $H26, $D26)) * $F26</f>
        <v/>
      </c>
      <c r="AQ26" s="78">
        <f>(BSPrice($B26,$J26+0.1, $K26, $C26, ($I26-$B$1)/365, $G26, $H26, $D26) - BSPrice($B26,$J26, $K26, $C26, ($I26-$B$1)/365, $G26, $H26, $D26)) * $F26</f>
        <v/>
      </c>
      <c r="AR26" s="60">
        <f>(BSPrice($B26*0.8,$J26+-0.05, $K26, $C26, ($I26-$B$1)/365, $G26, $H26, $D26) - BSPrice($B26,$J26, $K26, $C26, ($I26-$B$1)/365, $G26, $H26, $D26)) * $F26</f>
        <v/>
      </c>
      <c r="AS26" s="60">
        <f>(BSPrice($B26*0.8,$J26+-0.02, $K26, $C26, ($I26-$B$1)/365, $G26, $H26, $D26) - BSPrice($B26,$J26, $K26, $C26, ($I26-$B$1)/365, $G26, $H26, $D26)) * $F26</f>
        <v/>
      </c>
      <c r="AT26" s="60">
        <f>(BSPrice($B26*0.8,$J26+0, $K26, $C26, ($I26-$B$1)/365, $G26, $H26, $D26) - BSPrice($B26,$J26, $K26, $C26, ($I26-$B$1)/365, $G26, $H26, $D26)) * $F26</f>
        <v/>
      </c>
      <c r="AU26" s="60">
        <f>(BSPrice($B26*0.8,$J26+0.02, $K26, $C26, ($I26-$B$1)/365, $G26, $H26, $D26) - BSPrice($B26,$J26, $K26, $C26, ($I26-$B$1)/365, $G26, $H26, $D26)) * $F26</f>
        <v/>
      </c>
      <c r="AV26" s="60">
        <f>(BSPrice($B26*0.8,$J26+0.05, $K26, $C26, ($I26-$B$1)/365, $G26, $H26, $D26) - BSPrice($B26,$J26, $K26, $C26, ($I26-$B$1)/365, $G26, $H26, $D26)) * $F26</f>
        <v/>
      </c>
      <c r="AW26" s="60">
        <f>(BSPrice($B26*0.8,$J26+0.1, $K26, $C26, ($I26-$B$1)/365, $G26, $H26, $D26) - BSPrice($B26,$J26, $K26, $C26, ($I26-$B$1)/365, $G26, $H26, $D26)) * $F26</f>
        <v/>
      </c>
      <c r="AX26" s="60">
        <f>(BSPrice($B26*0.8,$J26+0.2, $K26, $C26, ($I26-$B$1)/365, $G26, $H26, $D26) - BSPrice($B26,$J26, $K26, $C26, ($I26-$B$1)/365, $G26, $H26, $D26)) * $F26</f>
        <v/>
      </c>
      <c r="AY26" s="60">
        <f>(BSPrice($B26*0.9,$J26+-0.05, $K26, $C26, ($I26-$B$1)/365, $G26, $H26, $D26) - BSPrice($B26,$J26, $K26, $C26, ($I26-$B$1)/365, $G26, $H26, $D26)) * $F26</f>
        <v/>
      </c>
      <c r="AZ26" s="60">
        <f>(BSPrice($B26*0.9,$J26+-0.02, $K26, $C26, ($I26-$B$1)/365, $G26, $H26, $D26) - BSPrice($B26,$J26, $K26, $C26, ($I26-$B$1)/365, $G26, $H26, $D26)) * $F26</f>
        <v/>
      </c>
      <c r="BA26" s="60">
        <f>(BSPrice($B26*0.9,$J26+0, $K26, $C26, ($I26-$B$1)/365, $G26, $H26, $D26) - BSPrice($B26,$J26, $K26, $C26, ($I26-$B$1)/365, $G26, $H26, $D26)) * $F26</f>
        <v/>
      </c>
      <c r="BB26" s="60">
        <f>(BSPrice($B26*0.9,$J26+0.02, $K26, $C26, ($I26-$B$1)/365, $G26, $H26, $D26) - BSPrice($B26,$J26, $K26, $C26, ($I26-$B$1)/365, $G26, $H26, $D26)) * $F26</f>
        <v/>
      </c>
      <c r="BC26" s="60">
        <f>(BSPrice($B26*0.9,$J26+0.05, $K26, $C26, ($I26-$B$1)/365, $G26, $H26, $D26) - BSPrice($B26,$J26, $K26, $C26, ($I26-$B$1)/365, $G26, $H26, $D26)) * $F26</f>
        <v/>
      </c>
      <c r="BD26" s="60">
        <f>(BSPrice($B26*0.9,$J26+0.1, $K26, $C26, ($I26-$B$1)/365, $G26, $H26, $D26) - BSPrice($B26,$J26, $K26, $C26, ($I26-$B$1)/365, $G26, $H26, $D26)) * $F26</f>
        <v/>
      </c>
      <c r="BE26" s="60">
        <f>(BSPrice($B26*0.9,$J26+0.2, $K26, $C26, ($I26-$B$1)/365, $G26, $H26, $D26) - BSPrice($B26,$J26, $K26, $C26, ($I26-$B$1)/365, $G26, $H26, $D26)) * $F26</f>
        <v/>
      </c>
      <c r="BF26" s="60">
        <f>(BSPrice($B26*0.95,$J26+-0.05, $K26, $C26, ($I26-$B$1)/365, $G26, $H26, $D26) - BSPrice($B26,$J26, $K26, $C26, ($I26-$B$1)/365, $G26, $H26, $D26)) * $F26</f>
        <v/>
      </c>
      <c r="BG26" s="60">
        <f>(BSPrice($B26*0.95,$J26+-0.02, $K26, $C26, ($I26-$B$1)/365, $G26, $H26, $D26) - BSPrice($B26,$J26, $K26, $C26, ($I26-$B$1)/365, $G26, $H26, $D26)) * $F26</f>
        <v/>
      </c>
      <c r="BH26" s="60">
        <f>(BSPrice($B26*0.95,$J26+0, $K26, $C26, ($I26-$B$1)/365, $G26, $H26, $D26) - BSPrice($B26,$J26, $K26, $C26, ($I26-$B$1)/365, $G26, $H26, $D26)) * $F26</f>
        <v/>
      </c>
      <c r="BI26" s="60">
        <f>(BSPrice($B26*0.95,$J26+0.02, $K26, $C26, ($I26-$B$1)/365, $G26, $H26, $D26) - BSPrice($B26,$J26, $K26, $C26, ($I26-$B$1)/365, $G26, $H26, $D26)) * $F26</f>
        <v/>
      </c>
      <c r="BJ26" s="60">
        <f>(BSPrice($B26*0.95,$J26+0.05, $K26, $C26, ($I26-$B$1)/365, $G26, $H26, $D26) - BSPrice($B26,$J26, $K26, $C26, ($I26-$B$1)/365, $G26, $H26, $D26)) * $F26</f>
        <v/>
      </c>
      <c r="BK26" s="60">
        <f>(BSPrice($B26*0.95,$J26+0.1, $K26, $C26, ($I26-$B$1)/365, $G26, $H26, $D26) - BSPrice($B26,$J26, $K26, $C26, ($I26-$B$1)/365, $G26, $H26, $D26)) * $F26</f>
        <v/>
      </c>
      <c r="BL26" s="60">
        <f>(BSPrice($B26*0.95,$J26+0.2, $K26, $C26, ($I26-$B$1)/365, $G26, $H26, $D26) - BSPrice($B26,$J26, $K26, $C26, ($I26-$B$1)/365, $G26, $H26, $D26)) * $F26</f>
        <v/>
      </c>
      <c r="BM26" s="60">
        <f>(BSPrice($B26*1,$J26+-0.05, $K26, $C26, ($I26-$B$1)/365, $G26, $H26, $D26) - BSPrice($B26,$J26, $K26, $C26, ($I26-$B$1)/365, $G26, $H26, $D26)) * $F26</f>
        <v/>
      </c>
      <c r="BN26" s="60">
        <f>(BSPrice($B26*1,$J26+-0.02, $K26, $C26, ($I26-$B$1)/365, $G26, $H26, $D26) - BSPrice($B26,$J26, $K26, $C26, ($I26-$B$1)/365, $G26, $H26, $D26)) * $F26</f>
        <v/>
      </c>
      <c r="BO26" s="60">
        <f>(BSPrice($B26*1,$J26+0, $K26, $C26, ($I26-$B$1)/365, $G26, $H26, $D26) - BSPrice($B26,$J26, $K26, $C26, ($I26-$B$1)/365, $G26, $H26, $D26)) * $F26</f>
        <v/>
      </c>
      <c r="BP26" s="60">
        <f>(BSPrice($B26*1,$J26+0.02, $K26, $C26, ($I26-$B$1)/365, $G26, $H26, $D26) - BSPrice($B26,$J26, $K26, $C26, ($I26-$B$1)/365, $G26, $H26, $D26)) * $F26</f>
        <v/>
      </c>
      <c r="BQ26" s="60">
        <f>(BSPrice($B26*1,$J26+0.05, $K26, $C26, ($I26-$B$1)/365, $G26, $H26, $D26) - BSPrice($B26,$J26, $K26, $C26, ($I26-$B$1)/365, $G26, $H26, $D26)) * $F26</f>
        <v/>
      </c>
      <c r="BR26" s="60">
        <f>(BSPrice($B26*1,$J26+0.1, $K26, $C26, ($I26-$B$1)/365, $G26, $H26, $D26) - BSPrice($B26,$J26, $K26, $C26, ($I26-$B$1)/365, $G26, $H26, $D26)) * $F26</f>
        <v/>
      </c>
      <c r="BS26" s="60">
        <f>(BSPrice($B26*1,$J26+0.2, $K26, $C26, ($I26-$B$1)/365, $G26, $H26, $D26) - BSPrice($B26,$J26, $K26, $C26, ($I26-$B$1)/365, $G26, $H26, $D26)) * $F26</f>
        <v/>
      </c>
      <c r="BT26" s="60">
        <f>(BSPrice($B26*1.05,$J26+-0.05, $K26, $C26, ($I26-$B$1)/365, $G26, $H26, $D26) - BSPrice($B26,$J26, $K26, $C26, ($I26-$B$1)/365, $G26, $H26, $D26)) * $F26</f>
        <v/>
      </c>
      <c r="BU26" s="60">
        <f>(BSPrice($B26*1.05,$J26+-0.02, $K26, $C26, ($I26-$B$1)/365, $G26, $H26, $D26) - BSPrice($B26,$J26, $K26, $C26, ($I26-$B$1)/365, $G26, $H26, $D26)) * $F26</f>
        <v/>
      </c>
      <c r="BV26" s="60">
        <f>(BSPrice($B26*1.05,$J26+0, $K26, $C26, ($I26-$B$1)/365, $G26, $H26, $D26) - BSPrice($B26,$J26, $K26, $C26, ($I26-$B$1)/365, $G26, $H26, $D26)) * $F26</f>
        <v/>
      </c>
      <c r="BW26" s="60">
        <f>(BSPrice($B26*1.05,$J26+0.02, $K26, $C26, ($I26-$B$1)/365, $G26, $H26, $D26) - BSPrice($B26,$J26, $K26, $C26, ($I26-$B$1)/365, $G26, $H26, $D26)) * $F26</f>
        <v/>
      </c>
      <c r="BX26" s="60">
        <f>(BSPrice($B26*1.05,$J26+0.05, $K26, $C26, ($I26-$B$1)/365, $G26, $H26, $D26) - BSPrice($B26,$J26, $K26, $C26, ($I26-$B$1)/365, $G26, $H26, $D26)) * $F26</f>
        <v/>
      </c>
      <c r="BY26" s="60">
        <f>(BSPrice($B26*1.05,$J26+0.1, $K26, $C26, ($I26-$B$1)/365, $G26, $H26, $D26) - BSPrice($B26,$J26, $K26, $C26, ($I26-$B$1)/365, $G26, $H26, $D26)) * $F26</f>
        <v/>
      </c>
      <c r="BZ26" s="60">
        <f>(BSPrice($B26*1.05,$J26+0.2, $K26, $C26, ($I26-$B$1)/365, $G26, $H26, $D26) - BSPrice($B26,$J26, $K26, $C26, ($I26-$B$1)/365, $G26, $H26, $D26)) * $F26</f>
        <v/>
      </c>
      <c r="CA26" s="60">
        <f>(BSPrice($B26*1.1,$J26+-0.05, $K26, $C26, ($I26-$B$1)/365, $G26, $H26, $D26) - BSPrice($B26,$J26, $K26, $C26, ($I26-$B$1)/365, $G26, $H26, $D26)) * $F26</f>
        <v/>
      </c>
      <c r="CB26" s="60">
        <f>(BSPrice($B26*1.1,$J26+-0.02, $K26, $C26, ($I26-$B$1)/365, $G26, $H26, $D26) - BSPrice($B26,$J26, $K26, $C26, ($I26-$B$1)/365, $G26, $H26, $D26)) * $F26</f>
        <v/>
      </c>
      <c r="CC26" s="60">
        <f>(BSPrice($B26*1.1,$J26+0, $K26, $C26, ($I26-$B$1)/365, $G26, $H26, $D26) - BSPrice($B26,$J26, $K26, $C26, ($I26-$B$1)/365, $G26, $H26, $D26)) * $F26</f>
        <v/>
      </c>
      <c r="CD26" s="60">
        <f>(BSPrice($B26*1.1,$J26+0.02, $K26, $C26, ($I26-$B$1)/365, $G26, $H26, $D26) - BSPrice($B26,$J26, $K26, $C26, ($I26-$B$1)/365, $G26, $H26, $D26)) * $F26</f>
        <v/>
      </c>
      <c r="CE26" s="60">
        <f>(BSPrice($B26*1.1,$J26+0.05, $K26, $C26, ($I26-$B$1)/365, $G26, $H26, $D26) - BSPrice($B26,$J26, $K26, $C26, ($I26-$B$1)/365, $G26, $H26, $D26)) * $F26</f>
        <v/>
      </c>
      <c r="CF26" s="60">
        <f>(BSPrice($B26*1.1,$J26+0.1, $K26, $C26, ($I26-$B$1)/365, $G26, $H26, $D26) - BSPrice($B26,$J26, $K26, $C26, ($I26-$B$1)/365, $G26, $H26, $D26)) * $F26</f>
        <v/>
      </c>
      <c r="CG26" s="60">
        <f>(BSPrice($B26*1.1,$J26+0.2, $K26, $C26, ($I26-$B$1)/365, $G26, $H26, $D26) - BSPrice($B26,$J26, $K26, $C26, ($I26-$B$1)/365, $G26, $H26, $D26)) * $F26</f>
        <v/>
      </c>
      <c r="CH26" s="60">
        <f>(BSPrice($B26*1.2,$J26+-0.05, $K26, $C26, ($I26-$B$1)/365, $G26, $H26, $D26) - BSPrice($B26,$J26, $K26, $C26, ($I26-$B$1)/365, $G26, $H26, $D26)) * $F26</f>
        <v/>
      </c>
      <c r="CI26" s="60">
        <f>(BSPrice($B26*1.2,$J26+-0.02, $K26, $C26, ($I26-$B$1)/365, $G26, $H26, $D26) - BSPrice($B26,$J26, $K26, $C26, ($I26-$B$1)/365, $G26, $H26, $D26)) * $F26</f>
        <v/>
      </c>
      <c r="CJ26" s="60">
        <f>(BSPrice($B26*1.2,$J26+0, $K26, $C26, ($I26-$B$1)/365, $G26, $H26, $D26) - BSPrice($B26,$J26, $K26, $C26, ($I26-$B$1)/365, $G26, $H26, $D26)) * $F26</f>
        <v/>
      </c>
      <c r="CK26" s="60">
        <f>(BSPrice($B26*1.2,$J26+0.02, $K26, $C26, ($I26-$B$1)/365, $G26, $H26, $D26) - BSPrice($B26,$J26, $K26, $C26, ($I26-$B$1)/365, $G26, $H26, $D26)) * $F26</f>
        <v/>
      </c>
      <c r="CL26" s="60">
        <f>(BSPrice($B26*1.2,$J26+0.05, $K26, $C26, ($I26-$B$1)/365, $G26, $H26, $D26) - BSPrice($B26,$J26, $K26, $C26, ($I26-$B$1)/365, $G26, $H26, $D26)) * $F26</f>
        <v/>
      </c>
      <c r="CM26" s="60">
        <f>(BSPrice($B26*1.2,$J26+0.1, $K26, $C26, ($I26-$B$1)/365, $G26, $H26, $D26) - BSPrice($B26,$J26, $K26, $C26, ($I26-$B$1)/365, $G26, $H26, $D26)) * $F26</f>
        <v/>
      </c>
      <c r="CN26" s="60">
        <f>(BSPrice($B26*1.2,$J26+0.2, $K26, $C26, ($I26-$B$1)/365, $G26, $H26, $D26) - BSPrice($B26,$J26, $K26, $C26, ($I26-$B$1)/365, $G26, $H26, $D26)) * $F26</f>
        <v/>
      </c>
    </row>
    <row r="27">
      <c r="A27" s="3" t="inlineStr">
        <is>
          <t>SPX Index</t>
        </is>
      </c>
      <c r="B27" s="4">
        <f>VLOOKUP(A27,PriceData!$K$4:$L$6,2,FALSE)</f>
        <v/>
      </c>
      <c r="C27" s="46">
        <f>VLOOKUP(A27,PriceData!$K$4:$M$6,3,FALSE)</f>
        <v/>
      </c>
      <c r="D27" s="4" t="inlineStr">
        <is>
          <t>Option</t>
        </is>
      </c>
      <c r="E27" s="4" t="inlineStr">
        <is>
          <t>USD</t>
        </is>
      </c>
      <c r="F27" s="4" t="n">
        <v>-20</v>
      </c>
      <c r="G27" s="4" t="n">
        <v>1034</v>
      </c>
      <c r="H27" s="4" t="inlineStr">
        <is>
          <t>Put</t>
        </is>
      </c>
      <c r="I27" s="5" t="n">
        <v>40347</v>
      </c>
      <c r="J27" s="46">
        <f>FindImpliedVol(A27, D27, G27, I27)</f>
        <v/>
      </c>
      <c r="K27" s="30">
        <f>VLOOKUP(I27,PriceData!$A$5:$D$7,MATCH($E27,PriceData!$A$4:$D$4,0),FALSE)</f>
        <v/>
      </c>
      <c r="L27" s="2">
        <f>BSPrice($B27,$J27, $K27, $C27, ($I27-$B$1)/365, $G27, $H27, $D27)</f>
        <v/>
      </c>
      <c r="M27" s="2">
        <f>F27*L27</f>
        <v/>
      </c>
      <c r="N27" s="4" t="inlineStr">
        <is>
          <t>Exch</t>
        </is>
      </c>
      <c r="P27" s="60">
        <f>BSDelta(B27, J27, K27, C27, (I27-$B$1)/365, G27, H27, D27)</f>
        <v/>
      </c>
      <c r="Q27" s="60">
        <f>BSGamma(B27, J27, K27, C27, (I27-$B$1)/365, G27, D27)</f>
        <v/>
      </c>
      <c r="R27" s="58">
        <f>BSVega(B27, J27, K27, C27, (I27-$B$1)/365,G27, D27)</f>
        <v/>
      </c>
      <c r="S27" s="58">
        <f>BSVolga(B27, J27, K27, C27, (I27-$B$1)/365,G27, D27)</f>
        <v/>
      </c>
      <c r="T27" s="58">
        <f>BSVanna(B27,J27,K27, C27, (I27-$B$1)/365, G27, D27)</f>
        <v/>
      </c>
      <c r="U27" s="2">
        <f>BSRho(B27, J27, K27, C27, (I27-$B$1)/365, G27, H27, D27)</f>
        <v/>
      </c>
      <c r="V27" s="65">
        <f>$F27*$P27</f>
        <v/>
      </c>
      <c r="W27" s="65">
        <f>$F27*$Q27</f>
        <v/>
      </c>
      <c r="X27" s="78">
        <f>$F27*R27</f>
        <v/>
      </c>
      <c r="Y27" s="78">
        <f>$F27*S27</f>
        <v/>
      </c>
      <c r="Z27" s="78">
        <f>$F27*T27</f>
        <v/>
      </c>
      <c r="AA27" s="78">
        <f>$F27*U27</f>
        <v/>
      </c>
      <c r="AB27" s="78">
        <f>(BSPrice($B27*0.8,$J27, $K27, $C27, ($I27-$B$1)/365, $G27, $H27, $D27) - BSPrice($B27,$J27, $K27, $C27, ($I27-$B$1)/365, $G27, $H27, $D27)) * $F27</f>
        <v/>
      </c>
      <c r="AC27" s="78">
        <f>(BSPrice($B27*0.9,$J27, $K27, $C27, ($I27-$B$1)/365, $G27, $H27, $D27) - BSPrice($B27,$J27, $K27, $C27, ($I27-$B$1)/365, $G27, $H27, $D27)) * $F27</f>
        <v/>
      </c>
      <c r="AD27" s="78">
        <f>(BSPrice($B27*0.95,$J27, $K27, $C27, ($I27-$B$1)/365, $G27, $H27, $D27) - BSPrice($B27,$J27, $K27, $C27, ($I27-$B$1)/365, $G27, $H27, $D27)) * $F27</f>
        <v/>
      </c>
      <c r="AE27" s="78">
        <f>(BSPrice($B27*0.98,$J27, $K27, $C27, ($I27-$B$1)/365, $G27, $H27, $D27) - BSPrice($B27,$J27, $K27, $C27, ($I27-$B$1)/365, $G27, $H27, $D27)) * $F27</f>
        <v/>
      </c>
      <c r="AF27" s="78">
        <f>(BSPrice($B27*1.02,$J27, $K27, $C27, ($I27-$B$1)/365, $G27, $H27, $D27) - BSPrice($B27,$J27, $K27, $C27, ($I27-$B$1)/365, $G27, $H27, $D27)) * $F27</f>
        <v/>
      </c>
      <c r="AG27" s="78">
        <f>(BSPrice($B27*1.05,$J27, $K27, $C27, ($I27-$B$1)/365, $G27, $H27, $D27) - BSPrice($B27,$J27, $K27, $C27, ($I27-$B$1)/365, $G27, $H27, $D27)) * $F27</f>
        <v/>
      </c>
      <c r="AH27" s="78">
        <f>(BSPrice($B27*1.1,$J27, $K27, $C27, ($I27-$B$1)/365, $G27, $H27, $D27) - BSPrice($B27,$J27, $K27, $C27, ($I27-$B$1)/365, $G27, $H27, $D27)) * $F27</f>
        <v/>
      </c>
      <c r="AI27" s="78">
        <f>(BSPrice($B27*1.2,$J27, $K27, $C27, ($I27-$B$1)/365, $G27, $H27, $D27) - BSPrice($B27,$J27, $K27, $C27, ($I27-$B$1)/365, $G27, $H27, $D27)) * $F27</f>
        <v/>
      </c>
      <c r="AJ27" s="78">
        <f>(BSPrice($B27,$J27-0.1, $K27, $C27, ($I27-$B$1)/365, $G27, $H27, $D27) - BSPrice($B27,$J27, $K27, $C27, ($I27-$B$1)/365, $G27, $H27, $D27)) * $F27</f>
        <v/>
      </c>
      <c r="AK27" s="78">
        <f>(BSPrice($B27,$J27-0.05,$K27,$C27,($I27-$B$1)/365,$G27,$H27,$D27)-BSPrice($B27,$J27,$K27,$C27,($I27-$B$1)/365,$G27,$H27,$D27))*$F27</f>
        <v/>
      </c>
      <c r="AL27" s="78">
        <f>(BSPrice($B27,$J27-0.02, $K27, $C27, ($I27-$B$1)/365, $G27, $H27, $D27) - BSPrice($B27,$J27, $K27, $C27, ($I27-$B$1)/365, $G27, $H27, $D27)) * $F27</f>
        <v/>
      </c>
      <c r="AM27" s="78">
        <f>(BSPrice($B27,$J27-0.01, $K27, $C27, ($I27-$B$1)/365, $G27, $H27, $D27) - BSPrice($B27,$J27, $K27, $C27, ($I27-$B$1)/365, $G27, $H27, $D27)) * $F27</f>
        <v/>
      </c>
      <c r="AN27" s="78">
        <f>(BSPrice($B27,$J27+0.01, $K27, $C27, ($I27-$B$1)/365, $G27, $H27, $D27) - BSPrice($B27,$J27, $K27, $C27, ($I27-$B$1)/365, $G27, $H27, $D27)) * $F27</f>
        <v/>
      </c>
      <c r="AO27" s="78">
        <f>(BSPrice($B27,$J27+0.02, $K27, $C27, ($I27-$B$1)/365, $G27, $H27, $D27) - BSPrice($B27,$J27, $K27, $C27, ($I27-$B$1)/365, $G27, $H27, $D27)) * $F27</f>
        <v/>
      </c>
      <c r="AP27" s="78">
        <f>(BSPrice($B27,$J27+0.05, $K27, $C27, ($I27-$B$1)/365, $G27, $H27, $D27) - BSPrice($B27,$J27, $K27, $C27, ($I27-$B$1)/365, $G27, $H27, $D27)) * $F27</f>
        <v/>
      </c>
      <c r="AQ27" s="78">
        <f>(BSPrice($B27,$J27+0.1, $K27, $C27, ($I27-$B$1)/365, $G27, $H27, $D27) - BSPrice($B27,$J27, $K27, $C27, ($I27-$B$1)/365, $G27, $H27, $D27)) * $F27</f>
        <v/>
      </c>
      <c r="AR27" s="60">
        <f>(BSPrice($B27*0.8,$J27+-0.05, $K27, $C27, ($I27-$B$1)/365, $G27, $H27, $D27) - BSPrice($B27,$J27, $K27, $C27, ($I27-$B$1)/365, $G27, $H27, $D27)) * $F27</f>
        <v/>
      </c>
      <c r="AS27" s="60">
        <f>(BSPrice($B27*0.8,$J27+-0.02, $K27, $C27, ($I27-$B$1)/365, $G27, $H27, $D27) - BSPrice($B27,$J27, $K27, $C27, ($I27-$B$1)/365, $G27, $H27, $D27)) * $F27</f>
        <v/>
      </c>
      <c r="AT27" s="60">
        <f>(BSPrice($B27*0.8,$J27+0, $K27, $C27, ($I27-$B$1)/365, $G27, $H27, $D27) - BSPrice($B27,$J27, $K27, $C27, ($I27-$B$1)/365, $G27, $H27, $D27)) * $F27</f>
        <v/>
      </c>
      <c r="AU27" s="60">
        <f>(BSPrice($B27*0.8,$J27+0.02, $K27, $C27, ($I27-$B$1)/365, $G27, $H27, $D27) - BSPrice($B27,$J27, $K27, $C27, ($I27-$B$1)/365, $G27, $H27, $D27)) * $F27</f>
        <v/>
      </c>
      <c r="AV27" s="60">
        <f>(BSPrice($B27*0.8,$J27+0.05, $K27, $C27, ($I27-$B$1)/365, $G27, $H27, $D27) - BSPrice($B27,$J27, $K27, $C27, ($I27-$B$1)/365, $G27, $H27, $D27)) * $F27</f>
        <v/>
      </c>
      <c r="AW27" s="60">
        <f>(BSPrice($B27*0.8,$J27+0.1, $K27, $C27, ($I27-$B$1)/365, $G27, $H27, $D27) - BSPrice($B27,$J27, $K27, $C27, ($I27-$B$1)/365, $G27, $H27, $D27)) * $F27</f>
        <v/>
      </c>
      <c r="AX27" s="60">
        <f>(BSPrice($B27*0.8,$J27+0.2, $K27, $C27, ($I27-$B$1)/365, $G27, $H27, $D27) - BSPrice($B27,$J27, $K27, $C27, ($I27-$B$1)/365, $G27, $H27, $D27)) * $F27</f>
        <v/>
      </c>
      <c r="AY27" s="60">
        <f>(BSPrice($B27*0.9,$J27+-0.05, $K27, $C27, ($I27-$B$1)/365, $G27, $H27, $D27) - BSPrice($B27,$J27, $K27, $C27, ($I27-$B$1)/365, $G27, $H27, $D27)) * $F27</f>
        <v/>
      </c>
      <c r="AZ27" s="60">
        <f>(BSPrice($B27*0.9,$J27+-0.02, $K27, $C27, ($I27-$B$1)/365, $G27, $H27, $D27) - BSPrice($B27,$J27, $K27, $C27, ($I27-$B$1)/365, $G27, $H27, $D27)) * $F27</f>
        <v/>
      </c>
      <c r="BA27" s="60">
        <f>(BSPrice($B27*0.9,$J27+0, $K27, $C27, ($I27-$B$1)/365, $G27, $H27, $D27) - BSPrice($B27,$J27, $K27, $C27, ($I27-$B$1)/365, $G27, $H27, $D27)) * $F27</f>
        <v/>
      </c>
      <c r="BB27" s="60">
        <f>(BSPrice($B27*0.9,$J27+0.02, $K27, $C27, ($I27-$B$1)/365, $G27, $H27, $D27) - BSPrice($B27,$J27, $K27, $C27, ($I27-$B$1)/365, $G27, $H27, $D27)) * $F27</f>
        <v/>
      </c>
      <c r="BC27" s="60">
        <f>(BSPrice($B27*0.9,$J27+0.05, $K27, $C27, ($I27-$B$1)/365, $G27, $H27, $D27) - BSPrice($B27,$J27, $K27, $C27, ($I27-$B$1)/365, $G27, $H27, $D27)) * $F27</f>
        <v/>
      </c>
      <c r="BD27" s="60">
        <f>(BSPrice($B27*0.9,$J27+0.1, $K27, $C27, ($I27-$B$1)/365, $G27, $H27, $D27) - BSPrice($B27,$J27, $K27, $C27, ($I27-$B$1)/365, $G27, $H27, $D27)) * $F27</f>
        <v/>
      </c>
      <c r="BE27" s="60">
        <f>(BSPrice($B27*0.9,$J27+0.2, $K27, $C27, ($I27-$B$1)/365, $G27, $H27, $D27) - BSPrice($B27,$J27, $K27, $C27, ($I27-$B$1)/365, $G27, $H27, $D27)) * $F27</f>
        <v/>
      </c>
      <c r="BF27" s="60">
        <f>(BSPrice($B27*0.95,$J27+-0.05, $K27, $C27, ($I27-$B$1)/365, $G27, $H27, $D27) - BSPrice($B27,$J27, $K27, $C27, ($I27-$B$1)/365, $G27, $H27, $D27)) * $F27</f>
        <v/>
      </c>
      <c r="BG27" s="60">
        <f>(BSPrice($B27*0.95,$J27+-0.02, $K27, $C27, ($I27-$B$1)/365, $G27, $H27, $D27) - BSPrice($B27,$J27, $K27, $C27, ($I27-$B$1)/365, $G27, $H27, $D27)) * $F27</f>
        <v/>
      </c>
      <c r="BH27" s="60">
        <f>(BSPrice($B27*0.95,$J27+0, $K27, $C27, ($I27-$B$1)/365, $G27, $H27, $D27) - BSPrice($B27,$J27, $K27, $C27, ($I27-$B$1)/365, $G27, $H27, $D27)) * $F27</f>
        <v/>
      </c>
      <c r="BI27" s="60">
        <f>(BSPrice($B27*0.95,$J27+0.02, $K27, $C27, ($I27-$B$1)/365, $G27, $H27, $D27) - BSPrice($B27,$J27, $K27, $C27, ($I27-$B$1)/365, $G27, $H27, $D27)) * $F27</f>
        <v/>
      </c>
      <c r="BJ27" s="60">
        <f>(BSPrice($B27*0.95,$J27+0.05, $K27, $C27, ($I27-$B$1)/365, $G27, $H27, $D27) - BSPrice($B27,$J27, $K27, $C27, ($I27-$B$1)/365, $G27, $H27, $D27)) * $F27</f>
        <v/>
      </c>
      <c r="BK27" s="60">
        <f>(BSPrice($B27*0.95,$J27+0.1, $K27, $C27, ($I27-$B$1)/365, $G27, $H27, $D27) - BSPrice($B27,$J27, $K27, $C27, ($I27-$B$1)/365, $G27, $H27, $D27)) * $F27</f>
        <v/>
      </c>
      <c r="BL27" s="60">
        <f>(BSPrice($B27*0.95,$J27+0.2, $K27, $C27, ($I27-$B$1)/365, $G27, $H27, $D27) - BSPrice($B27,$J27, $K27, $C27, ($I27-$B$1)/365, $G27, $H27, $D27)) * $F27</f>
        <v/>
      </c>
      <c r="BM27" s="60">
        <f>(BSPrice($B27*1,$J27+-0.05, $K27, $C27, ($I27-$B$1)/365, $G27, $H27, $D27) - BSPrice($B27,$J27, $K27, $C27, ($I27-$B$1)/365, $G27, $H27, $D27)) * $F27</f>
        <v/>
      </c>
      <c r="BN27" s="60">
        <f>(BSPrice($B27*1,$J27+-0.02, $K27, $C27, ($I27-$B$1)/365, $G27, $H27, $D27) - BSPrice($B27,$J27, $K27, $C27, ($I27-$B$1)/365, $G27, $H27, $D27)) * $F27</f>
        <v/>
      </c>
      <c r="BO27" s="60">
        <f>(BSPrice($B27*1,$J27+0, $K27, $C27, ($I27-$B$1)/365, $G27, $H27, $D27) - BSPrice($B27,$J27, $K27, $C27, ($I27-$B$1)/365, $G27, $H27, $D27)) * $F27</f>
        <v/>
      </c>
      <c r="BP27" s="60">
        <f>(BSPrice($B27*1,$J27+0.02, $K27, $C27, ($I27-$B$1)/365, $G27, $H27, $D27) - BSPrice($B27,$J27, $K27, $C27, ($I27-$B$1)/365, $G27, $H27, $D27)) * $F27</f>
        <v/>
      </c>
      <c r="BQ27" s="60">
        <f>(BSPrice($B27*1,$J27+0.05, $K27, $C27, ($I27-$B$1)/365, $G27, $H27, $D27) - BSPrice($B27,$J27, $K27, $C27, ($I27-$B$1)/365, $G27, $H27, $D27)) * $F27</f>
        <v/>
      </c>
      <c r="BR27" s="60">
        <f>(BSPrice($B27*1,$J27+0.1, $K27, $C27, ($I27-$B$1)/365, $G27, $H27, $D27) - BSPrice($B27,$J27, $K27, $C27, ($I27-$B$1)/365, $G27, $H27, $D27)) * $F27</f>
        <v/>
      </c>
      <c r="BS27" s="60">
        <f>(BSPrice($B27*1,$J27+0.2, $K27, $C27, ($I27-$B$1)/365, $G27, $H27, $D27) - BSPrice($B27,$J27, $K27, $C27, ($I27-$B$1)/365, $G27, $H27, $D27)) * $F27</f>
        <v/>
      </c>
      <c r="BT27" s="60">
        <f>(BSPrice($B27*1.05,$J27+-0.05, $K27, $C27, ($I27-$B$1)/365, $G27, $H27, $D27) - BSPrice($B27,$J27, $K27, $C27, ($I27-$B$1)/365, $G27, $H27, $D27)) * $F27</f>
        <v/>
      </c>
      <c r="BU27" s="60">
        <f>(BSPrice($B27*1.05,$J27+-0.02, $K27, $C27, ($I27-$B$1)/365, $G27, $H27, $D27) - BSPrice($B27,$J27, $K27, $C27, ($I27-$B$1)/365, $G27, $H27, $D27)) * $F27</f>
        <v/>
      </c>
      <c r="BV27" s="60">
        <f>(BSPrice($B27*1.05,$J27+0, $K27, $C27, ($I27-$B$1)/365, $G27, $H27, $D27) - BSPrice($B27,$J27, $K27, $C27, ($I27-$B$1)/365, $G27, $H27, $D27)) * $F27</f>
        <v/>
      </c>
      <c r="BW27" s="60">
        <f>(BSPrice($B27*1.05,$J27+0.02, $K27, $C27, ($I27-$B$1)/365, $G27, $H27, $D27) - BSPrice($B27,$J27, $K27, $C27, ($I27-$B$1)/365, $G27, $H27, $D27)) * $F27</f>
        <v/>
      </c>
      <c r="BX27" s="60">
        <f>(BSPrice($B27*1.05,$J27+0.05, $K27, $C27, ($I27-$B$1)/365, $G27, $H27, $D27) - BSPrice($B27,$J27, $K27, $C27, ($I27-$B$1)/365, $G27, $H27, $D27)) * $F27</f>
        <v/>
      </c>
      <c r="BY27" s="60">
        <f>(BSPrice($B27*1.05,$J27+0.1, $K27, $C27, ($I27-$B$1)/365, $G27, $H27, $D27) - BSPrice($B27,$J27, $K27, $C27, ($I27-$B$1)/365, $G27, $H27, $D27)) * $F27</f>
        <v/>
      </c>
      <c r="BZ27" s="60">
        <f>(BSPrice($B27*1.05,$J27+0.2, $K27, $C27, ($I27-$B$1)/365, $G27, $H27, $D27) - BSPrice($B27,$J27, $K27, $C27, ($I27-$B$1)/365, $G27, $H27, $D27)) * $F27</f>
        <v/>
      </c>
      <c r="CA27" s="60">
        <f>(BSPrice($B27*1.1,$J27+-0.05, $K27, $C27, ($I27-$B$1)/365, $G27, $H27, $D27) - BSPrice($B27,$J27, $K27, $C27, ($I27-$B$1)/365, $G27, $H27, $D27)) * $F27</f>
        <v/>
      </c>
      <c r="CB27" s="60">
        <f>(BSPrice($B27*1.1,$J27+-0.02, $K27, $C27, ($I27-$B$1)/365, $G27, $H27, $D27) - BSPrice($B27,$J27, $K27, $C27, ($I27-$B$1)/365, $G27, $H27, $D27)) * $F27</f>
        <v/>
      </c>
      <c r="CC27" s="60">
        <f>(BSPrice($B27*1.1,$J27+0, $K27, $C27, ($I27-$B$1)/365, $G27, $H27, $D27) - BSPrice($B27,$J27, $K27, $C27, ($I27-$B$1)/365, $G27, $H27, $D27)) * $F27</f>
        <v/>
      </c>
      <c r="CD27" s="60">
        <f>(BSPrice($B27*1.1,$J27+0.02, $K27, $C27, ($I27-$B$1)/365, $G27, $H27, $D27) - BSPrice($B27,$J27, $K27, $C27, ($I27-$B$1)/365, $G27, $H27, $D27)) * $F27</f>
        <v/>
      </c>
      <c r="CE27" s="60">
        <f>(BSPrice($B27*1.1,$J27+0.05, $K27, $C27, ($I27-$B$1)/365, $G27, $H27, $D27) - BSPrice($B27,$J27, $K27, $C27, ($I27-$B$1)/365, $G27, $H27, $D27)) * $F27</f>
        <v/>
      </c>
      <c r="CF27" s="60">
        <f>(BSPrice($B27*1.1,$J27+0.1, $K27, $C27, ($I27-$B$1)/365, $G27, $H27, $D27) - BSPrice($B27,$J27, $K27, $C27, ($I27-$B$1)/365, $G27, $H27, $D27)) * $F27</f>
        <v/>
      </c>
      <c r="CG27" s="60">
        <f>(BSPrice($B27*1.1,$J27+0.2, $K27, $C27, ($I27-$B$1)/365, $G27, $H27, $D27) - BSPrice($B27,$J27, $K27, $C27, ($I27-$B$1)/365, $G27, $H27, $D27)) * $F27</f>
        <v/>
      </c>
      <c r="CH27" s="60">
        <f>(BSPrice($B27*1.2,$J27+-0.05, $K27, $C27, ($I27-$B$1)/365, $G27, $H27, $D27) - BSPrice($B27,$J27, $K27, $C27, ($I27-$B$1)/365, $G27, $H27, $D27)) * $F27</f>
        <v/>
      </c>
      <c r="CI27" s="60">
        <f>(BSPrice($B27*1.2,$J27+-0.02, $K27, $C27, ($I27-$B$1)/365, $G27, $H27, $D27) - BSPrice($B27,$J27, $K27, $C27, ($I27-$B$1)/365, $G27, $H27, $D27)) * $F27</f>
        <v/>
      </c>
      <c r="CJ27" s="60">
        <f>(BSPrice($B27*1.2,$J27+0, $K27, $C27, ($I27-$B$1)/365, $G27, $H27, $D27) - BSPrice($B27,$J27, $K27, $C27, ($I27-$B$1)/365, $G27, $H27, $D27)) * $F27</f>
        <v/>
      </c>
      <c r="CK27" s="60">
        <f>(BSPrice($B27*1.2,$J27+0.02, $K27, $C27, ($I27-$B$1)/365, $G27, $H27, $D27) - BSPrice($B27,$J27, $K27, $C27, ($I27-$B$1)/365, $G27, $H27, $D27)) * $F27</f>
        <v/>
      </c>
      <c r="CL27" s="60">
        <f>(BSPrice($B27*1.2,$J27+0.05, $K27, $C27, ($I27-$B$1)/365, $G27, $H27, $D27) - BSPrice($B27,$J27, $K27, $C27, ($I27-$B$1)/365, $G27, $H27, $D27)) * $F27</f>
        <v/>
      </c>
      <c r="CM27" s="60">
        <f>(BSPrice($B27*1.2,$J27+0.1, $K27, $C27, ($I27-$B$1)/365, $G27, $H27, $D27) - BSPrice($B27,$J27, $K27, $C27, ($I27-$B$1)/365, $G27, $H27, $D27)) * $F27</f>
        <v/>
      </c>
      <c r="CN27" s="60">
        <f>(BSPrice($B27*1.2,$J27+0.2, $K27, $C27, ($I27-$B$1)/365, $G27, $H27, $D27) - BSPrice($B27,$J27, $K27, $C27, ($I27-$B$1)/365, $G27, $H27, $D27)) * $F27</f>
        <v/>
      </c>
    </row>
    <row r="28">
      <c r="A28" s="3" t="inlineStr">
        <is>
          <t>SPX Index</t>
        </is>
      </c>
      <c r="B28" s="4">
        <f>VLOOKUP(A28,PriceData!$K$4:$L$6,2,FALSE)</f>
        <v/>
      </c>
      <c r="C28" s="46">
        <f>VLOOKUP(A28,PriceData!$K$4:$M$6,3,FALSE)</f>
        <v/>
      </c>
      <c r="D28" s="4" t="inlineStr">
        <is>
          <t>Option</t>
        </is>
      </c>
      <c r="E28" s="4" t="inlineStr">
        <is>
          <t>USD</t>
        </is>
      </c>
      <c r="F28" s="4" t="n">
        <v>-20</v>
      </c>
      <c r="G28" s="4" t="n">
        <v>1034</v>
      </c>
      <c r="H28" s="4" t="inlineStr">
        <is>
          <t>Call</t>
        </is>
      </c>
      <c r="I28" s="5" t="n">
        <v>40347</v>
      </c>
      <c r="J28" s="46">
        <f>FindImpliedVol(A28, D28, G28, I28)</f>
        <v/>
      </c>
      <c r="K28" s="30">
        <f>VLOOKUP(I28,PriceData!$A$5:$D$7,MATCH($E28,PriceData!$A$4:$D$4,0),FALSE)</f>
        <v/>
      </c>
      <c r="L28" s="2">
        <f>BSPrice($B28,$J28, $K28, $C28, ($I28-$B$1)/365, $G28, $H28, $D28)</f>
        <v/>
      </c>
      <c r="M28" s="2">
        <f>F28*L28</f>
        <v/>
      </c>
      <c r="N28" s="4" t="inlineStr">
        <is>
          <t>Darklays Capital</t>
        </is>
      </c>
      <c r="P28" s="60">
        <f>BSDelta(B28, J28, K28, C28, (I28-$B$1)/365, G28, H28, D28)</f>
        <v/>
      </c>
      <c r="Q28" s="60">
        <f>BSGamma(B28, J28, K28, C28, (I28-$B$1)/365, G28, D28)</f>
        <v/>
      </c>
      <c r="R28" s="58">
        <f>BSVega(B28, J28, K28, C28, (I28-$B$1)/365,G28, D28)</f>
        <v/>
      </c>
      <c r="S28" s="58">
        <f>BSVolga(B28, J28, K28, C28, (I28-$B$1)/365,G28, D28)</f>
        <v/>
      </c>
      <c r="T28" s="58">
        <f>BSVanna(B28,J28,K28, C28, (I28-$B$1)/365, G28, D28)</f>
        <v/>
      </c>
      <c r="U28" s="2">
        <f>BSRho(B28, J28, K28, C28, (I28-$B$1)/365, G28, H28, D28)</f>
        <v/>
      </c>
      <c r="V28" s="65">
        <f>$F28*$P28</f>
        <v/>
      </c>
      <c r="W28" s="65">
        <f>$F28*$Q28</f>
        <v/>
      </c>
      <c r="X28" s="78">
        <f>$F28*R28</f>
        <v/>
      </c>
      <c r="Y28" s="78">
        <f>$F28*S28</f>
        <v/>
      </c>
      <c r="Z28" s="78">
        <f>$F28*T28</f>
        <v/>
      </c>
      <c r="AA28" s="78">
        <f>$F28*U28</f>
        <v/>
      </c>
      <c r="AB28" s="78">
        <f>(BSPrice($B28*0.8,$J28, $K28, $C28, ($I28-$B$1)/365, $G28, $H28, $D28) - BSPrice($B28,$J28, $K28, $C28, ($I28-$B$1)/365, $G28, $H28, $D28)) * $F28</f>
        <v/>
      </c>
      <c r="AC28" s="78">
        <f>(BSPrice($B28*0.9,$J28, $K28, $C28, ($I28-$B$1)/365, $G28, $H28, $D28) - BSPrice($B28,$J28, $K28, $C28, ($I28-$B$1)/365, $G28, $H28, $D28)) * $F28</f>
        <v/>
      </c>
      <c r="AD28" s="78">
        <f>(BSPrice($B28*0.95,$J28, $K28, $C28, ($I28-$B$1)/365, $G28, $H28, $D28) - BSPrice($B28,$J28, $K28, $C28, ($I28-$B$1)/365, $G28, $H28, $D28)) * $F28</f>
        <v/>
      </c>
      <c r="AE28" s="78">
        <f>(BSPrice($B28*0.98,$J28, $K28, $C28, ($I28-$B$1)/365, $G28, $H28, $D28) - BSPrice($B28,$J28, $K28, $C28, ($I28-$B$1)/365, $G28, $H28, $D28)) * $F28</f>
        <v/>
      </c>
      <c r="AF28" s="78">
        <f>(BSPrice($B28*1.02,$J28, $K28, $C28, ($I28-$B$1)/365, $G28, $H28, $D28) - BSPrice($B28,$J28, $K28, $C28, ($I28-$B$1)/365, $G28, $H28, $D28)) * $F28</f>
        <v/>
      </c>
      <c r="AG28" s="78">
        <f>(BSPrice($B28*1.05,$J28, $K28, $C28, ($I28-$B$1)/365, $G28, $H28, $D28) - BSPrice($B28,$J28, $K28, $C28, ($I28-$B$1)/365, $G28, $H28, $D28)) * $F28</f>
        <v/>
      </c>
      <c r="AH28" s="78">
        <f>(BSPrice($B28*1.1,$J28, $K28, $C28, ($I28-$B$1)/365, $G28, $H28, $D28) - BSPrice($B28,$J28, $K28, $C28, ($I28-$B$1)/365, $G28, $H28, $D28)) * $F28</f>
        <v/>
      </c>
      <c r="AI28" s="78">
        <f>(BSPrice($B28*1.2,$J28, $K28, $C28, ($I28-$B$1)/365, $G28, $H28, $D28) - BSPrice($B28,$J28, $K28, $C28, ($I28-$B$1)/365, $G28, $H28, $D28)) * $F28</f>
        <v/>
      </c>
      <c r="AJ28" s="78">
        <f>(BSPrice($B28,$J28-0.1, $K28, $C28, ($I28-$B$1)/365, $G28, $H28, $D28) - BSPrice($B28,$J28, $K28, $C28, ($I28-$B$1)/365, $G28, $H28, $D28)) * $F28</f>
        <v/>
      </c>
      <c r="AK28" s="78">
        <f>(BSPrice($B28,$J28-0.05,$K28,$C28,($I28-$B$1)/365,$G28,$H28,$D28)-BSPrice($B28,$J28,$K28,$C28,($I28-$B$1)/365,$G28,$H28,$D28))*$F28</f>
        <v/>
      </c>
      <c r="AL28" s="78">
        <f>(BSPrice($B28,$J28-0.02, $K28, $C28, ($I28-$B$1)/365, $G28, $H28, $D28) - BSPrice($B28,$J28, $K28, $C28, ($I28-$B$1)/365, $G28, $H28, $D28)) * $F28</f>
        <v/>
      </c>
      <c r="AM28" s="78">
        <f>(BSPrice($B28,$J28-0.01, $K28, $C28, ($I28-$B$1)/365, $G28, $H28, $D28) - BSPrice($B28,$J28, $K28, $C28, ($I28-$B$1)/365, $G28, $H28, $D28)) * $F28</f>
        <v/>
      </c>
      <c r="AN28" s="78">
        <f>(BSPrice($B28,$J28+0.01, $K28, $C28, ($I28-$B$1)/365, $G28, $H28, $D28) - BSPrice($B28,$J28, $K28, $C28, ($I28-$B$1)/365, $G28, $H28, $D28)) * $F28</f>
        <v/>
      </c>
      <c r="AO28" s="78">
        <f>(BSPrice($B28,$J28+0.02, $K28, $C28, ($I28-$B$1)/365, $G28, $H28, $D28) - BSPrice($B28,$J28, $K28, $C28, ($I28-$B$1)/365, $G28, $H28, $D28)) * $F28</f>
        <v/>
      </c>
      <c r="AP28" s="78">
        <f>(BSPrice($B28,$J28+0.05, $K28, $C28, ($I28-$B$1)/365, $G28, $H28, $D28) - BSPrice($B28,$J28, $K28, $C28, ($I28-$B$1)/365, $G28, $H28, $D28)) * $F28</f>
        <v/>
      </c>
      <c r="AQ28" s="78">
        <f>(BSPrice($B28,$J28+0.1, $K28, $C28, ($I28-$B$1)/365, $G28, $H28, $D28) - BSPrice($B28,$J28, $K28, $C28, ($I28-$B$1)/365, $G28, $H28, $D28)) * $F28</f>
        <v/>
      </c>
      <c r="AR28" s="60">
        <f>(BSPrice($B28*0.8,$J28+-0.05, $K28, $C28, ($I28-$B$1)/365, $G28, $H28, $D28) - BSPrice($B28,$J28, $K28, $C28, ($I28-$B$1)/365, $G28, $H28, $D28)) * $F28</f>
        <v/>
      </c>
      <c r="AS28" s="60">
        <f>(BSPrice($B28*0.8,$J28+-0.02, $K28, $C28, ($I28-$B$1)/365, $G28, $H28, $D28) - BSPrice($B28,$J28, $K28, $C28, ($I28-$B$1)/365, $G28, $H28, $D28)) * $F28</f>
        <v/>
      </c>
      <c r="AT28" s="60">
        <f>(BSPrice($B28*0.8,$J28+0, $K28, $C28, ($I28-$B$1)/365, $G28, $H28, $D28) - BSPrice($B28,$J28, $K28, $C28, ($I28-$B$1)/365, $G28, $H28, $D28)) * $F28</f>
        <v/>
      </c>
      <c r="AU28" s="60">
        <f>(BSPrice($B28*0.8,$J28+0.02, $K28, $C28, ($I28-$B$1)/365, $G28, $H28, $D28) - BSPrice($B28,$J28, $K28, $C28, ($I28-$B$1)/365, $G28, $H28, $D28)) * $F28</f>
        <v/>
      </c>
      <c r="AV28" s="60">
        <f>(BSPrice($B28*0.8,$J28+0.05, $K28, $C28, ($I28-$B$1)/365, $G28, $H28, $D28) - BSPrice($B28,$J28, $K28, $C28, ($I28-$B$1)/365, $G28, $H28, $D28)) * $F28</f>
        <v/>
      </c>
      <c r="AW28" s="60">
        <f>(BSPrice($B28*0.8,$J28+0.1, $K28, $C28, ($I28-$B$1)/365, $G28, $H28, $D28) - BSPrice($B28,$J28, $K28, $C28, ($I28-$B$1)/365, $G28, $H28, $D28)) * $F28</f>
        <v/>
      </c>
      <c r="AX28" s="60">
        <f>(BSPrice($B28*0.8,$J28+0.2, $K28, $C28, ($I28-$B$1)/365, $G28, $H28, $D28) - BSPrice($B28,$J28, $K28, $C28, ($I28-$B$1)/365, $G28, $H28, $D28)) * $F28</f>
        <v/>
      </c>
      <c r="AY28" s="60">
        <f>(BSPrice($B28*0.9,$J28+-0.05, $K28, $C28, ($I28-$B$1)/365, $G28, $H28, $D28) - BSPrice($B28,$J28, $K28, $C28, ($I28-$B$1)/365, $G28, $H28, $D28)) * $F28</f>
        <v/>
      </c>
      <c r="AZ28" s="60">
        <f>(BSPrice($B28*0.9,$J28+-0.02, $K28, $C28, ($I28-$B$1)/365, $G28, $H28, $D28) - BSPrice($B28,$J28, $K28, $C28, ($I28-$B$1)/365, $G28, $H28, $D28)) * $F28</f>
        <v/>
      </c>
      <c r="BA28" s="60">
        <f>(BSPrice($B28*0.9,$J28+0, $K28, $C28, ($I28-$B$1)/365, $G28, $H28, $D28) - BSPrice($B28,$J28, $K28, $C28, ($I28-$B$1)/365, $G28, $H28, $D28)) * $F28</f>
        <v/>
      </c>
      <c r="BB28" s="60">
        <f>(BSPrice($B28*0.9,$J28+0.02, $K28, $C28, ($I28-$B$1)/365, $G28, $H28, $D28) - BSPrice($B28,$J28, $K28, $C28, ($I28-$B$1)/365, $G28, $H28, $D28)) * $F28</f>
        <v/>
      </c>
      <c r="BC28" s="60">
        <f>(BSPrice($B28*0.9,$J28+0.05, $K28, $C28, ($I28-$B$1)/365, $G28, $H28, $D28) - BSPrice($B28,$J28, $K28, $C28, ($I28-$B$1)/365, $G28, $H28, $D28)) * $F28</f>
        <v/>
      </c>
      <c r="BD28" s="60">
        <f>(BSPrice($B28*0.9,$J28+0.1, $K28, $C28, ($I28-$B$1)/365, $G28, $H28, $D28) - BSPrice($B28,$J28, $K28, $C28, ($I28-$B$1)/365, $G28, $H28, $D28)) * $F28</f>
        <v/>
      </c>
      <c r="BE28" s="60">
        <f>(BSPrice($B28*0.9,$J28+0.2, $K28, $C28, ($I28-$B$1)/365, $G28, $H28, $D28) - BSPrice($B28,$J28, $K28, $C28, ($I28-$B$1)/365, $G28, $H28, $D28)) * $F28</f>
        <v/>
      </c>
      <c r="BF28" s="60">
        <f>(BSPrice($B28*0.95,$J28+-0.05, $K28, $C28, ($I28-$B$1)/365, $G28, $H28, $D28) - BSPrice($B28,$J28, $K28, $C28, ($I28-$B$1)/365, $G28, $H28, $D28)) * $F28</f>
        <v/>
      </c>
      <c r="BG28" s="60">
        <f>(BSPrice($B28*0.95,$J28+-0.02, $K28, $C28, ($I28-$B$1)/365, $G28, $H28, $D28) - BSPrice($B28,$J28, $K28, $C28, ($I28-$B$1)/365, $G28, $H28, $D28)) * $F28</f>
        <v/>
      </c>
      <c r="BH28" s="60">
        <f>(BSPrice($B28*0.95,$J28+0, $K28, $C28, ($I28-$B$1)/365, $G28, $H28, $D28) - BSPrice($B28,$J28, $K28, $C28, ($I28-$B$1)/365, $G28, $H28, $D28)) * $F28</f>
        <v/>
      </c>
      <c r="BI28" s="60">
        <f>(BSPrice($B28*0.95,$J28+0.02, $K28, $C28, ($I28-$B$1)/365, $G28, $H28, $D28) - BSPrice($B28,$J28, $K28, $C28, ($I28-$B$1)/365, $G28, $H28, $D28)) * $F28</f>
        <v/>
      </c>
      <c r="BJ28" s="60">
        <f>(BSPrice($B28*0.95,$J28+0.05, $K28, $C28, ($I28-$B$1)/365, $G28, $H28, $D28) - BSPrice($B28,$J28, $K28, $C28, ($I28-$B$1)/365, $G28, $H28, $D28)) * $F28</f>
        <v/>
      </c>
      <c r="BK28" s="60">
        <f>(BSPrice($B28*0.95,$J28+0.1, $K28, $C28, ($I28-$B$1)/365, $G28, $H28, $D28) - BSPrice($B28,$J28, $K28, $C28, ($I28-$B$1)/365, $G28, $H28, $D28)) * $F28</f>
        <v/>
      </c>
      <c r="BL28" s="60">
        <f>(BSPrice($B28*0.95,$J28+0.2, $K28, $C28, ($I28-$B$1)/365, $G28, $H28, $D28) - BSPrice($B28,$J28, $K28, $C28, ($I28-$B$1)/365, $G28, $H28, $D28)) * $F28</f>
        <v/>
      </c>
      <c r="BM28" s="60">
        <f>(BSPrice($B28*1,$J28+-0.05, $K28, $C28, ($I28-$B$1)/365, $G28, $H28, $D28) - BSPrice($B28,$J28, $K28, $C28, ($I28-$B$1)/365, $G28, $H28, $D28)) * $F28</f>
        <v/>
      </c>
      <c r="BN28" s="60">
        <f>(BSPrice($B28*1,$J28+-0.02, $K28, $C28, ($I28-$B$1)/365, $G28, $H28, $D28) - BSPrice($B28,$J28, $K28, $C28, ($I28-$B$1)/365, $G28, $H28, $D28)) * $F28</f>
        <v/>
      </c>
      <c r="BO28" s="60">
        <f>(BSPrice($B28*1,$J28+0, $K28, $C28, ($I28-$B$1)/365, $G28, $H28, $D28) - BSPrice($B28,$J28, $K28, $C28, ($I28-$B$1)/365, $G28, $H28, $D28)) * $F28</f>
        <v/>
      </c>
      <c r="BP28" s="60">
        <f>(BSPrice($B28*1,$J28+0.02, $K28, $C28, ($I28-$B$1)/365, $G28, $H28, $D28) - BSPrice($B28,$J28, $K28, $C28, ($I28-$B$1)/365, $G28, $H28, $D28)) * $F28</f>
        <v/>
      </c>
      <c r="BQ28" s="60">
        <f>(BSPrice($B28*1,$J28+0.05, $K28, $C28, ($I28-$B$1)/365, $G28, $H28, $D28) - BSPrice($B28,$J28, $K28, $C28, ($I28-$B$1)/365, $G28, $H28, $D28)) * $F28</f>
        <v/>
      </c>
      <c r="BR28" s="60">
        <f>(BSPrice($B28*1,$J28+0.1, $K28, $C28, ($I28-$B$1)/365, $G28, $H28, $D28) - BSPrice($B28,$J28, $K28, $C28, ($I28-$B$1)/365, $G28, $H28, $D28)) * $F28</f>
        <v/>
      </c>
      <c r="BS28" s="60">
        <f>(BSPrice($B28*1,$J28+0.2, $K28, $C28, ($I28-$B$1)/365, $G28, $H28, $D28) - BSPrice($B28,$J28, $K28, $C28, ($I28-$B$1)/365, $G28, $H28, $D28)) * $F28</f>
        <v/>
      </c>
      <c r="BT28" s="60">
        <f>(BSPrice($B28*1.05,$J28+-0.05, $K28, $C28, ($I28-$B$1)/365, $G28, $H28, $D28) - BSPrice($B28,$J28, $K28, $C28, ($I28-$B$1)/365, $G28, $H28, $D28)) * $F28</f>
        <v/>
      </c>
      <c r="BU28" s="60">
        <f>(BSPrice($B28*1.05,$J28+-0.02, $K28, $C28, ($I28-$B$1)/365, $G28, $H28, $D28) - BSPrice($B28,$J28, $K28, $C28, ($I28-$B$1)/365, $G28, $H28, $D28)) * $F28</f>
        <v/>
      </c>
      <c r="BV28" s="60">
        <f>(BSPrice($B28*1.05,$J28+0, $K28, $C28, ($I28-$B$1)/365, $G28, $H28, $D28) - BSPrice($B28,$J28, $K28, $C28, ($I28-$B$1)/365, $G28, $H28, $D28)) * $F28</f>
        <v/>
      </c>
      <c r="BW28" s="60">
        <f>(BSPrice($B28*1.05,$J28+0.02, $K28, $C28, ($I28-$B$1)/365, $G28, $H28, $D28) - BSPrice($B28,$J28, $K28, $C28, ($I28-$B$1)/365, $G28, $H28, $D28)) * $F28</f>
        <v/>
      </c>
      <c r="BX28" s="60">
        <f>(BSPrice($B28*1.05,$J28+0.05, $K28, $C28, ($I28-$B$1)/365, $G28, $H28, $D28) - BSPrice($B28,$J28, $K28, $C28, ($I28-$B$1)/365, $G28, $H28, $D28)) * $F28</f>
        <v/>
      </c>
      <c r="BY28" s="60">
        <f>(BSPrice($B28*1.05,$J28+0.1, $K28, $C28, ($I28-$B$1)/365, $G28, $H28, $D28) - BSPrice($B28,$J28, $K28, $C28, ($I28-$B$1)/365, $G28, $H28, $D28)) * $F28</f>
        <v/>
      </c>
      <c r="BZ28" s="60">
        <f>(BSPrice($B28*1.05,$J28+0.2, $K28, $C28, ($I28-$B$1)/365, $G28, $H28, $D28) - BSPrice($B28,$J28, $K28, $C28, ($I28-$B$1)/365, $G28, $H28, $D28)) * $F28</f>
        <v/>
      </c>
      <c r="CA28" s="60">
        <f>(BSPrice($B28*1.1,$J28+-0.05, $K28, $C28, ($I28-$B$1)/365, $G28, $H28, $D28) - BSPrice($B28,$J28, $K28, $C28, ($I28-$B$1)/365, $G28, $H28, $D28)) * $F28</f>
        <v/>
      </c>
      <c r="CB28" s="60">
        <f>(BSPrice($B28*1.1,$J28+-0.02, $K28, $C28, ($I28-$B$1)/365, $G28, $H28, $D28) - BSPrice($B28,$J28, $K28, $C28, ($I28-$B$1)/365, $G28, $H28, $D28)) * $F28</f>
        <v/>
      </c>
      <c r="CC28" s="60">
        <f>(BSPrice($B28*1.1,$J28+0, $K28, $C28, ($I28-$B$1)/365, $G28, $H28, $D28) - BSPrice($B28,$J28, $K28, $C28, ($I28-$B$1)/365, $G28, $H28, $D28)) * $F28</f>
        <v/>
      </c>
      <c r="CD28" s="60">
        <f>(BSPrice($B28*1.1,$J28+0.02, $K28, $C28, ($I28-$B$1)/365, $G28, $H28, $D28) - BSPrice($B28,$J28, $K28, $C28, ($I28-$B$1)/365, $G28, $H28, $D28)) * $F28</f>
        <v/>
      </c>
      <c r="CE28" s="60">
        <f>(BSPrice($B28*1.1,$J28+0.05, $K28, $C28, ($I28-$B$1)/365, $G28, $H28, $D28) - BSPrice($B28,$J28, $K28, $C28, ($I28-$B$1)/365, $G28, $H28, $D28)) * $F28</f>
        <v/>
      </c>
      <c r="CF28" s="60">
        <f>(BSPrice($B28*1.1,$J28+0.1, $K28, $C28, ($I28-$B$1)/365, $G28, $H28, $D28) - BSPrice($B28,$J28, $K28, $C28, ($I28-$B$1)/365, $G28, $H28, $D28)) * $F28</f>
        <v/>
      </c>
      <c r="CG28" s="60">
        <f>(BSPrice($B28*1.1,$J28+0.2, $K28, $C28, ($I28-$B$1)/365, $G28, $H28, $D28) - BSPrice($B28,$J28, $K28, $C28, ($I28-$B$1)/365, $G28, $H28, $D28)) * $F28</f>
        <v/>
      </c>
      <c r="CH28" s="60">
        <f>(BSPrice($B28*1.2,$J28+-0.05, $K28, $C28, ($I28-$B$1)/365, $G28, $H28, $D28) - BSPrice($B28,$J28, $K28, $C28, ($I28-$B$1)/365, $G28, $H28, $D28)) * $F28</f>
        <v/>
      </c>
      <c r="CI28" s="60">
        <f>(BSPrice($B28*1.2,$J28+-0.02, $K28, $C28, ($I28-$B$1)/365, $G28, $H28, $D28) - BSPrice($B28,$J28, $K28, $C28, ($I28-$B$1)/365, $G28, $H28, $D28)) * $F28</f>
        <v/>
      </c>
      <c r="CJ28" s="60">
        <f>(BSPrice($B28*1.2,$J28+0, $K28, $C28, ($I28-$B$1)/365, $G28, $H28, $D28) - BSPrice($B28,$J28, $K28, $C28, ($I28-$B$1)/365, $G28, $H28, $D28)) * $F28</f>
        <v/>
      </c>
      <c r="CK28" s="60">
        <f>(BSPrice($B28*1.2,$J28+0.02, $K28, $C28, ($I28-$B$1)/365, $G28, $H28, $D28) - BSPrice($B28,$J28, $K28, $C28, ($I28-$B$1)/365, $G28, $H28, $D28)) * $F28</f>
        <v/>
      </c>
      <c r="CL28" s="60">
        <f>(BSPrice($B28*1.2,$J28+0.05, $K28, $C28, ($I28-$B$1)/365, $G28, $H28, $D28) - BSPrice($B28,$J28, $K28, $C28, ($I28-$B$1)/365, $G28, $H28, $D28)) * $F28</f>
        <v/>
      </c>
      <c r="CM28" s="60">
        <f>(BSPrice($B28*1.2,$J28+0.1, $K28, $C28, ($I28-$B$1)/365, $G28, $H28, $D28) - BSPrice($B28,$J28, $K28, $C28, ($I28-$B$1)/365, $G28, $H28, $D28)) * $F28</f>
        <v/>
      </c>
      <c r="CN28" s="60">
        <f>(BSPrice($B28*1.2,$J28+0.2, $K28, $C28, ($I28-$B$1)/365, $G28, $H28, $D28) - BSPrice($B28,$J28, $K28, $C28, ($I28-$B$1)/365, $G28, $H28, $D28)) * $F28</f>
        <v/>
      </c>
    </row>
    <row r="29">
      <c r="A29" s="3" t="inlineStr">
        <is>
          <t>SPX Index</t>
        </is>
      </c>
      <c r="B29" s="4">
        <f>VLOOKUP(A29,PriceData!$K$4:$L$6,2,FALSE)</f>
        <v/>
      </c>
      <c r="C29" s="46">
        <f>VLOOKUP(A29,PriceData!$K$4:$M$6,3,FALSE)</f>
        <v/>
      </c>
      <c r="D29" s="4" t="inlineStr">
        <is>
          <t>Option</t>
        </is>
      </c>
      <c r="E29" s="4" t="inlineStr">
        <is>
          <t>USD</t>
        </is>
      </c>
      <c r="F29" s="4" t="n">
        <v>-50</v>
      </c>
      <c r="G29" s="4" t="n">
        <v>1100</v>
      </c>
      <c r="H29" s="4" t="inlineStr">
        <is>
          <t>Put</t>
        </is>
      </c>
      <c r="I29" s="5" t="n">
        <v>40438</v>
      </c>
      <c r="J29" s="46">
        <f>FindImpliedVol(A29, D29, G29, I29)</f>
        <v/>
      </c>
      <c r="K29" s="30">
        <f>VLOOKUP(I29,PriceData!$A$5:$D$7,MATCH($E29,PriceData!$A$4:$D$4,0),FALSE)</f>
        <v/>
      </c>
      <c r="L29" s="2">
        <f>BSPrice($B29,$J29, $K29, $C29, ($I29-$B$1)/365, $G29, $H29, $D29)</f>
        <v/>
      </c>
      <c r="M29" s="2">
        <f>F29*L29</f>
        <v/>
      </c>
      <c r="N29" s="4" t="inlineStr">
        <is>
          <t>Exch</t>
        </is>
      </c>
      <c r="P29" s="60">
        <f>BSDelta(B29, J29, K29, C29, (I29-$B$1)/365, G29, H29, D29)</f>
        <v/>
      </c>
      <c r="Q29" s="60">
        <f>BSGamma(B29, J29, K29, C29, (I29-$B$1)/365, G29, D29)</f>
        <v/>
      </c>
      <c r="R29" s="58">
        <f>BSVega(B29, J29, K29, C29, (I29-$B$1)/365,G29, D29)</f>
        <v/>
      </c>
      <c r="S29" s="58">
        <f>BSVolga(B29, J29, K29, C29, (I29-$B$1)/365,G29, D29)</f>
        <v/>
      </c>
      <c r="T29" s="58">
        <f>BSVanna(B29,J29,K29, C29, (I29-$B$1)/365, G29, D29)</f>
        <v/>
      </c>
      <c r="U29" s="2">
        <f>BSRho(B29, J29, K29, C29, (I29-$B$1)/365, G29, H29, D29)</f>
        <v/>
      </c>
      <c r="V29" s="65">
        <f>$F29*$P29</f>
        <v/>
      </c>
      <c r="W29" s="65">
        <f>$F29*$Q29</f>
        <v/>
      </c>
      <c r="X29" s="78">
        <f>$F29*R29</f>
        <v/>
      </c>
      <c r="Y29" s="78">
        <f>$F29*S29</f>
        <v/>
      </c>
      <c r="Z29" s="78">
        <f>$F29*T29</f>
        <v/>
      </c>
      <c r="AA29" s="78">
        <f>$F29*U29</f>
        <v/>
      </c>
      <c r="AB29" s="78">
        <f>(BSPrice($B29*0.8,$J29, $K29, $C29, ($I29-$B$1)/365, $G29, $H29, $D29) - BSPrice($B29,$J29, $K29, $C29, ($I29-$B$1)/365, $G29, $H29, $D29)) * $F29</f>
        <v/>
      </c>
      <c r="AC29" s="78">
        <f>(BSPrice($B29*0.9,$J29, $K29, $C29, ($I29-$B$1)/365, $G29, $H29, $D29) - BSPrice($B29,$J29, $K29, $C29, ($I29-$B$1)/365, $G29, $H29, $D29)) * $F29</f>
        <v/>
      </c>
      <c r="AD29" s="78">
        <f>(BSPrice($B29*0.95,$J29, $K29, $C29, ($I29-$B$1)/365, $G29, $H29, $D29) - BSPrice($B29,$J29, $K29, $C29, ($I29-$B$1)/365, $G29, $H29, $D29)) * $F29</f>
        <v/>
      </c>
      <c r="AE29" s="78">
        <f>(BSPrice($B29*0.98,$J29, $K29, $C29, ($I29-$B$1)/365, $G29, $H29, $D29) - BSPrice($B29,$J29, $K29, $C29, ($I29-$B$1)/365, $G29, $H29, $D29)) * $F29</f>
        <v/>
      </c>
      <c r="AF29" s="78">
        <f>(BSPrice($B29*1.02,$J29, $K29, $C29, ($I29-$B$1)/365, $G29, $H29, $D29) - BSPrice($B29,$J29, $K29, $C29, ($I29-$B$1)/365, $G29, $H29, $D29)) * $F29</f>
        <v/>
      </c>
      <c r="AG29" s="78">
        <f>(BSPrice($B29*1.05,$J29, $K29, $C29, ($I29-$B$1)/365, $G29, $H29, $D29) - BSPrice($B29,$J29, $K29, $C29, ($I29-$B$1)/365, $G29, $H29, $D29)) * $F29</f>
        <v/>
      </c>
      <c r="AH29" s="78">
        <f>(BSPrice($B29*1.1,$J29, $K29, $C29, ($I29-$B$1)/365, $G29, $H29, $D29) - BSPrice($B29,$J29, $K29, $C29, ($I29-$B$1)/365, $G29, $H29, $D29)) * $F29</f>
        <v/>
      </c>
      <c r="AI29" s="78">
        <f>(BSPrice($B29*1.2,$J29, $K29, $C29, ($I29-$B$1)/365, $G29, $H29, $D29) - BSPrice($B29,$J29, $K29, $C29, ($I29-$B$1)/365, $G29, $H29, $D29)) * $F29</f>
        <v/>
      </c>
      <c r="AJ29" s="78">
        <f>(BSPrice($B29,$J29-0.1, $K29, $C29, ($I29-$B$1)/365, $G29, $H29, $D29) - BSPrice($B29,$J29, $K29, $C29, ($I29-$B$1)/365, $G29, $H29, $D29)) * $F29</f>
        <v/>
      </c>
      <c r="AK29" s="78">
        <f>(BSPrice($B29,$J29-0.05,$K29,$C29,($I29-$B$1)/365,$G29,$H29,$D29)-BSPrice($B29,$J29,$K29,$C29,($I29-$B$1)/365,$G29,$H29,$D29))*$F29</f>
        <v/>
      </c>
      <c r="AL29" s="78">
        <f>(BSPrice($B29,$J29-0.02, $K29, $C29, ($I29-$B$1)/365, $G29, $H29, $D29) - BSPrice($B29,$J29, $K29, $C29, ($I29-$B$1)/365, $G29, $H29, $D29)) * $F29</f>
        <v/>
      </c>
      <c r="AM29" s="78">
        <f>(BSPrice($B29,$J29-0.01, $K29, $C29, ($I29-$B$1)/365, $G29, $H29, $D29) - BSPrice($B29,$J29, $K29, $C29, ($I29-$B$1)/365, $G29, $H29, $D29)) * $F29</f>
        <v/>
      </c>
      <c r="AN29" s="78">
        <f>(BSPrice($B29,$J29+0.01, $K29, $C29, ($I29-$B$1)/365, $G29, $H29, $D29) - BSPrice($B29,$J29, $K29, $C29, ($I29-$B$1)/365, $G29, $H29, $D29)) * $F29</f>
        <v/>
      </c>
      <c r="AO29" s="78">
        <f>(BSPrice($B29,$J29+0.02, $K29, $C29, ($I29-$B$1)/365, $G29, $H29, $D29) - BSPrice($B29,$J29, $K29, $C29, ($I29-$B$1)/365, $G29, $H29, $D29)) * $F29</f>
        <v/>
      </c>
      <c r="AP29" s="78">
        <f>(BSPrice($B29,$J29+0.05, $K29, $C29, ($I29-$B$1)/365, $G29, $H29, $D29) - BSPrice($B29,$J29, $K29, $C29, ($I29-$B$1)/365, $G29, $H29, $D29)) * $F29</f>
        <v/>
      </c>
      <c r="AQ29" s="78">
        <f>(BSPrice($B29,$J29+0.1, $K29, $C29, ($I29-$B$1)/365, $G29, $H29, $D29) - BSPrice($B29,$J29, $K29, $C29, ($I29-$B$1)/365, $G29, $H29, $D29)) * $F29</f>
        <v/>
      </c>
      <c r="AR29" s="60">
        <f>(BSPrice($B29*0.8,$J29+-0.05, $K29, $C29, ($I29-$B$1)/365, $G29, $H29, $D29) - BSPrice($B29,$J29, $K29, $C29, ($I29-$B$1)/365, $G29, $H29, $D29)) * $F29</f>
        <v/>
      </c>
      <c r="AS29" s="60">
        <f>(BSPrice($B29*0.8,$J29+-0.02, $K29, $C29, ($I29-$B$1)/365, $G29, $H29, $D29) - BSPrice($B29,$J29, $K29, $C29, ($I29-$B$1)/365, $G29, $H29, $D29)) * $F29</f>
        <v/>
      </c>
      <c r="AT29" s="60">
        <f>(BSPrice($B29*0.8,$J29+0, $K29, $C29, ($I29-$B$1)/365, $G29, $H29, $D29) - BSPrice($B29,$J29, $K29, $C29, ($I29-$B$1)/365, $G29, $H29, $D29)) * $F29</f>
        <v/>
      </c>
      <c r="AU29" s="60">
        <f>(BSPrice($B29*0.8,$J29+0.02, $K29, $C29, ($I29-$B$1)/365, $G29, $H29, $D29) - BSPrice($B29,$J29, $K29, $C29, ($I29-$B$1)/365, $G29, $H29, $D29)) * $F29</f>
        <v/>
      </c>
      <c r="AV29" s="60">
        <f>(BSPrice($B29*0.8,$J29+0.05, $K29, $C29, ($I29-$B$1)/365, $G29, $H29, $D29) - BSPrice($B29,$J29, $K29, $C29, ($I29-$B$1)/365, $G29, $H29, $D29)) * $F29</f>
        <v/>
      </c>
      <c r="AW29" s="60">
        <f>(BSPrice($B29*0.8,$J29+0.1, $K29, $C29, ($I29-$B$1)/365, $G29, $H29, $D29) - BSPrice($B29,$J29, $K29, $C29, ($I29-$B$1)/365, $G29, $H29, $D29)) * $F29</f>
        <v/>
      </c>
      <c r="AX29" s="60">
        <f>(BSPrice($B29*0.8,$J29+0.2, $K29, $C29, ($I29-$B$1)/365, $G29, $H29, $D29) - BSPrice($B29,$J29, $K29, $C29, ($I29-$B$1)/365, $G29, $H29, $D29)) * $F29</f>
        <v/>
      </c>
      <c r="AY29" s="60">
        <f>(BSPrice($B29*0.9,$J29+-0.05, $K29, $C29, ($I29-$B$1)/365, $G29, $H29, $D29) - BSPrice($B29,$J29, $K29, $C29, ($I29-$B$1)/365, $G29, $H29, $D29)) * $F29</f>
        <v/>
      </c>
      <c r="AZ29" s="60">
        <f>(BSPrice($B29*0.9,$J29+-0.02, $K29, $C29, ($I29-$B$1)/365, $G29, $H29, $D29) - BSPrice($B29,$J29, $K29, $C29, ($I29-$B$1)/365, $G29, $H29, $D29)) * $F29</f>
        <v/>
      </c>
      <c r="BA29" s="60">
        <f>(BSPrice($B29*0.9,$J29+0, $K29, $C29, ($I29-$B$1)/365, $G29, $H29, $D29) - BSPrice($B29,$J29, $K29, $C29, ($I29-$B$1)/365, $G29, $H29, $D29)) * $F29</f>
        <v/>
      </c>
      <c r="BB29" s="60">
        <f>(BSPrice($B29*0.9,$J29+0.02, $K29, $C29, ($I29-$B$1)/365, $G29, $H29, $D29) - BSPrice($B29,$J29, $K29, $C29, ($I29-$B$1)/365, $G29, $H29, $D29)) * $F29</f>
        <v/>
      </c>
      <c r="BC29" s="60">
        <f>(BSPrice($B29*0.9,$J29+0.05, $K29, $C29, ($I29-$B$1)/365, $G29, $H29, $D29) - BSPrice($B29,$J29, $K29, $C29, ($I29-$B$1)/365, $G29, $H29, $D29)) * $F29</f>
        <v/>
      </c>
      <c r="BD29" s="60">
        <f>(BSPrice($B29*0.9,$J29+0.1, $K29, $C29, ($I29-$B$1)/365, $G29, $H29, $D29) - BSPrice($B29,$J29, $K29, $C29, ($I29-$B$1)/365, $G29, $H29, $D29)) * $F29</f>
        <v/>
      </c>
      <c r="BE29" s="60">
        <f>(BSPrice($B29*0.9,$J29+0.2, $K29, $C29, ($I29-$B$1)/365, $G29, $H29, $D29) - BSPrice($B29,$J29, $K29, $C29, ($I29-$B$1)/365, $G29, $H29, $D29)) * $F29</f>
        <v/>
      </c>
      <c r="BF29" s="60">
        <f>(BSPrice($B29*0.95,$J29+-0.05, $K29, $C29, ($I29-$B$1)/365, $G29, $H29, $D29) - BSPrice($B29,$J29, $K29, $C29, ($I29-$B$1)/365, $G29, $H29, $D29)) * $F29</f>
        <v/>
      </c>
      <c r="BG29" s="60">
        <f>(BSPrice($B29*0.95,$J29+-0.02, $K29, $C29, ($I29-$B$1)/365, $G29, $H29, $D29) - BSPrice($B29,$J29, $K29, $C29, ($I29-$B$1)/365, $G29, $H29, $D29)) * $F29</f>
        <v/>
      </c>
      <c r="BH29" s="60">
        <f>(BSPrice($B29*0.95,$J29+0, $K29, $C29, ($I29-$B$1)/365, $G29, $H29, $D29) - BSPrice($B29,$J29, $K29, $C29, ($I29-$B$1)/365, $G29, $H29, $D29)) * $F29</f>
        <v/>
      </c>
      <c r="BI29" s="60">
        <f>(BSPrice($B29*0.95,$J29+0.02, $K29, $C29, ($I29-$B$1)/365, $G29, $H29, $D29) - BSPrice($B29,$J29, $K29, $C29, ($I29-$B$1)/365, $G29, $H29, $D29)) * $F29</f>
        <v/>
      </c>
      <c r="BJ29" s="60">
        <f>(BSPrice($B29*0.95,$J29+0.05, $K29, $C29, ($I29-$B$1)/365, $G29, $H29, $D29) - BSPrice($B29,$J29, $K29, $C29, ($I29-$B$1)/365, $G29, $H29, $D29)) * $F29</f>
        <v/>
      </c>
      <c r="BK29" s="60">
        <f>(BSPrice($B29*0.95,$J29+0.1, $K29, $C29, ($I29-$B$1)/365, $G29, $H29, $D29) - BSPrice($B29,$J29, $K29, $C29, ($I29-$B$1)/365, $G29, $H29, $D29)) * $F29</f>
        <v/>
      </c>
      <c r="BL29" s="60">
        <f>(BSPrice($B29*0.95,$J29+0.2, $K29, $C29, ($I29-$B$1)/365, $G29, $H29, $D29) - BSPrice($B29,$J29, $K29, $C29, ($I29-$B$1)/365, $G29, $H29, $D29)) * $F29</f>
        <v/>
      </c>
      <c r="BM29" s="60">
        <f>(BSPrice($B29*1,$J29+-0.05, $K29, $C29, ($I29-$B$1)/365, $G29, $H29, $D29) - BSPrice($B29,$J29, $K29, $C29, ($I29-$B$1)/365, $G29, $H29, $D29)) * $F29</f>
        <v/>
      </c>
      <c r="BN29" s="60">
        <f>(BSPrice($B29*1,$J29+-0.02, $K29, $C29, ($I29-$B$1)/365, $G29, $H29, $D29) - BSPrice($B29,$J29, $K29, $C29, ($I29-$B$1)/365, $G29, $H29, $D29)) * $F29</f>
        <v/>
      </c>
      <c r="BO29" s="60">
        <f>(BSPrice($B29*1,$J29+0, $K29, $C29, ($I29-$B$1)/365, $G29, $H29, $D29) - BSPrice($B29,$J29, $K29, $C29, ($I29-$B$1)/365, $G29, $H29, $D29)) * $F29</f>
        <v/>
      </c>
      <c r="BP29" s="60">
        <f>(BSPrice($B29*1,$J29+0.02, $K29, $C29, ($I29-$B$1)/365, $G29, $H29, $D29) - BSPrice($B29,$J29, $K29, $C29, ($I29-$B$1)/365, $G29, $H29, $D29)) * $F29</f>
        <v/>
      </c>
      <c r="BQ29" s="60">
        <f>(BSPrice($B29*1,$J29+0.05, $K29, $C29, ($I29-$B$1)/365, $G29, $H29, $D29) - BSPrice($B29,$J29, $K29, $C29, ($I29-$B$1)/365, $G29, $H29, $D29)) * $F29</f>
        <v/>
      </c>
      <c r="BR29" s="60">
        <f>(BSPrice($B29*1,$J29+0.1, $K29, $C29, ($I29-$B$1)/365, $G29, $H29, $D29) - BSPrice($B29,$J29, $K29, $C29, ($I29-$B$1)/365, $G29, $H29, $D29)) * $F29</f>
        <v/>
      </c>
      <c r="BS29" s="60">
        <f>(BSPrice($B29*1,$J29+0.2, $K29, $C29, ($I29-$B$1)/365, $G29, $H29, $D29) - BSPrice($B29,$J29, $K29, $C29, ($I29-$B$1)/365, $G29, $H29, $D29)) * $F29</f>
        <v/>
      </c>
      <c r="BT29" s="60">
        <f>(BSPrice($B29*1.05,$J29+-0.05, $K29, $C29, ($I29-$B$1)/365, $G29, $H29, $D29) - BSPrice($B29,$J29, $K29, $C29, ($I29-$B$1)/365, $G29, $H29, $D29)) * $F29</f>
        <v/>
      </c>
      <c r="BU29" s="60">
        <f>(BSPrice($B29*1.05,$J29+-0.02, $K29, $C29, ($I29-$B$1)/365, $G29, $H29, $D29) - BSPrice($B29,$J29, $K29, $C29, ($I29-$B$1)/365, $G29, $H29, $D29)) * $F29</f>
        <v/>
      </c>
      <c r="BV29" s="60">
        <f>(BSPrice($B29*1.05,$J29+0, $K29, $C29, ($I29-$B$1)/365, $G29, $H29, $D29) - BSPrice($B29,$J29, $K29, $C29, ($I29-$B$1)/365, $G29, $H29, $D29)) * $F29</f>
        <v/>
      </c>
      <c r="BW29" s="60">
        <f>(BSPrice($B29*1.05,$J29+0.02, $K29, $C29, ($I29-$B$1)/365, $G29, $H29, $D29) - BSPrice($B29,$J29, $K29, $C29, ($I29-$B$1)/365, $G29, $H29, $D29)) * $F29</f>
        <v/>
      </c>
      <c r="BX29" s="60">
        <f>(BSPrice($B29*1.05,$J29+0.05, $K29, $C29, ($I29-$B$1)/365, $G29, $H29, $D29) - BSPrice($B29,$J29, $K29, $C29, ($I29-$B$1)/365, $G29, $H29, $D29)) * $F29</f>
        <v/>
      </c>
      <c r="BY29" s="60">
        <f>(BSPrice($B29*1.05,$J29+0.1, $K29, $C29, ($I29-$B$1)/365, $G29, $H29, $D29) - BSPrice($B29,$J29, $K29, $C29, ($I29-$B$1)/365, $G29, $H29, $D29)) * $F29</f>
        <v/>
      </c>
      <c r="BZ29" s="60">
        <f>(BSPrice($B29*1.05,$J29+0.2, $K29, $C29, ($I29-$B$1)/365, $G29, $H29, $D29) - BSPrice($B29,$J29, $K29, $C29, ($I29-$B$1)/365, $G29, $H29, $D29)) * $F29</f>
        <v/>
      </c>
      <c r="CA29" s="60">
        <f>(BSPrice($B29*1.1,$J29+-0.05, $K29, $C29, ($I29-$B$1)/365, $G29, $H29, $D29) - BSPrice($B29,$J29, $K29, $C29, ($I29-$B$1)/365, $G29, $H29, $D29)) * $F29</f>
        <v/>
      </c>
      <c r="CB29" s="60">
        <f>(BSPrice($B29*1.1,$J29+-0.02, $K29, $C29, ($I29-$B$1)/365, $G29, $H29, $D29) - BSPrice($B29,$J29, $K29, $C29, ($I29-$B$1)/365, $G29, $H29, $D29)) * $F29</f>
        <v/>
      </c>
      <c r="CC29" s="60">
        <f>(BSPrice($B29*1.1,$J29+0, $K29, $C29, ($I29-$B$1)/365, $G29, $H29, $D29) - BSPrice($B29,$J29, $K29, $C29, ($I29-$B$1)/365, $G29, $H29, $D29)) * $F29</f>
        <v/>
      </c>
      <c r="CD29" s="60">
        <f>(BSPrice($B29*1.1,$J29+0.02, $K29, $C29, ($I29-$B$1)/365, $G29, $H29, $D29) - BSPrice($B29,$J29, $K29, $C29, ($I29-$B$1)/365, $G29, $H29, $D29)) * $F29</f>
        <v/>
      </c>
      <c r="CE29" s="60">
        <f>(BSPrice($B29*1.1,$J29+0.05, $K29, $C29, ($I29-$B$1)/365, $G29, $H29, $D29) - BSPrice($B29,$J29, $K29, $C29, ($I29-$B$1)/365, $G29, $H29, $D29)) * $F29</f>
        <v/>
      </c>
      <c r="CF29" s="60">
        <f>(BSPrice($B29*1.1,$J29+0.1, $K29, $C29, ($I29-$B$1)/365, $G29, $H29, $D29) - BSPrice($B29,$J29, $K29, $C29, ($I29-$B$1)/365, $G29, $H29, $D29)) * $F29</f>
        <v/>
      </c>
      <c r="CG29" s="60">
        <f>(BSPrice($B29*1.1,$J29+0.2, $K29, $C29, ($I29-$B$1)/365, $G29, $H29, $D29) - BSPrice($B29,$J29, $K29, $C29, ($I29-$B$1)/365, $G29, $H29, $D29)) * $F29</f>
        <v/>
      </c>
      <c r="CH29" s="60">
        <f>(BSPrice($B29*1.2,$J29+-0.05, $K29, $C29, ($I29-$B$1)/365, $G29, $H29, $D29) - BSPrice($B29,$J29, $K29, $C29, ($I29-$B$1)/365, $G29, $H29, $D29)) * $F29</f>
        <v/>
      </c>
      <c r="CI29" s="60">
        <f>(BSPrice($B29*1.2,$J29+-0.02, $K29, $C29, ($I29-$B$1)/365, $G29, $H29, $D29) - BSPrice($B29,$J29, $K29, $C29, ($I29-$B$1)/365, $G29, $H29, $D29)) * $F29</f>
        <v/>
      </c>
      <c r="CJ29" s="60">
        <f>(BSPrice($B29*1.2,$J29+0, $K29, $C29, ($I29-$B$1)/365, $G29, $H29, $D29) - BSPrice($B29,$J29, $K29, $C29, ($I29-$B$1)/365, $G29, $H29, $D29)) * $F29</f>
        <v/>
      </c>
      <c r="CK29" s="60">
        <f>(BSPrice($B29*1.2,$J29+0.02, $K29, $C29, ($I29-$B$1)/365, $G29, $H29, $D29) - BSPrice($B29,$J29, $K29, $C29, ($I29-$B$1)/365, $G29, $H29, $D29)) * $F29</f>
        <v/>
      </c>
      <c r="CL29" s="60">
        <f>(BSPrice($B29*1.2,$J29+0.05, $K29, $C29, ($I29-$B$1)/365, $G29, $H29, $D29) - BSPrice($B29,$J29, $K29, $C29, ($I29-$B$1)/365, $G29, $H29, $D29)) * $F29</f>
        <v/>
      </c>
      <c r="CM29" s="60">
        <f>(BSPrice($B29*1.2,$J29+0.1, $K29, $C29, ($I29-$B$1)/365, $G29, $H29, $D29) - BSPrice($B29,$J29, $K29, $C29, ($I29-$B$1)/365, $G29, $H29, $D29)) * $F29</f>
        <v/>
      </c>
      <c r="CN29" s="60">
        <f>(BSPrice($B29*1.2,$J29+0.2, $K29, $C29, ($I29-$B$1)/365, $G29, $H29, $D29) - BSPrice($B29,$J29, $K29, $C29, ($I29-$B$1)/365, $G29, $H29, $D29)) * $F29</f>
        <v/>
      </c>
    </row>
    <row r="30">
      <c r="A30" s="3" t="inlineStr">
        <is>
          <t>SPX Index</t>
        </is>
      </c>
      <c r="B30" s="4">
        <f>VLOOKUP(A30,PriceData!$K$4:$L$6,2,FALSE)</f>
        <v/>
      </c>
      <c r="C30" s="46">
        <f>VLOOKUP(A30,PriceData!$K$4:$M$6,3,FALSE)</f>
        <v/>
      </c>
      <c r="D30" s="4" t="inlineStr">
        <is>
          <t>Option</t>
        </is>
      </c>
      <c r="E30" s="4" t="inlineStr">
        <is>
          <t>USD</t>
        </is>
      </c>
      <c r="F30" s="4" t="n">
        <v>-50</v>
      </c>
      <c r="G30" s="4" t="n">
        <v>1232</v>
      </c>
      <c r="H30" s="4" t="inlineStr">
        <is>
          <t>Call</t>
        </is>
      </c>
      <c r="I30" s="5" t="n">
        <v>40438</v>
      </c>
      <c r="J30" s="46">
        <f>FindImpliedVol(A30, D30, G30, I30)</f>
        <v/>
      </c>
      <c r="K30" s="30">
        <f>VLOOKUP(I30,PriceData!$A$5:$D$7,MATCH($E30,PriceData!$A$4:$D$4,0),FALSE)</f>
        <v/>
      </c>
      <c r="L30" s="2">
        <f>BSPrice($B30,$J30, $K30, $C30, ($I30-$B$1)/365, $G30, $H30, $D30)</f>
        <v/>
      </c>
      <c r="M30" s="2">
        <f>F30*L30</f>
        <v/>
      </c>
      <c r="N30" s="4" t="inlineStr">
        <is>
          <t>JP Horgan</t>
        </is>
      </c>
      <c r="P30" s="60">
        <f>BSDelta(B30, J30, K30, C30, (I30-$B$1)/365, G30, H30, D30)</f>
        <v/>
      </c>
      <c r="Q30" s="60">
        <f>BSGamma(B30, J30, K30, C30, (I30-$B$1)/365, G30, D30)</f>
        <v/>
      </c>
      <c r="R30" s="58">
        <f>BSVega(B30, J30, K30, C30, (I30-$B$1)/365,G30, D30)</f>
        <v/>
      </c>
      <c r="S30" s="58">
        <f>BSVolga(B30, J30, K30, C30, (I30-$B$1)/365,G30, D30)</f>
        <v/>
      </c>
      <c r="T30" s="58">
        <f>BSVanna(B30,J30,K30, C30, (I30-$B$1)/365, G30, D30)</f>
        <v/>
      </c>
      <c r="U30" s="2">
        <f>BSRho(B30, J30, K30, C30, (I30-$B$1)/365, G30, H30, D30)</f>
        <v/>
      </c>
      <c r="V30" s="65">
        <f>$F30*$P30</f>
        <v/>
      </c>
      <c r="W30" s="65">
        <f>$F30*$Q30</f>
        <v/>
      </c>
      <c r="X30" s="78">
        <f>$F30*R30</f>
        <v/>
      </c>
      <c r="Y30" s="78">
        <f>$F30*S30</f>
        <v/>
      </c>
      <c r="Z30" s="78">
        <f>$F30*T30</f>
        <v/>
      </c>
      <c r="AA30" s="78">
        <f>$F30*U30</f>
        <v/>
      </c>
      <c r="AB30" s="78">
        <f>(BSPrice($B30*0.8,$J30, $K30, $C30, ($I30-$B$1)/365, $G30, $H30, $D30) - BSPrice($B30,$J30, $K30, $C30, ($I30-$B$1)/365, $G30, $H30, $D30)) * $F30</f>
        <v/>
      </c>
      <c r="AC30" s="78">
        <f>(BSPrice($B30*0.9,$J30, $K30, $C30, ($I30-$B$1)/365, $G30, $H30, $D30) - BSPrice($B30,$J30, $K30, $C30, ($I30-$B$1)/365, $G30, $H30, $D30)) * $F30</f>
        <v/>
      </c>
      <c r="AD30" s="78">
        <f>(BSPrice($B30*0.95,$J30, $K30, $C30, ($I30-$B$1)/365, $G30, $H30, $D30) - BSPrice($B30,$J30, $K30, $C30, ($I30-$B$1)/365, $G30, $H30, $D30)) * $F30</f>
        <v/>
      </c>
      <c r="AE30" s="78">
        <f>(BSPrice($B30*0.98,$J30, $K30, $C30, ($I30-$B$1)/365, $G30, $H30, $D30) - BSPrice($B30,$J30, $K30, $C30, ($I30-$B$1)/365, $G30, $H30, $D30)) * $F30</f>
        <v/>
      </c>
      <c r="AF30" s="78">
        <f>(BSPrice($B30*1.02,$J30, $K30, $C30, ($I30-$B$1)/365, $G30, $H30, $D30) - BSPrice($B30,$J30, $K30, $C30, ($I30-$B$1)/365, $G30, $H30, $D30)) * $F30</f>
        <v/>
      </c>
      <c r="AG30" s="78">
        <f>(BSPrice($B30*1.05,$J30, $K30, $C30, ($I30-$B$1)/365, $G30, $H30, $D30) - BSPrice($B30,$J30, $K30, $C30, ($I30-$B$1)/365, $G30, $H30, $D30)) * $F30</f>
        <v/>
      </c>
      <c r="AH30" s="78">
        <f>(BSPrice($B30*1.1,$J30, $K30, $C30, ($I30-$B$1)/365, $G30, $H30, $D30) - BSPrice($B30,$J30, $K30, $C30, ($I30-$B$1)/365, $G30, $H30, $D30)) * $F30</f>
        <v/>
      </c>
      <c r="AI30" s="78">
        <f>(BSPrice($B30*1.2,$J30, $K30, $C30, ($I30-$B$1)/365, $G30, $H30, $D30) - BSPrice($B30,$J30, $K30, $C30, ($I30-$B$1)/365, $G30, $H30, $D30)) * $F30</f>
        <v/>
      </c>
      <c r="AJ30" s="78">
        <f>(BSPrice($B30,$J30-0.1, $K30, $C30, ($I30-$B$1)/365, $G30, $H30, $D30) - BSPrice($B30,$J30, $K30, $C30, ($I30-$B$1)/365, $G30, $H30, $D30)) * $F30</f>
        <v/>
      </c>
      <c r="AK30" s="78">
        <f>(BSPrice($B30,$J30-0.05,$K30,$C30,($I30-$B$1)/365,$G30,$H30,$D30)-BSPrice($B30,$J30,$K30,$C30,($I30-$B$1)/365,$G30,$H30,$D30))*$F30</f>
        <v/>
      </c>
      <c r="AL30" s="78">
        <f>(BSPrice($B30,$J30-0.02, $K30, $C30, ($I30-$B$1)/365, $G30, $H30, $D30) - BSPrice($B30,$J30, $K30, $C30, ($I30-$B$1)/365, $G30, $H30, $D30)) * $F30</f>
        <v/>
      </c>
      <c r="AM30" s="78">
        <f>(BSPrice($B30,$J30-0.01, $K30, $C30, ($I30-$B$1)/365, $G30, $H30, $D30) - BSPrice($B30,$J30, $K30, $C30, ($I30-$B$1)/365, $G30, $H30, $D30)) * $F30</f>
        <v/>
      </c>
      <c r="AN30" s="78">
        <f>(BSPrice($B30,$J30+0.01, $K30, $C30, ($I30-$B$1)/365, $G30, $H30, $D30) - BSPrice($B30,$J30, $K30, $C30, ($I30-$B$1)/365, $G30, $H30, $D30)) * $F30</f>
        <v/>
      </c>
      <c r="AO30" s="78">
        <f>(BSPrice($B30,$J30+0.02, $K30, $C30, ($I30-$B$1)/365, $G30, $H30, $D30) - BSPrice($B30,$J30, $K30, $C30, ($I30-$B$1)/365, $G30, $H30, $D30)) * $F30</f>
        <v/>
      </c>
      <c r="AP30" s="78">
        <f>(BSPrice($B30,$J30+0.05, $K30, $C30, ($I30-$B$1)/365, $G30, $H30, $D30) - BSPrice($B30,$J30, $K30, $C30, ($I30-$B$1)/365, $G30, $H30, $D30)) * $F30</f>
        <v/>
      </c>
      <c r="AQ30" s="78">
        <f>(BSPrice($B30,$J30+0.1, $K30, $C30, ($I30-$B$1)/365, $G30, $H30, $D30) - BSPrice($B30,$J30, $K30, $C30, ($I30-$B$1)/365, $G30, $H30, $D30)) * $F30</f>
        <v/>
      </c>
      <c r="AR30" s="60">
        <f>(BSPrice($B30*0.8,$J30+-0.05, $K30, $C30, ($I30-$B$1)/365, $G30, $H30, $D30) - BSPrice($B30,$J30, $K30, $C30, ($I30-$B$1)/365, $G30, $H30, $D30)) * $F30</f>
        <v/>
      </c>
      <c r="AS30" s="60">
        <f>(BSPrice($B30*0.8,$J30+-0.02, $K30, $C30, ($I30-$B$1)/365, $G30, $H30, $D30) - BSPrice($B30,$J30, $K30, $C30, ($I30-$B$1)/365, $G30, $H30, $D30)) * $F30</f>
        <v/>
      </c>
      <c r="AT30" s="60">
        <f>(BSPrice($B30*0.8,$J30+0, $K30, $C30, ($I30-$B$1)/365, $G30, $H30, $D30) - BSPrice($B30,$J30, $K30, $C30, ($I30-$B$1)/365, $G30, $H30, $D30)) * $F30</f>
        <v/>
      </c>
      <c r="AU30" s="60">
        <f>(BSPrice($B30*0.8,$J30+0.02, $K30, $C30, ($I30-$B$1)/365, $G30, $H30, $D30) - BSPrice($B30,$J30, $K30, $C30, ($I30-$B$1)/365, $G30, $H30, $D30)) * $F30</f>
        <v/>
      </c>
      <c r="AV30" s="60">
        <f>(BSPrice($B30*0.8,$J30+0.05, $K30, $C30, ($I30-$B$1)/365, $G30, $H30, $D30) - BSPrice($B30,$J30, $K30, $C30, ($I30-$B$1)/365, $G30, $H30, $D30)) * $F30</f>
        <v/>
      </c>
      <c r="AW30" s="60">
        <f>(BSPrice($B30*0.8,$J30+0.1, $K30, $C30, ($I30-$B$1)/365, $G30, $H30, $D30) - BSPrice($B30,$J30, $K30, $C30, ($I30-$B$1)/365, $G30, $H30, $D30)) * $F30</f>
        <v/>
      </c>
      <c r="AX30" s="60">
        <f>(BSPrice($B30*0.8,$J30+0.2, $K30, $C30, ($I30-$B$1)/365, $G30, $H30, $D30) - BSPrice($B30,$J30, $K30, $C30, ($I30-$B$1)/365, $G30, $H30, $D30)) * $F30</f>
        <v/>
      </c>
      <c r="AY30" s="60">
        <f>(BSPrice($B30*0.9,$J30+-0.05, $K30, $C30, ($I30-$B$1)/365, $G30, $H30, $D30) - BSPrice($B30,$J30, $K30, $C30, ($I30-$B$1)/365, $G30, $H30, $D30)) * $F30</f>
        <v/>
      </c>
      <c r="AZ30" s="60">
        <f>(BSPrice($B30*0.9,$J30+-0.02, $K30, $C30, ($I30-$B$1)/365, $G30, $H30, $D30) - BSPrice($B30,$J30, $K30, $C30, ($I30-$B$1)/365, $G30, $H30, $D30)) * $F30</f>
        <v/>
      </c>
      <c r="BA30" s="60">
        <f>(BSPrice($B30*0.9,$J30+0, $K30, $C30, ($I30-$B$1)/365, $G30, $H30, $D30) - BSPrice($B30,$J30, $K30, $C30, ($I30-$B$1)/365, $G30, $H30, $D30)) * $F30</f>
        <v/>
      </c>
      <c r="BB30" s="60">
        <f>(BSPrice($B30*0.9,$J30+0.02, $K30, $C30, ($I30-$B$1)/365, $G30, $H30, $D30) - BSPrice($B30,$J30, $K30, $C30, ($I30-$B$1)/365, $G30, $H30, $D30)) * $F30</f>
        <v/>
      </c>
      <c r="BC30" s="60">
        <f>(BSPrice($B30*0.9,$J30+0.05, $K30, $C30, ($I30-$B$1)/365, $G30, $H30, $D30) - BSPrice($B30,$J30, $K30, $C30, ($I30-$B$1)/365, $G30, $H30, $D30)) * $F30</f>
        <v/>
      </c>
      <c r="BD30" s="60">
        <f>(BSPrice($B30*0.9,$J30+0.1, $K30, $C30, ($I30-$B$1)/365, $G30, $H30, $D30) - BSPrice($B30,$J30, $K30, $C30, ($I30-$B$1)/365, $G30, $H30, $D30)) * $F30</f>
        <v/>
      </c>
      <c r="BE30" s="60">
        <f>(BSPrice($B30*0.9,$J30+0.2, $K30, $C30, ($I30-$B$1)/365, $G30, $H30, $D30) - BSPrice($B30,$J30, $K30, $C30, ($I30-$B$1)/365, $G30, $H30, $D30)) * $F30</f>
        <v/>
      </c>
      <c r="BF30" s="60">
        <f>(BSPrice($B30*0.95,$J30+-0.05, $K30, $C30, ($I30-$B$1)/365, $G30, $H30, $D30) - BSPrice($B30,$J30, $K30, $C30, ($I30-$B$1)/365, $G30, $H30, $D30)) * $F30</f>
        <v/>
      </c>
      <c r="BG30" s="60">
        <f>(BSPrice($B30*0.95,$J30+-0.02, $K30, $C30, ($I30-$B$1)/365, $G30, $H30, $D30) - BSPrice($B30,$J30, $K30, $C30, ($I30-$B$1)/365, $G30, $H30, $D30)) * $F30</f>
        <v/>
      </c>
      <c r="BH30" s="60">
        <f>(BSPrice($B30*0.95,$J30+0, $K30, $C30, ($I30-$B$1)/365, $G30, $H30, $D30) - BSPrice($B30,$J30, $K30, $C30, ($I30-$B$1)/365, $G30, $H30, $D30)) * $F30</f>
        <v/>
      </c>
      <c r="BI30" s="60">
        <f>(BSPrice($B30*0.95,$J30+0.02, $K30, $C30, ($I30-$B$1)/365, $G30, $H30, $D30) - BSPrice($B30,$J30, $K30, $C30, ($I30-$B$1)/365, $G30, $H30, $D30)) * $F30</f>
        <v/>
      </c>
      <c r="BJ30" s="60">
        <f>(BSPrice($B30*0.95,$J30+0.05, $K30, $C30, ($I30-$B$1)/365, $G30, $H30, $D30) - BSPrice($B30,$J30, $K30, $C30, ($I30-$B$1)/365, $G30, $H30, $D30)) * $F30</f>
        <v/>
      </c>
      <c r="BK30" s="60">
        <f>(BSPrice($B30*0.95,$J30+0.1, $K30, $C30, ($I30-$B$1)/365, $G30, $H30, $D30) - BSPrice($B30,$J30, $K30, $C30, ($I30-$B$1)/365, $G30, $H30, $D30)) * $F30</f>
        <v/>
      </c>
      <c r="BL30" s="60">
        <f>(BSPrice($B30*0.95,$J30+0.2, $K30, $C30, ($I30-$B$1)/365, $G30, $H30, $D30) - BSPrice($B30,$J30, $K30, $C30, ($I30-$B$1)/365, $G30, $H30, $D30)) * $F30</f>
        <v/>
      </c>
      <c r="BM30" s="60">
        <f>(BSPrice($B30*1,$J30+-0.05, $K30, $C30, ($I30-$B$1)/365, $G30, $H30, $D30) - BSPrice($B30,$J30, $K30, $C30, ($I30-$B$1)/365, $G30, $H30, $D30)) * $F30</f>
        <v/>
      </c>
      <c r="BN30" s="60">
        <f>(BSPrice($B30*1,$J30+-0.02, $K30, $C30, ($I30-$B$1)/365, $G30, $H30, $D30) - BSPrice($B30,$J30, $K30, $C30, ($I30-$B$1)/365, $G30, $H30, $D30)) * $F30</f>
        <v/>
      </c>
      <c r="BO30" s="60">
        <f>(BSPrice($B30*1,$J30+0, $K30, $C30, ($I30-$B$1)/365, $G30, $H30, $D30) - BSPrice($B30,$J30, $K30, $C30, ($I30-$B$1)/365, $G30, $H30, $D30)) * $F30</f>
        <v/>
      </c>
      <c r="BP30" s="60">
        <f>(BSPrice($B30*1,$J30+0.02, $K30, $C30, ($I30-$B$1)/365, $G30, $H30, $D30) - BSPrice($B30,$J30, $K30, $C30, ($I30-$B$1)/365, $G30, $H30, $D30)) * $F30</f>
        <v/>
      </c>
      <c r="BQ30" s="60">
        <f>(BSPrice($B30*1,$J30+0.05, $K30, $C30, ($I30-$B$1)/365, $G30, $H30, $D30) - BSPrice($B30,$J30, $K30, $C30, ($I30-$B$1)/365, $G30, $H30, $D30)) * $F30</f>
        <v/>
      </c>
      <c r="BR30" s="60">
        <f>(BSPrice($B30*1,$J30+0.1, $K30, $C30, ($I30-$B$1)/365, $G30, $H30, $D30) - BSPrice($B30,$J30, $K30, $C30, ($I30-$B$1)/365, $G30, $H30, $D30)) * $F30</f>
        <v/>
      </c>
      <c r="BS30" s="60">
        <f>(BSPrice($B30*1,$J30+0.2, $K30, $C30, ($I30-$B$1)/365, $G30, $H30, $D30) - BSPrice($B30,$J30, $K30, $C30, ($I30-$B$1)/365, $G30, $H30, $D30)) * $F30</f>
        <v/>
      </c>
      <c r="BT30" s="60">
        <f>(BSPrice($B30*1.05,$J30+-0.05, $K30, $C30, ($I30-$B$1)/365, $G30, $H30, $D30) - BSPrice($B30,$J30, $K30, $C30, ($I30-$B$1)/365, $G30, $H30, $D30)) * $F30</f>
        <v/>
      </c>
      <c r="BU30" s="60">
        <f>(BSPrice($B30*1.05,$J30+-0.02, $K30, $C30, ($I30-$B$1)/365, $G30, $H30, $D30) - BSPrice($B30,$J30, $K30, $C30, ($I30-$B$1)/365, $G30, $H30, $D30)) * $F30</f>
        <v/>
      </c>
      <c r="BV30" s="60">
        <f>(BSPrice($B30*1.05,$J30+0, $K30, $C30, ($I30-$B$1)/365, $G30, $H30, $D30) - BSPrice($B30,$J30, $K30, $C30, ($I30-$B$1)/365, $G30, $H30, $D30)) * $F30</f>
        <v/>
      </c>
      <c r="BW30" s="60">
        <f>(BSPrice($B30*1.05,$J30+0.02, $K30, $C30, ($I30-$B$1)/365, $G30, $H30, $D30) - BSPrice($B30,$J30, $K30, $C30, ($I30-$B$1)/365, $G30, $H30, $D30)) * $F30</f>
        <v/>
      </c>
      <c r="BX30" s="60">
        <f>(BSPrice($B30*1.05,$J30+0.05, $K30, $C30, ($I30-$B$1)/365, $G30, $H30, $D30) - BSPrice($B30,$J30, $K30, $C30, ($I30-$B$1)/365, $G30, $H30, $D30)) * $F30</f>
        <v/>
      </c>
      <c r="BY30" s="60">
        <f>(BSPrice($B30*1.05,$J30+0.1, $K30, $C30, ($I30-$B$1)/365, $G30, $H30, $D30) - BSPrice($B30,$J30, $K30, $C30, ($I30-$B$1)/365, $G30, $H30, $D30)) * $F30</f>
        <v/>
      </c>
      <c r="BZ30" s="60">
        <f>(BSPrice($B30*1.05,$J30+0.2, $K30, $C30, ($I30-$B$1)/365, $G30, $H30, $D30) - BSPrice($B30,$J30, $K30, $C30, ($I30-$B$1)/365, $G30, $H30, $D30)) * $F30</f>
        <v/>
      </c>
      <c r="CA30" s="60">
        <f>(BSPrice($B30*1.1,$J30+-0.05, $K30, $C30, ($I30-$B$1)/365, $G30, $H30, $D30) - BSPrice($B30,$J30, $K30, $C30, ($I30-$B$1)/365, $G30, $H30, $D30)) * $F30</f>
        <v/>
      </c>
      <c r="CB30" s="60">
        <f>(BSPrice($B30*1.1,$J30+-0.02, $K30, $C30, ($I30-$B$1)/365, $G30, $H30, $D30) - BSPrice($B30,$J30, $K30, $C30, ($I30-$B$1)/365, $G30, $H30, $D30)) * $F30</f>
        <v/>
      </c>
      <c r="CC30" s="60">
        <f>(BSPrice($B30*1.1,$J30+0, $K30, $C30, ($I30-$B$1)/365, $G30, $H30, $D30) - BSPrice($B30,$J30, $K30, $C30, ($I30-$B$1)/365, $G30, $H30, $D30)) * $F30</f>
        <v/>
      </c>
      <c r="CD30" s="60">
        <f>(BSPrice($B30*1.1,$J30+0.02, $K30, $C30, ($I30-$B$1)/365, $G30, $H30, $D30) - BSPrice($B30,$J30, $K30, $C30, ($I30-$B$1)/365, $G30, $H30, $D30)) * $F30</f>
        <v/>
      </c>
      <c r="CE30" s="60">
        <f>(BSPrice($B30*1.1,$J30+0.05, $K30, $C30, ($I30-$B$1)/365, $G30, $H30, $D30) - BSPrice($B30,$J30, $K30, $C30, ($I30-$B$1)/365, $G30, $H30, $D30)) * $F30</f>
        <v/>
      </c>
      <c r="CF30" s="60">
        <f>(BSPrice($B30*1.1,$J30+0.1, $K30, $C30, ($I30-$B$1)/365, $G30, $H30, $D30) - BSPrice($B30,$J30, $K30, $C30, ($I30-$B$1)/365, $G30, $H30, $D30)) * $F30</f>
        <v/>
      </c>
      <c r="CG30" s="60">
        <f>(BSPrice($B30*1.1,$J30+0.2, $K30, $C30, ($I30-$B$1)/365, $G30, $H30, $D30) - BSPrice($B30,$J30, $K30, $C30, ($I30-$B$1)/365, $G30, $H30, $D30)) * $F30</f>
        <v/>
      </c>
      <c r="CH30" s="60">
        <f>(BSPrice($B30*1.2,$J30+-0.05, $K30, $C30, ($I30-$B$1)/365, $G30, $H30, $D30) - BSPrice($B30,$J30, $K30, $C30, ($I30-$B$1)/365, $G30, $H30, $D30)) * $F30</f>
        <v/>
      </c>
      <c r="CI30" s="60">
        <f>(BSPrice($B30*1.2,$J30+-0.02, $K30, $C30, ($I30-$B$1)/365, $G30, $H30, $D30) - BSPrice($B30,$J30, $K30, $C30, ($I30-$B$1)/365, $G30, $H30, $D30)) * $F30</f>
        <v/>
      </c>
      <c r="CJ30" s="60">
        <f>(BSPrice($B30*1.2,$J30+0, $K30, $C30, ($I30-$B$1)/365, $G30, $H30, $D30) - BSPrice($B30,$J30, $K30, $C30, ($I30-$B$1)/365, $G30, $H30, $D30)) * $F30</f>
        <v/>
      </c>
      <c r="CK30" s="60">
        <f>(BSPrice($B30*1.2,$J30+0.02, $K30, $C30, ($I30-$B$1)/365, $G30, $H30, $D30) - BSPrice($B30,$J30, $K30, $C30, ($I30-$B$1)/365, $G30, $H30, $D30)) * $F30</f>
        <v/>
      </c>
      <c r="CL30" s="60">
        <f>(BSPrice($B30*1.2,$J30+0.05, $K30, $C30, ($I30-$B$1)/365, $G30, $H30, $D30) - BSPrice($B30,$J30, $K30, $C30, ($I30-$B$1)/365, $G30, $H30, $D30)) * $F30</f>
        <v/>
      </c>
      <c r="CM30" s="60">
        <f>(BSPrice($B30*1.2,$J30+0.1, $K30, $C30, ($I30-$B$1)/365, $G30, $H30, $D30) - BSPrice($B30,$J30, $K30, $C30, ($I30-$B$1)/365, $G30, $H30, $D30)) * $F30</f>
        <v/>
      </c>
      <c r="CN30" s="60">
        <f>(BSPrice($B30*1.2,$J30+0.2, $K30, $C30, ($I30-$B$1)/365, $G30, $H30, $D30) - BSPrice($B30,$J30, $K30, $C30, ($I30-$B$1)/365, $G30, $H30, $D30)) * $F30</f>
        <v/>
      </c>
    </row>
    <row r="31">
      <c r="A31" s="3" t="inlineStr">
        <is>
          <t>SPX Index</t>
        </is>
      </c>
      <c r="B31" s="4">
        <f>VLOOKUP(A31,PriceData!$K$4:$L$6,2,FALSE)</f>
        <v/>
      </c>
      <c r="C31" s="46">
        <f>VLOOKUP(A31,PriceData!$K$4:$M$6,3,FALSE)</f>
        <v/>
      </c>
      <c r="D31" s="4" t="inlineStr">
        <is>
          <t>Option</t>
        </is>
      </c>
      <c r="E31" s="4" t="inlineStr">
        <is>
          <t>USD</t>
        </is>
      </c>
      <c r="F31" s="4" t="n">
        <v>-20</v>
      </c>
      <c r="G31" s="4" t="n">
        <v>1001</v>
      </c>
      <c r="H31" s="4" t="inlineStr">
        <is>
          <t>Put</t>
        </is>
      </c>
      <c r="I31" s="5" t="n">
        <v>40438</v>
      </c>
      <c r="J31" s="46">
        <f>FindImpliedVol(A31, D31, G31, I31)</f>
        <v/>
      </c>
      <c r="K31" s="30">
        <f>VLOOKUP(I31,PriceData!$A$5:$D$7,MATCH($E31,PriceData!$A$4:$D$4,0),FALSE)</f>
        <v/>
      </c>
      <c r="L31" s="2">
        <f>BSPrice($B31,$J31, $K31, $C31, ($I31-$B$1)/365, $G31, $H31, $D31)</f>
        <v/>
      </c>
      <c r="M31" s="2">
        <f>F31*L31</f>
        <v/>
      </c>
      <c r="N31" s="4" t="inlineStr">
        <is>
          <t>Exch</t>
        </is>
      </c>
      <c r="P31" s="60">
        <f>BSDelta(B31, J31, K31, C31, (I31-$B$1)/365, G31, H31, D31)</f>
        <v/>
      </c>
      <c r="Q31" s="60">
        <f>BSGamma(B31, J31, K31, C31, (I31-$B$1)/365, G31, D31)</f>
        <v/>
      </c>
      <c r="R31" s="58">
        <f>BSVega(B31, J31, K31, C31, (I31-$B$1)/365,G31, D31)</f>
        <v/>
      </c>
      <c r="S31" s="58">
        <f>BSVolga(B31, J31, K31, C31, (I31-$B$1)/365,G31, D31)</f>
        <v/>
      </c>
      <c r="T31" s="58">
        <f>BSVanna(B31,J31,K31, C31, (I31-$B$1)/365, G31, D31)</f>
        <v/>
      </c>
      <c r="U31" s="2">
        <f>BSRho(B31, J31, K31, C31, (I31-$B$1)/365, G31, H31, D31)</f>
        <v/>
      </c>
      <c r="V31" s="65">
        <f>$F31*$P31</f>
        <v/>
      </c>
      <c r="W31" s="65">
        <f>$F31*$Q31</f>
        <v/>
      </c>
      <c r="X31" s="78">
        <f>$F31*R31</f>
        <v/>
      </c>
      <c r="Y31" s="78">
        <f>$F31*S31</f>
        <v/>
      </c>
      <c r="Z31" s="78">
        <f>$F31*T31</f>
        <v/>
      </c>
      <c r="AA31" s="78">
        <f>$F31*U31</f>
        <v/>
      </c>
      <c r="AB31" s="78">
        <f>(BSPrice($B31*0.8,$J31, $K31, $C31, ($I31-$B$1)/365, $G31, $H31, $D31) - BSPrice($B31,$J31, $K31, $C31, ($I31-$B$1)/365, $G31, $H31, $D31)) * $F31</f>
        <v/>
      </c>
      <c r="AC31" s="78">
        <f>(BSPrice($B31*0.9,$J31, $K31, $C31, ($I31-$B$1)/365, $G31, $H31, $D31) - BSPrice($B31,$J31, $K31, $C31, ($I31-$B$1)/365, $G31, $H31, $D31)) * $F31</f>
        <v/>
      </c>
      <c r="AD31" s="78">
        <f>(BSPrice($B31*0.95,$J31, $K31, $C31, ($I31-$B$1)/365, $G31, $H31, $D31) - BSPrice($B31,$J31, $K31, $C31, ($I31-$B$1)/365, $G31, $H31, $D31)) * $F31</f>
        <v/>
      </c>
      <c r="AE31" s="78">
        <f>(BSPrice($B31*0.98,$J31, $K31, $C31, ($I31-$B$1)/365, $G31, $H31, $D31) - BSPrice($B31,$J31, $K31, $C31, ($I31-$B$1)/365, $G31, $H31, $D31)) * $F31</f>
        <v/>
      </c>
      <c r="AF31" s="78">
        <f>(BSPrice($B31*1.02,$J31, $K31, $C31, ($I31-$B$1)/365, $G31, $H31, $D31) - BSPrice($B31,$J31, $K31, $C31, ($I31-$B$1)/365, $G31, $H31, $D31)) * $F31</f>
        <v/>
      </c>
      <c r="AG31" s="78">
        <f>(BSPrice($B31*1.05,$J31, $K31, $C31, ($I31-$B$1)/365, $G31, $H31, $D31) - BSPrice($B31,$J31, $K31, $C31, ($I31-$B$1)/365, $G31, $H31, $D31)) * $F31</f>
        <v/>
      </c>
      <c r="AH31" s="78">
        <f>(BSPrice($B31*1.1,$J31, $K31, $C31, ($I31-$B$1)/365, $G31, $H31, $D31) - BSPrice($B31,$J31, $K31, $C31, ($I31-$B$1)/365, $G31, $H31, $D31)) * $F31</f>
        <v/>
      </c>
      <c r="AI31" s="78">
        <f>(BSPrice($B31*1.2,$J31, $K31, $C31, ($I31-$B$1)/365, $G31, $H31, $D31) - BSPrice($B31,$J31, $K31, $C31, ($I31-$B$1)/365, $G31, $H31, $D31)) * $F31</f>
        <v/>
      </c>
      <c r="AJ31" s="78">
        <f>(BSPrice($B31,$J31-0.1, $K31, $C31, ($I31-$B$1)/365, $G31, $H31, $D31) - BSPrice($B31,$J31, $K31, $C31, ($I31-$B$1)/365, $G31, $H31, $D31)) * $F31</f>
        <v/>
      </c>
      <c r="AK31" s="78">
        <f>(BSPrice($B31,$J31-0.05,$K31,$C31,($I31-$B$1)/365,$G31,$H31,$D31)-BSPrice($B31,$J31,$K31,$C31,($I31-$B$1)/365,$G31,$H31,$D31))*$F31</f>
        <v/>
      </c>
      <c r="AL31" s="78">
        <f>(BSPrice($B31,$J31-0.02, $K31, $C31, ($I31-$B$1)/365, $G31, $H31, $D31) - BSPrice($B31,$J31, $K31, $C31, ($I31-$B$1)/365, $G31, $H31, $D31)) * $F31</f>
        <v/>
      </c>
      <c r="AM31" s="78">
        <f>(BSPrice($B31,$J31-0.01, $K31, $C31, ($I31-$B$1)/365, $G31, $H31, $D31) - BSPrice($B31,$J31, $K31, $C31, ($I31-$B$1)/365, $G31, $H31, $D31)) * $F31</f>
        <v/>
      </c>
      <c r="AN31" s="78">
        <f>(BSPrice($B31,$J31+0.01, $K31, $C31, ($I31-$B$1)/365, $G31, $H31, $D31) - BSPrice($B31,$J31, $K31, $C31, ($I31-$B$1)/365, $G31, $H31, $D31)) * $F31</f>
        <v/>
      </c>
      <c r="AO31" s="78">
        <f>(BSPrice($B31,$J31+0.02, $K31, $C31, ($I31-$B$1)/365, $G31, $H31, $D31) - BSPrice($B31,$J31, $K31, $C31, ($I31-$B$1)/365, $G31, $H31, $D31)) * $F31</f>
        <v/>
      </c>
      <c r="AP31" s="78">
        <f>(BSPrice($B31,$J31+0.05, $K31, $C31, ($I31-$B$1)/365, $G31, $H31, $D31) - BSPrice($B31,$J31, $K31, $C31, ($I31-$B$1)/365, $G31, $H31, $D31)) * $F31</f>
        <v/>
      </c>
      <c r="AQ31" s="78">
        <f>(BSPrice($B31,$J31+0.1, $K31, $C31, ($I31-$B$1)/365, $G31, $H31, $D31) - BSPrice($B31,$J31, $K31, $C31, ($I31-$B$1)/365, $G31, $H31, $D31)) * $F31</f>
        <v/>
      </c>
      <c r="AR31" s="60">
        <f>(BSPrice($B31*0.8,$J31+-0.05, $K31, $C31, ($I31-$B$1)/365, $G31, $H31, $D31) - BSPrice($B31,$J31, $K31, $C31, ($I31-$B$1)/365, $G31, $H31, $D31)) * $F31</f>
        <v/>
      </c>
      <c r="AS31" s="60">
        <f>(BSPrice($B31*0.8,$J31+-0.02, $K31, $C31, ($I31-$B$1)/365, $G31, $H31, $D31) - BSPrice($B31,$J31, $K31, $C31, ($I31-$B$1)/365, $G31, $H31, $D31)) * $F31</f>
        <v/>
      </c>
      <c r="AT31" s="60">
        <f>(BSPrice($B31*0.8,$J31+0, $K31, $C31, ($I31-$B$1)/365, $G31, $H31, $D31) - BSPrice($B31,$J31, $K31, $C31, ($I31-$B$1)/365, $G31, $H31, $D31)) * $F31</f>
        <v/>
      </c>
      <c r="AU31" s="60">
        <f>(BSPrice($B31*0.8,$J31+0.02, $K31, $C31, ($I31-$B$1)/365, $G31, $H31, $D31) - BSPrice($B31,$J31, $K31, $C31, ($I31-$B$1)/365, $G31, $H31, $D31)) * $F31</f>
        <v/>
      </c>
      <c r="AV31" s="60">
        <f>(BSPrice($B31*0.8,$J31+0.05, $K31, $C31, ($I31-$B$1)/365, $G31, $H31, $D31) - BSPrice($B31,$J31, $K31, $C31, ($I31-$B$1)/365, $G31, $H31, $D31)) * $F31</f>
        <v/>
      </c>
      <c r="AW31" s="60">
        <f>(BSPrice($B31*0.8,$J31+0.1, $K31, $C31, ($I31-$B$1)/365, $G31, $H31, $D31) - BSPrice($B31,$J31, $K31, $C31, ($I31-$B$1)/365, $G31, $H31, $D31)) * $F31</f>
        <v/>
      </c>
      <c r="AX31" s="60">
        <f>(BSPrice($B31*0.8,$J31+0.2, $K31, $C31, ($I31-$B$1)/365, $G31, $H31, $D31) - BSPrice($B31,$J31, $K31, $C31, ($I31-$B$1)/365, $G31, $H31, $D31)) * $F31</f>
        <v/>
      </c>
      <c r="AY31" s="60">
        <f>(BSPrice($B31*0.9,$J31+-0.05, $K31, $C31, ($I31-$B$1)/365, $G31, $H31, $D31) - BSPrice($B31,$J31, $K31, $C31, ($I31-$B$1)/365, $G31, $H31, $D31)) * $F31</f>
        <v/>
      </c>
      <c r="AZ31" s="60">
        <f>(BSPrice($B31*0.9,$J31+-0.02, $K31, $C31, ($I31-$B$1)/365, $G31, $H31, $D31) - BSPrice($B31,$J31, $K31, $C31, ($I31-$B$1)/365, $G31, $H31, $D31)) * $F31</f>
        <v/>
      </c>
      <c r="BA31" s="60">
        <f>(BSPrice($B31*0.9,$J31+0, $K31, $C31, ($I31-$B$1)/365, $G31, $H31, $D31) - BSPrice($B31,$J31, $K31, $C31, ($I31-$B$1)/365, $G31, $H31, $D31)) * $F31</f>
        <v/>
      </c>
      <c r="BB31" s="60">
        <f>(BSPrice($B31*0.9,$J31+0.02, $K31, $C31, ($I31-$B$1)/365, $G31, $H31, $D31) - BSPrice($B31,$J31, $K31, $C31, ($I31-$B$1)/365, $G31, $H31, $D31)) * $F31</f>
        <v/>
      </c>
      <c r="BC31" s="60">
        <f>(BSPrice($B31*0.9,$J31+0.05, $K31, $C31, ($I31-$B$1)/365, $G31, $H31, $D31) - BSPrice($B31,$J31, $K31, $C31, ($I31-$B$1)/365, $G31, $H31, $D31)) * $F31</f>
        <v/>
      </c>
      <c r="BD31" s="60">
        <f>(BSPrice($B31*0.9,$J31+0.1, $K31, $C31, ($I31-$B$1)/365, $G31, $H31, $D31) - BSPrice($B31,$J31, $K31, $C31, ($I31-$B$1)/365, $G31, $H31, $D31)) * $F31</f>
        <v/>
      </c>
      <c r="BE31" s="60">
        <f>(BSPrice($B31*0.9,$J31+0.2, $K31, $C31, ($I31-$B$1)/365, $G31, $H31, $D31) - BSPrice($B31,$J31, $K31, $C31, ($I31-$B$1)/365, $G31, $H31, $D31)) * $F31</f>
        <v/>
      </c>
      <c r="BF31" s="60">
        <f>(BSPrice($B31*0.95,$J31+-0.05, $K31, $C31, ($I31-$B$1)/365, $G31, $H31, $D31) - BSPrice($B31,$J31, $K31, $C31, ($I31-$B$1)/365, $G31, $H31, $D31)) * $F31</f>
        <v/>
      </c>
      <c r="BG31" s="60">
        <f>(BSPrice($B31*0.95,$J31+-0.02, $K31, $C31, ($I31-$B$1)/365, $G31, $H31, $D31) - BSPrice($B31,$J31, $K31, $C31, ($I31-$B$1)/365, $G31, $H31, $D31)) * $F31</f>
        <v/>
      </c>
      <c r="BH31" s="60">
        <f>(BSPrice($B31*0.95,$J31+0, $K31, $C31, ($I31-$B$1)/365, $G31, $H31, $D31) - BSPrice($B31,$J31, $K31, $C31, ($I31-$B$1)/365, $G31, $H31, $D31)) * $F31</f>
        <v/>
      </c>
      <c r="BI31" s="60">
        <f>(BSPrice($B31*0.95,$J31+0.02, $K31, $C31, ($I31-$B$1)/365, $G31, $H31, $D31) - BSPrice($B31,$J31, $K31, $C31, ($I31-$B$1)/365, $G31, $H31, $D31)) * $F31</f>
        <v/>
      </c>
      <c r="BJ31" s="60">
        <f>(BSPrice($B31*0.95,$J31+0.05, $K31, $C31, ($I31-$B$1)/365, $G31, $H31, $D31) - BSPrice($B31,$J31, $K31, $C31, ($I31-$B$1)/365, $G31, $H31, $D31)) * $F31</f>
        <v/>
      </c>
      <c r="BK31" s="60">
        <f>(BSPrice($B31*0.95,$J31+0.1, $K31, $C31, ($I31-$B$1)/365, $G31, $H31, $D31) - BSPrice($B31,$J31, $K31, $C31, ($I31-$B$1)/365, $G31, $H31, $D31)) * $F31</f>
        <v/>
      </c>
      <c r="BL31" s="60">
        <f>(BSPrice($B31*0.95,$J31+0.2, $K31, $C31, ($I31-$B$1)/365, $G31, $H31, $D31) - BSPrice($B31,$J31, $K31, $C31, ($I31-$B$1)/365, $G31, $H31, $D31)) * $F31</f>
        <v/>
      </c>
      <c r="BM31" s="60">
        <f>(BSPrice($B31*1,$J31+-0.05, $K31, $C31, ($I31-$B$1)/365, $G31, $H31, $D31) - BSPrice($B31,$J31, $K31, $C31, ($I31-$B$1)/365, $G31, $H31, $D31)) * $F31</f>
        <v/>
      </c>
      <c r="BN31" s="60">
        <f>(BSPrice($B31*1,$J31+-0.02, $K31, $C31, ($I31-$B$1)/365, $G31, $H31, $D31) - BSPrice($B31,$J31, $K31, $C31, ($I31-$B$1)/365, $G31, $H31, $D31)) * $F31</f>
        <v/>
      </c>
      <c r="BO31" s="60">
        <f>(BSPrice($B31*1,$J31+0, $K31, $C31, ($I31-$B$1)/365, $G31, $H31, $D31) - BSPrice($B31,$J31, $K31, $C31, ($I31-$B$1)/365, $G31, $H31, $D31)) * $F31</f>
        <v/>
      </c>
      <c r="BP31" s="60">
        <f>(BSPrice($B31*1,$J31+0.02, $K31, $C31, ($I31-$B$1)/365, $G31, $H31, $D31) - BSPrice($B31,$J31, $K31, $C31, ($I31-$B$1)/365, $G31, $H31, $D31)) * $F31</f>
        <v/>
      </c>
      <c r="BQ31" s="60">
        <f>(BSPrice($B31*1,$J31+0.05, $K31, $C31, ($I31-$B$1)/365, $G31, $H31, $D31) - BSPrice($B31,$J31, $K31, $C31, ($I31-$B$1)/365, $G31, $H31, $D31)) * $F31</f>
        <v/>
      </c>
      <c r="BR31" s="60">
        <f>(BSPrice($B31*1,$J31+0.1, $K31, $C31, ($I31-$B$1)/365, $G31, $H31, $D31) - BSPrice($B31,$J31, $K31, $C31, ($I31-$B$1)/365, $G31, $H31, $D31)) * $F31</f>
        <v/>
      </c>
      <c r="BS31" s="60">
        <f>(BSPrice($B31*1,$J31+0.2, $K31, $C31, ($I31-$B$1)/365, $G31, $H31, $D31) - BSPrice($B31,$J31, $K31, $C31, ($I31-$B$1)/365, $G31, $H31, $D31)) * $F31</f>
        <v/>
      </c>
      <c r="BT31" s="60">
        <f>(BSPrice($B31*1.05,$J31+-0.05, $K31, $C31, ($I31-$B$1)/365, $G31, $H31, $D31) - BSPrice($B31,$J31, $K31, $C31, ($I31-$B$1)/365, $G31, $H31, $D31)) * $F31</f>
        <v/>
      </c>
      <c r="BU31" s="60">
        <f>(BSPrice($B31*1.05,$J31+-0.02, $K31, $C31, ($I31-$B$1)/365, $G31, $H31, $D31) - BSPrice($B31,$J31, $K31, $C31, ($I31-$B$1)/365, $G31, $H31, $D31)) * $F31</f>
        <v/>
      </c>
      <c r="BV31" s="60">
        <f>(BSPrice($B31*1.05,$J31+0, $K31, $C31, ($I31-$B$1)/365, $G31, $H31, $D31) - BSPrice($B31,$J31, $K31, $C31, ($I31-$B$1)/365, $G31, $H31, $D31)) * $F31</f>
        <v/>
      </c>
      <c r="BW31" s="60">
        <f>(BSPrice($B31*1.05,$J31+0.02, $K31, $C31, ($I31-$B$1)/365, $G31, $H31, $D31) - BSPrice($B31,$J31, $K31, $C31, ($I31-$B$1)/365, $G31, $H31, $D31)) * $F31</f>
        <v/>
      </c>
      <c r="BX31" s="60">
        <f>(BSPrice($B31*1.05,$J31+0.05, $K31, $C31, ($I31-$B$1)/365, $G31, $H31, $D31) - BSPrice($B31,$J31, $K31, $C31, ($I31-$B$1)/365, $G31, $H31, $D31)) * $F31</f>
        <v/>
      </c>
      <c r="BY31" s="60">
        <f>(BSPrice($B31*1.05,$J31+0.1, $K31, $C31, ($I31-$B$1)/365, $G31, $H31, $D31) - BSPrice($B31,$J31, $K31, $C31, ($I31-$B$1)/365, $G31, $H31, $D31)) * $F31</f>
        <v/>
      </c>
      <c r="BZ31" s="60">
        <f>(BSPrice($B31*1.05,$J31+0.2, $K31, $C31, ($I31-$B$1)/365, $G31, $H31, $D31) - BSPrice($B31,$J31, $K31, $C31, ($I31-$B$1)/365, $G31, $H31, $D31)) * $F31</f>
        <v/>
      </c>
      <c r="CA31" s="60">
        <f>(BSPrice($B31*1.1,$J31+-0.05, $K31, $C31, ($I31-$B$1)/365, $G31, $H31, $D31) - BSPrice($B31,$J31, $K31, $C31, ($I31-$B$1)/365, $G31, $H31, $D31)) * $F31</f>
        <v/>
      </c>
      <c r="CB31" s="60">
        <f>(BSPrice($B31*1.1,$J31+-0.02, $K31, $C31, ($I31-$B$1)/365, $G31, $H31, $D31) - BSPrice($B31,$J31, $K31, $C31, ($I31-$B$1)/365, $G31, $H31, $D31)) * $F31</f>
        <v/>
      </c>
      <c r="CC31" s="60">
        <f>(BSPrice($B31*1.1,$J31+0, $K31, $C31, ($I31-$B$1)/365, $G31, $H31, $D31) - BSPrice($B31,$J31, $K31, $C31, ($I31-$B$1)/365, $G31, $H31, $D31)) * $F31</f>
        <v/>
      </c>
      <c r="CD31" s="60">
        <f>(BSPrice($B31*1.1,$J31+0.02, $K31, $C31, ($I31-$B$1)/365, $G31, $H31, $D31) - BSPrice($B31,$J31, $K31, $C31, ($I31-$B$1)/365, $G31, $H31, $D31)) * $F31</f>
        <v/>
      </c>
      <c r="CE31" s="60">
        <f>(BSPrice($B31*1.1,$J31+0.05, $K31, $C31, ($I31-$B$1)/365, $G31, $H31, $D31) - BSPrice($B31,$J31, $K31, $C31, ($I31-$B$1)/365, $G31, $H31, $D31)) * $F31</f>
        <v/>
      </c>
      <c r="CF31" s="60">
        <f>(BSPrice($B31*1.1,$J31+0.1, $K31, $C31, ($I31-$B$1)/365, $G31, $H31, $D31) - BSPrice($B31,$J31, $K31, $C31, ($I31-$B$1)/365, $G31, $H31, $D31)) * $F31</f>
        <v/>
      </c>
      <c r="CG31" s="60">
        <f>(BSPrice($B31*1.1,$J31+0.2, $K31, $C31, ($I31-$B$1)/365, $G31, $H31, $D31) - BSPrice($B31,$J31, $K31, $C31, ($I31-$B$1)/365, $G31, $H31, $D31)) * $F31</f>
        <v/>
      </c>
      <c r="CH31" s="60">
        <f>(BSPrice($B31*1.2,$J31+-0.05, $K31, $C31, ($I31-$B$1)/365, $G31, $H31, $D31) - BSPrice($B31,$J31, $K31, $C31, ($I31-$B$1)/365, $G31, $H31, $D31)) * $F31</f>
        <v/>
      </c>
      <c r="CI31" s="60">
        <f>(BSPrice($B31*1.2,$J31+-0.02, $K31, $C31, ($I31-$B$1)/365, $G31, $H31, $D31) - BSPrice($B31,$J31, $K31, $C31, ($I31-$B$1)/365, $G31, $H31, $D31)) * $F31</f>
        <v/>
      </c>
      <c r="CJ31" s="60">
        <f>(BSPrice($B31*1.2,$J31+0, $K31, $C31, ($I31-$B$1)/365, $G31, $H31, $D31) - BSPrice($B31,$J31, $K31, $C31, ($I31-$B$1)/365, $G31, $H31, $D31)) * $F31</f>
        <v/>
      </c>
      <c r="CK31" s="60">
        <f>(BSPrice($B31*1.2,$J31+0.02, $K31, $C31, ($I31-$B$1)/365, $G31, $H31, $D31) - BSPrice($B31,$J31, $K31, $C31, ($I31-$B$1)/365, $G31, $H31, $D31)) * $F31</f>
        <v/>
      </c>
      <c r="CL31" s="60">
        <f>(BSPrice($B31*1.2,$J31+0.05, $K31, $C31, ($I31-$B$1)/365, $G31, $H31, $D31) - BSPrice($B31,$J31, $K31, $C31, ($I31-$B$1)/365, $G31, $H31, $D31)) * $F31</f>
        <v/>
      </c>
      <c r="CM31" s="60">
        <f>(BSPrice($B31*1.2,$J31+0.1, $K31, $C31, ($I31-$B$1)/365, $G31, $H31, $D31) - BSPrice($B31,$J31, $K31, $C31, ($I31-$B$1)/365, $G31, $H31, $D31)) * $F31</f>
        <v/>
      </c>
      <c r="CN31" s="60">
        <f>(BSPrice($B31*1.2,$J31+0.2, $K31, $C31, ($I31-$B$1)/365, $G31, $H31, $D31) - BSPrice($B31,$J31, $K31, $C31, ($I31-$B$1)/365, $G31, $H31, $D31)) * $F31</f>
        <v/>
      </c>
    </row>
    <row r="32">
      <c r="A32" s="3" t="inlineStr">
        <is>
          <t>SPX Index</t>
        </is>
      </c>
      <c r="B32" s="4">
        <f>VLOOKUP(A32,PriceData!$K$4:$L$6,2,FALSE)</f>
        <v/>
      </c>
      <c r="C32" s="46">
        <f>VLOOKUP(A32,PriceData!$K$4:$M$6,3,FALSE)</f>
        <v/>
      </c>
      <c r="D32" s="4" t="inlineStr">
        <is>
          <t>Option</t>
        </is>
      </c>
      <c r="E32" s="4" t="inlineStr">
        <is>
          <t>USD</t>
        </is>
      </c>
      <c r="F32" s="4" t="n">
        <v>-50</v>
      </c>
      <c r="G32" s="4" t="n">
        <v>1067</v>
      </c>
      <c r="H32" s="4" t="inlineStr">
        <is>
          <t>Put</t>
        </is>
      </c>
      <c r="I32" s="5" t="n">
        <v>40438</v>
      </c>
      <c r="J32" s="46">
        <f>FindImpliedVol(A32, D32, G32, I32)</f>
        <v/>
      </c>
      <c r="K32" s="30">
        <f>VLOOKUP(I32,PriceData!$A$5:$D$7,MATCH($E32,PriceData!$A$4:$D$4,0),FALSE)</f>
        <v/>
      </c>
      <c r="L32" s="2">
        <f>BSPrice($B32,$J32, $K32, $C32, ($I32-$B$1)/365, $G32, $H32, $D32)</f>
        <v/>
      </c>
      <c r="M32" s="2">
        <f>F32*L32</f>
        <v/>
      </c>
      <c r="N32" s="4" t="inlineStr">
        <is>
          <t>Exch</t>
        </is>
      </c>
      <c r="P32" s="60">
        <f>BSDelta(B32, J32, K32, C32, (I32-$B$1)/365, G32, H32, D32)</f>
        <v/>
      </c>
      <c r="Q32" s="60">
        <f>BSGamma(B32, J32, K32, C32, (I32-$B$1)/365, G32, D32)</f>
        <v/>
      </c>
      <c r="R32" s="58">
        <f>BSVega(B32, J32, K32, C32, (I32-$B$1)/365,G32, D32)</f>
        <v/>
      </c>
      <c r="S32" s="58">
        <f>BSVolga(B32, J32, K32, C32, (I32-$B$1)/365,G32, D32)</f>
        <v/>
      </c>
      <c r="T32" s="58">
        <f>BSVanna(B32,J32,K32, C32, (I32-$B$1)/365, G32, D32)</f>
        <v/>
      </c>
      <c r="U32" s="2">
        <f>BSRho(B32, J32, K32, C32, (I32-$B$1)/365, G32, H32, D32)</f>
        <v/>
      </c>
      <c r="V32" s="65">
        <f>$F32*$P32</f>
        <v/>
      </c>
      <c r="W32" s="65">
        <f>$F32*$Q32</f>
        <v/>
      </c>
      <c r="X32" s="78">
        <f>$F32*R32</f>
        <v/>
      </c>
      <c r="Y32" s="78">
        <f>$F32*S32</f>
        <v/>
      </c>
      <c r="Z32" s="78">
        <f>$F32*T32</f>
        <v/>
      </c>
      <c r="AA32" s="78">
        <f>$F32*U32</f>
        <v/>
      </c>
      <c r="AB32" s="78">
        <f>(BSPrice($B32*0.8,$J32, $K32, $C32, ($I32-$B$1)/365, $G32, $H32, $D32) - BSPrice($B32,$J32, $K32, $C32, ($I32-$B$1)/365, $G32, $H32, $D32)) * $F32</f>
        <v/>
      </c>
      <c r="AC32" s="78">
        <f>(BSPrice($B32*0.9,$J32, $K32, $C32, ($I32-$B$1)/365, $G32, $H32, $D32) - BSPrice($B32,$J32, $K32, $C32, ($I32-$B$1)/365, $G32, $H32, $D32)) * $F32</f>
        <v/>
      </c>
      <c r="AD32" s="78">
        <f>(BSPrice($B32*0.95,$J32, $K32, $C32, ($I32-$B$1)/365, $G32, $H32, $D32) - BSPrice($B32,$J32, $K32, $C32, ($I32-$B$1)/365, $G32, $H32, $D32)) * $F32</f>
        <v/>
      </c>
      <c r="AE32" s="78">
        <f>(BSPrice($B32*0.98,$J32, $K32, $C32, ($I32-$B$1)/365, $G32, $H32, $D32) - BSPrice($B32,$J32, $K32, $C32, ($I32-$B$1)/365, $G32, $H32, $D32)) * $F32</f>
        <v/>
      </c>
      <c r="AF32" s="78">
        <f>(BSPrice($B32*1.02,$J32, $K32, $C32, ($I32-$B$1)/365, $G32, $H32, $D32) - BSPrice($B32,$J32, $K32, $C32, ($I32-$B$1)/365, $G32, $H32, $D32)) * $F32</f>
        <v/>
      </c>
      <c r="AG32" s="78">
        <f>(BSPrice($B32*1.05,$J32, $K32, $C32, ($I32-$B$1)/365, $G32, $H32, $D32) - BSPrice($B32,$J32, $K32, $C32, ($I32-$B$1)/365, $G32, $H32, $D32)) * $F32</f>
        <v/>
      </c>
      <c r="AH32" s="78">
        <f>(BSPrice($B32*1.1,$J32, $K32, $C32, ($I32-$B$1)/365, $G32, $H32, $D32) - BSPrice($B32,$J32, $K32, $C32, ($I32-$B$1)/365, $G32, $H32, $D32)) * $F32</f>
        <v/>
      </c>
      <c r="AI32" s="78">
        <f>(BSPrice($B32*1.2,$J32, $K32, $C32, ($I32-$B$1)/365, $G32, $H32, $D32) - BSPrice($B32,$J32, $K32, $C32, ($I32-$B$1)/365, $G32, $H32, $D32)) * $F32</f>
        <v/>
      </c>
      <c r="AJ32" s="78">
        <f>(BSPrice($B32,$J32-0.1, $K32, $C32, ($I32-$B$1)/365, $G32, $H32, $D32) - BSPrice($B32,$J32, $K32, $C32, ($I32-$B$1)/365, $G32, $H32, $D32)) * $F32</f>
        <v/>
      </c>
      <c r="AK32" s="78">
        <f>(BSPrice($B32,$J32-0.05,$K32,$C32,($I32-$B$1)/365,$G32,$H32,$D32)-BSPrice($B32,$J32,$K32,$C32,($I32-$B$1)/365,$G32,$H32,$D32))*$F32</f>
        <v/>
      </c>
      <c r="AL32" s="78">
        <f>(BSPrice($B32,$J32-0.02, $K32, $C32, ($I32-$B$1)/365, $G32, $H32, $D32) - BSPrice($B32,$J32, $K32, $C32, ($I32-$B$1)/365, $G32, $H32, $D32)) * $F32</f>
        <v/>
      </c>
      <c r="AM32" s="78">
        <f>(BSPrice($B32,$J32-0.01, $K32, $C32, ($I32-$B$1)/365, $G32, $H32, $D32) - BSPrice($B32,$J32, $K32, $C32, ($I32-$B$1)/365, $G32, $H32, $D32)) * $F32</f>
        <v/>
      </c>
      <c r="AN32" s="78">
        <f>(BSPrice($B32,$J32+0.01, $K32, $C32, ($I32-$B$1)/365, $G32, $H32, $D32) - BSPrice($B32,$J32, $K32, $C32, ($I32-$B$1)/365, $G32, $H32, $D32)) * $F32</f>
        <v/>
      </c>
      <c r="AO32" s="78">
        <f>(BSPrice($B32,$J32+0.02, $K32, $C32, ($I32-$B$1)/365, $G32, $H32, $D32) - BSPrice($B32,$J32, $K32, $C32, ($I32-$B$1)/365, $G32, $H32, $D32)) * $F32</f>
        <v/>
      </c>
      <c r="AP32" s="78">
        <f>(BSPrice($B32,$J32+0.05, $K32, $C32, ($I32-$B$1)/365, $G32, $H32, $D32) - BSPrice($B32,$J32, $K32, $C32, ($I32-$B$1)/365, $G32, $H32, $D32)) * $F32</f>
        <v/>
      </c>
      <c r="AQ32" s="78">
        <f>(BSPrice($B32,$J32+0.1, $K32, $C32, ($I32-$B$1)/365, $G32, $H32, $D32) - BSPrice($B32,$J32, $K32, $C32, ($I32-$B$1)/365, $G32, $H32, $D32)) * $F32</f>
        <v/>
      </c>
      <c r="AR32" s="60">
        <f>(BSPrice($B32*0.8,$J32+-0.05, $K32, $C32, ($I32-$B$1)/365, $G32, $H32, $D32) - BSPrice($B32,$J32, $K32, $C32, ($I32-$B$1)/365, $G32, $H32, $D32)) * $F32</f>
        <v/>
      </c>
      <c r="AS32" s="60">
        <f>(BSPrice($B32*0.8,$J32+-0.02, $K32, $C32, ($I32-$B$1)/365, $G32, $H32, $D32) - BSPrice($B32,$J32, $K32, $C32, ($I32-$B$1)/365, $G32, $H32, $D32)) * $F32</f>
        <v/>
      </c>
      <c r="AT32" s="60">
        <f>(BSPrice($B32*0.8,$J32+0, $K32, $C32, ($I32-$B$1)/365, $G32, $H32, $D32) - BSPrice($B32,$J32, $K32, $C32, ($I32-$B$1)/365, $G32, $H32, $D32)) * $F32</f>
        <v/>
      </c>
      <c r="AU32" s="60">
        <f>(BSPrice($B32*0.8,$J32+0.02, $K32, $C32, ($I32-$B$1)/365, $G32, $H32, $D32) - BSPrice($B32,$J32, $K32, $C32, ($I32-$B$1)/365, $G32, $H32, $D32)) * $F32</f>
        <v/>
      </c>
      <c r="AV32" s="60">
        <f>(BSPrice($B32*0.8,$J32+0.05, $K32, $C32, ($I32-$B$1)/365, $G32, $H32, $D32) - BSPrice($B32,$J32, $K32, $C32, ($I32-$B$1)/365, $G32, $H32, $D32)) * $F32</f>
        <v/>
      </c>
      <c r="AW32" s="60">
        <f>(BSPrice($B32*0.8,$J32+0.1, $K32, $C32, ($I32-$B$1)/365, $G32, $H32, $D32) - BSPrice($B32,$J32, $K32, $C32, ($I32-$B$1)/365, $G32, $H32, $D32)) * $F32</f>
        <v/>
      </c>
      <c r="AX32" s="60">
        <f>(BSPrice($B32*0.8,$J32+0.2, $K32, $C32, ($I32-$B$1)/365, $G32, $H32, $D32) - BSPrice($B32,$J32, $K32, $C32, ($I32-$B$1)/365, $G32, $H32, $D32)) * $F32</f>
        <v/>
      </c>
      <c r="AY32" s="60">
        <f>(BSPrice($B32*0.9,$J32+-0.05, $K32, $C32, ($I32-$B$1)/365, $G32, $H32, $D32) - BSPrice($B32,$J32, $K32, $C32, ($I32-$B$1)/365, $G32, $H32, $D32)) * $F32</f>
        <v/>
      </c>
      <c r="AZ32" s="60">
        <f>(BSPrice($B32*0.9,$J32+-0.02, $K32, $C32, ($I32-$B$1)/365, $G32, $H32, $D32) - BSPrice($B32,$J32, $K32, $C32, ($I32-$B$1)/365, $G32, $H32, $D32)) * $F32</f>
        <v/>
      </c>
      <c r="BA32" s="60">
        <f>(BSPrice($B32*0.9,$J32+0, $K32, $C32, ($I32-$B$1)/365, $G32, $H32, $D32) - BSPrice($B32,$J32, $K32, $C32, ($I32-$B$1)/365, $G32, $H32, $D32)) * $F32</f>
        <v/>
      </c>
      <c r="BB32" s="60">
        <f>(BSPrice($B32*0.9,$J32+0.02, $K32, $C32, ($I32-$B$1)/365, $G32, $H32, $D32) - BSPrice($B32,$J32, $K32, $C32, ($I32-$B$1)/365, $G32, $H32, $D32)) * $F32</f>
        <v/>
      </c>
      <c r="BC32" s="60">
        <f>(BSPrice($B32*0.9,$J32+0.05, $K32, $C32, ($I32-$B$1)/365, $G32, $H32, $D32) - BSPrice($B32,$J32, $K32, $C32, ($I32-$B$1)/365, $G32, $H32, $D32)) * $F32</f>
        <v/>
      </c>
      <c r="BD32" s="60">
        <f>(BSPrice($B32*0.9,$J32+0.1, $K32, $C32, ($I32-$B$1)/365, $G32, $H32, $D32) - BSPrice($B32,$J32, $K32, $C32, ($I32-$B$1)/365, $G32, $H32, $D32)) * $F32</f>
        <v/>
      </c>
      <c r="BE32" s="60">
        <f>(BSPrice($B32*0.9,$J32+0.2, $K32, $C32, ($I32-$B$1)/365, $G32, $H32, $D32) - BSPrice($B32,$J32, $K32, $C32, ($I32-$B$1)/365, $G32, $H32, $D32)) * $F32</f>
        <v/>
      </c>
      <c r="BF32" s="60">
        <f>(BSPrice($B32*0.95,$J32+-0.05, $K32, $C32, ($I32-$B$1)/365, $G32, $H32, $D32) - BSPrice($B32,$J32, $K32, $C32, ($I32-$B$1)/365, $G32, $H32, $D32)) * $F32</f>
        <v/>
      </c>
      <c r="BG32" s="60">
        <f>(BSPrice($B32*0.95,$J32+-0.02, $K32, $C32, ($I32-$B$1)/365, $G32, $H32, $D32) - BSPrice($B32,$J32, $K32, $C32, ($I32-$B$1)/365, $G32, $H32, $D32)) * $F32</f>
        <v/>
      </c>
      <c r="BH32" s="60">
        <f>(BSPrice($B32*0.95,$J32+0, $K32, $C32, ($I32-$B$1)/365, $G32, $H32, $D32) - BSPrice($B32,$J32, $K32, $C32, ($I32-$B$1)/365, $G32, $H32, $D32)) * $F32</f>
        <v/>
      </c>
      <c r="BI32" s="60">
        <f>(BSPrice($B32*0.95,$J32+0.02, $K32, $C32, ($I32-$B$1)/365, $G32, $H32, $D32) - BSPrice($B32,$J32, $K32, $C32, ($I32-$B$1)/365, $G32, $H32, $D32)) * $F32</f>
        <v/>
      </c>
      <c r="BJ32" s="60">
        <f>(BSPrice($B32*0.95,$J32+0.05, $K32, $C32, ($I32-$B$1)/365, $G32, $H32, $D32) - BSPrice($B32,$J32, $K32, $C32, ($I32-$B$1)/365, $G32, $H32, $D32)) * $F32</f>
        <v/>
      </c>
      <c r="BK32" s="60">
        <f>(BSPrice($B32*0.95,$J32+0.1, $K32, $C32, ($I32-$B$1)/365, $G32, $H32, $D32) - BSPrice($B32,$J32, $K32, $C32, ($I32-$B$1)/365, $G32, $H32, $D32)) * $F32</f>
        <v/>
      </c>
      <c r="BL32" s="60">
        <f>(BSPrice($B32*0.95,$J32+0.2, $K32, $C32, ($I32-$B$1)/365, $G32, $H32, $D32) - BSPrice($B32,$J32, $K32, $C32, ($I32-$B$1)/365, $G32, $H32, $D32)) * $F32</f>
        <v/>
      </c>
      <c r="BM32" s="60">
        <f>(BSPrice($B32*1,$J32+-0.05, $K32, $C32, ($I32-$B$1)/365, $G32, $H32, $D32) - BSPrice($B32,$J32, $K32, $C32, ($I32-$B$1)/365, $G32, $H32, $D32)) * $F32</f>
        <v/>
      </c>
      <c r="BN32" s="60">
        <f>(BSPrice($B32*1,$J32+-0.02, $K32, $C32, ($I32-$B$1)/365, $G32, $H32, $D32) - BSPrice($B32,$J32, $K32, $C32, ($I32-$B$1)/365, $G32, $H32, $D32)) * $F32</f>
        <v/>
      </c>
      <c r="BO32" s="60">
        <f>(BSPrice($B32*1,$J32+0, $K32, $C32, ($I32-$B$1)/365, $G32, $H32, $D32) - BSPrice($B32,$J32, $K32, $C32, ($I32-$B$1)/365, $G32, $H32, $D32)) * $F32</f>
        <v/>
      </c>
      <c r="BP32" s="60">
        <f>(BSPrice($B32*1,$J32+0.02, $K32, $C32, ($I32-$B$1)/365, $G32, $H32, $D32) - BSPrice($B32,$J32, $K32, $C32, ($I32-$B$1)/365, $G32, $H32, $D32)) * $F32</f>
        <v/>
      </c>
      <c r="BQ32" s="60">
        <f>(BSPrice($B32*1,$J32+0.05, $K32, $C32, ($I32-$B$1)/365, $G32, $H32, $D32) - BSPrice($B32,$J32, $K32, $C32, ($I32-$B$1)/365, $G32, $H32, $D32)) * $F32</f>
        <v/>
      </c>
      <c r="BR32" s="60">
        <f>(BSPrice($B32*1,$J32+0.1, $K32, $C32, ($I32-$B$1)/365, $G32, $H32, $D32) - BSPrice($B32,$J32, $K32, $C32, ($I32-$B$1)/365, $G32, $H32, $D32)) * $F32</f>
        <v/>
      </c>
      <c r="BS32" s="60">
        <f>(BSPrice($B32*1,$J32+0.2, $K32, $C32, ($I32-$B$1)/365, $G32, $H32, $D32) - BSPrice($B32,$J32, $K32, $C32, ($I32-$B$1)/365, $G32, $H32, $D32)) * $F32</f>
        <v/>
      </c>
      <c r="BT32" s="60">
        <f>(BSPrice($B32*1.05,$J32+-0.05, $K32, $C32, ($I32-$B$1)/365, $G32, $H32, $D32) - BSPrice($B32,$J32, $K32, $C32, ($I32-$B$1)/365, $G32, $H32, $D32)) * $F32</f>
        <v/>
      </c>
      <c r="BU32" s="60">
        <f>(BSPrice($B32*1.05,$J32+-0.02, $K32, $C32, ($I32-$B$1)/365, $G32, $H32, $D32) - BSPrice($B32,$J32, $K32, $C32, ($I32-$B$1)/365, $G32, $H32, $D32)) * $F32</f>
        <v/>
      </c>
      <c r="BV32" s="60">
        <f>(BSPrice($B32*1.05,$J32+0, $K32, $C32, ($I32-$B$1)/365, $G32, $H32, $D32) - BSPrice($B32,$J32, $K32, $C32, ($I32-$B$1)/365, $G32, $H32, $D32)) * $F32</f>
        <v/>
      </c>
      <c r="BW32" s="60">
        <f>(BSPrice($B32*1.05,$J32+0.02, $K32, $C32, ($I32-$B$1)/365, $G32, $H32, $D32) - BSPrice($B32,$J32, $K32, $C32, ($I32-$B$1)/365, $G32, $H32, $D32)) * $F32</f>
        <v/>
      </c>
      <c r="BX32" s="60">
        <f>(BSPrice($B32*1.05,$J32+0.05, $K32, $C32, ($I32-$B$1)/365, $G32, $H32, $D32) - BSPrice($B32,$J32, $K32, $C32, ($I32-$B$1)/365, $G32, $H32, $D32)) * $F32</f>
        <v/>
      </c>
      <c r="BY32" s="60">
        <f>(BSPrice($B32*1.05,$J32+0.1, $K32, $C32, ($I32-$B$1)/365, $G32, $H32, $D32) - BSPrice($B32,$J32, $K32, $C32, ($I32-$B$1)/365, $G32, $H32, $D32)) * $F32</f>
        <v/>
      </c>
      <c r="BZ32" s="60">
        <f>(BSPrice($B32*1.05,$J32+0.2, $K32, $C32, ($I32-$B$1)/365, $G32, $H32, $D32) - BSPrice($B32,$J32, $K32, $C32, ($I32-$B$1)/365, $G32, $H32, $D32)) * $F32</f>
        <v/>
      </c>
      <c r="CA32" s="60">
        <f>(BSPrice($B32*1.1,$J32+-0.05, $K32, $C32, ($I32-$B$1)/365, $G32, $H32, $D32) - BSPrice($B32,$J32, $K32, $C32, ($I32-$B$1)/365, $G32, $H32, $D32)) * $F32</f>
        <v/>
      </c>
      <c r="CB32" s="60">
        <f>(BSPrice($B32*1.1,$J32+-0.02, $K32, $C32, ($I32-$B$1)/365, $G32, $H32, $D32) - BSPrice($B32,$J32, $K32, $C32, ($I32-$B$1)/365, $G32, $H32, $D32)) * $F32</f>
        <v/>
      </c>
      <c r="CC32" s="60">
        <f>(BSPrice($B32*1.1,$J32+0, $K32, $C32, ($I32-$B$1)/365, $G32, $H32, $D32) - BSPrice($B32,$J32, $K32, $C32, ($I32-$B$1)/365, $G32, $H32, $D32)) * $F32</f>
        <v/>
      </c>
      <c r="CD32" s="60">
        <f>(BSPrice($B32*1.1,$J32+0.02, $K32, $C32, ($I32-$B$1)/365, $G32, $H32, $D32) - BSPrice($B32,$J32, $K32, $C32, ($I32-$B$1)/365, $G32, $H32, $D32)) * $F32</f>
        <v/>
      </c>
      <c r="CE32" s="60">
        <f>(BSPrice($B32*1.1,$J32+0.05, $K32, $C32, ($I32-$B$1)/365, $G32, $H32, $D32) - BSPrice($B32,$J32, $K32, $C32, ($I32-$B$1)/365, $G32, $H32, $D32)) * $F32</f>
        <v/>
      </c>
      <c r="CF32" s="60">
        <f>(BSPrice($B32*1.1,$J32+0.1, $K32, $C32, ($I32-$B$1)/365, $G32, $H32, $D32) - BSPrice($B32,$J32, $K32, $C32, ($I32-$B$1)/365, $G32, $H32, $D32)) * $F32</f>
        <v/>
      </c>
      <c r="CG32" s="60">
        <f>(BSPrice($B32*1.1,$J32+0.2, $K32, $C32, ($I32-$B$1)/365, $G32, $H32, $D32) - BSPrice($B32,$J32, $K32, $C32, ($I32-$B$1)/365, $G32, $H32, $D32)) * $F32</f>
        <v/>
      </c>
      <c r="CH32" s="60">
        <f>(BSPrice($B32*1.2,$J32+-0.05, $K32, $C32, ($I32-$B$1)/365, $G32, $H32, $D32) - BSPrice($B32,$J32, $K32, $C32, ($I32-$B$1)/365, $G32, $H32, $D32)) * $F32</f>
        <v/>
      </c>
      <c r="CI32" s="60">
        <f>(BSPrice($B32*1.2,$J32+-0.02, $K32, $C32, ($I32-$B$1)/365, $G32, $H32, $D32) - BSPrice($B32,$J32, $K32, $C32, ($I32-$B$1)/365, $G32, $H32, $D32)) * $F32</f>
        <v/>
      </c>
      <c r="CJ32" s="60">
        <f>(BSPrice($B32*1.2,$J32+0, $K32, $C32, ($I32-$B$1)/365, $G32, $H32, $D32) - BSPrice($B32,$J32, $K32, $C32, ($I32-$B$1)/365, $G32, $H32, $D32)) * $F32</f>
        <v/>
      </c>
      <c r="CK32" s="60">
        <f>(BSPrice($B32*1.2,$J32+0.02, $K32, $C32, ($I32-$B$1)/365, $G32, $H32, $D32) - BSPrice($B32,$J32, $K32, $C32, ($I32-$B$1)/365, $G32, $H32, $D32)) * $F32</f>
        <v/>
      </c>
      <c r="CL32" s="60">
        <f>(BSPrice($B32*1.2,$J32+0.05, $K32, $C32, ($I32-$B$1)/365, $G32, $H32, $D32) - BSPrice($B32,$J32, $K32, $C32, ($I32-$B$1)/365, $G32, $H32, $D32)) * $F32</f>
        <v/>
      </c>
      <c r="CM32" s="60">
        <f>(BSPrice($B32*1.2,$J32+0.1, $K32, $C32, ($I32-$B$1)/365, $G32, $H32, $D32) - BSPrice($B32,$J32, $K32, $C32, ($I32-$B$1)/365, $G32, $H32, $D32)) * $F32</f>
        <v/>
      </c>
      <c r="CN32" s="60">
        <f>(BSPrice($B32*1.2,$J32+0.2, $K32, $C32, ($I32-$B$1)/365, $G32, $H32, $D32) - BSPrice($B32,$J32, $K32, $C32, ($I32-$B$1)/365, $G32, $H32, $D32)) * $F32</f>
        <v/>
      </c>
    </row>
    <row r="33">
      <c r="A33" s="3" t="inlineStr">
        <is>
          <t>SPX Index</t>
        </is>
      </c>
      <c r="B33" s="4">
        <f>VLOOKUP(A33,PriceData!$K$4:$L$6,2,FALSE)</f>
        <v/>
      </c>
      <c r="C33" s="46">
        <f>VLOOKUP(A33,PriceData!$K$4:$M$6,3,FALSE)</f>
        <v/>
      </c>
      <c r="D33" s="4" t="inlineStr">
        <is>
          <t>Option</t>
        </is>
      </c>
      <c r="E33" s="4" t="inlineStr">
        <is>
          <t>USD</t>
        </is>
      </c>
      <c r="F33" s="4" t="n">
        <v>-50</v>
      </c>
      <c r="G33" s="4" t="n">
        <v>1067</v>
      </c>
      <c r="H33" s="4" t="inlineStr">
        <is>
          <t>Call</t>
        </is>
      </c>
      <c r="I33" s="5" t="n">
        <v>40438</v>
      </c>
      <c r="J33" s="46">
        <f>FindImpliedVol(A33, D33, G33, I33)</f>
        <v/>
      </c>
      <c r="K33" s="30">
        <f>VLOOKUP(I33,PriceData!$A$5:$D$7,MATCH($E33,PriceData!$A$4:$D$4,0),FALSE)</f>
        <v/>
      </c>
      <c r="L33" s="2">
        <f>BSPrice($B33,$J33, $K33, $C33, ($I33-$B$1)/365, $G33, $H33, $D33)</f>
        <v/>
      </c>
      <c r="M33" s="2">
        <f>F33*L33</f>
        <v/>
      </c>
      <c r="N33" s="4" t="inlineStr">
        <is>
          <t>Darklays Capital</t>
        </is>
      </c>
      <c r="P33" s="60">
        <f>BSDelta(B33, J33, K33, C33, (I33-$B$1)/365, G33, H33, D33)</f>
        <v/>
      </c>
      <c r="Q33" s="60">
        <f>BSGamma(B33, J33, K33, C33, (I33-$B$1)/365, G33, D33)</f>
        <v/>
      </c>
      <c r="R33" s="58">
        <f>BSVega(B33, J33, K33, C33, (I33-$B$1)/365,G33, D33)</f>
        <v/>
      </c>
      <c r="S33" s="58">
        <f>BSVolga(B33, J33, K33, C33, (I33-$B$1)/365,G33, D33)</f>
        <v/>
      </c>
      <c r="T33" s="58">
        <f>BSVanna(B33,J33,K33, C33, (I33-$B$1)/365, G33, D33)</f>
        <v/>
      </c>
      <c r="U33" s="2">
        <f>BSRho(B33, J33, K33, C33, (I33-$B$1)/365, G33, H33, D33)</f>
        <v/>
      </c>
      <c r="V33" s="65">
        <f>$F33*$P33</f>
        <v/>
      </c>
      <c r="W33" s="65">
        <f>$F33*$Q33</f>
        <v/>
      </c>
      <c r="X33" s="78">
        <f>$F33*R33</f>
        <v/>
      </c>
      <c r="Y33" s="78">
        <f>$F33*S33</f>
        <v/>
      </c>
      <c r="Z33" s="78">
        <f>$F33*T33</f>
        <v/>
      </c>
      <c r="AA33" s="78">
        <f>$F33*U33</f>
        <v/>
      </c>
      <c r="AB33" s="78">
        <f>(BSPrice($B33*0.8,$J33, $K33, $C33, ($I33-$B$1)/365, $G33, $H33, $D33) - BSPrice($B33,$J33, $K33, $C33, ($I33-$B$1)/365, $G33, $H33, $D33)) * $F33</f>
        <v/>
      </c>
      <c r="AC33" s="78">
        <f>(BSPrice($B33*0.9,$J33, $K33, $C33, ($I33-$B$1)/365, $G33, $H33, $D33) - BSPrice($B33,$J33, $K33, $C33, ($I33-$B$1)/365, $G33, $H33, $D33)) * $F33</f>
        <v/>
      </c>
      <c r="AD33" s="78">
        <f>(BSPrice($B33*0.95,$J33, $K33, $C33, ($I33-$B$1)/365, $G33, $H33, $D33) - BSPrice($B33,$J33, $K33, $C33, ($I33-$B$1)/365, $G33, $H33, $D33)) * $F33</f>
        <v/>
      </c>
      <c r="AE33" s="78">
        <f>(BSPrice($B33*0.98,$J33, $K33, $C33, ($I33-$B$1)/365, $G33, $H33, $D33) - BSPrice($B33,$J33, $K33, $C33, ($I33-$B$1)/365, $G33, $H33, $D33)) * $F33</f>
        <v/>
      </c>
      <c r="AF33" s="78">
        <f>(BSPrice($B33*1.02,$J33, $K33, $C33, ($I33-$B$1)/365, $G33, $H33, $D33) - BSPrice($B33,$J33, $K33, $C33, ($I33-$B$1)/365, $G33, $H33, $D33)) * $F33</f>
        <v/>
      </c>
      <c r="AG33" s="78">
        <f>(BSPrice($B33*1.05,$J33, $K33, $C33, ($I33-$B$1)/365, $G33, $H33, $D33) - BSPrice($B33,$J33, $K33, $C33, ($I33-$B$1)/365, $G33, $H33, $D33)) * $F33</f>
        <v/>
      </c>
      <c r="AH33" s="78">
        <f>(BSPrice($B33*1.1,$J33, $K33, $C33, ($I33-$B$1)/365, $G33, $H33, $D33) - BSPrice($B33,$J33, $K33, $C33, ($I33-$B$1)/365, $G33, $H33, $D33)) * $F33</f>
        <v/>
      </c>
      <c r="AI33" s="78">
        <f>(BSPrice($B33*1.2,$J33, $K33, $C33, ($I33-$B$1)/365, $G33, $H33, $D33) - BSPrice($B33,$J33, $K33, $C33, ($I33-$B$1)/365, $G33, $H33, $D33)) * $F33</f>
        <v/>
      </c>
      <c r="AJ33" s="78">
        <f>(BSPrice($B33,$J33-0.1, $K33, $C33, ($I33-$B$1)/365, $G33, $H33, $D33) - BSPrice($B33,$J33, $K33, $C33, ($I33-$B$1)/365, $G33, $H33, $D33)) * $F33</f>
        <v/>
      </c>
      <c r="AK33" s="78">
        <f>(BSPrice($B33,$J33-0.05,$K33,$C33,($I33-$B$1)/365,$G33,$H33,$D33)-BSPrice($B33,$J33,$K33,$C33,($I33-$B$1)/365,$G33,$H33,$D33))*$F33</f>
        <v/>
      </c>
      <c r="AL33" s="78">
        <f>(BSPrice($B33,$J33-0.02, $K33, $C33, ($I33-$B$1)/365, $G33, $H33, $D33) - BSPrice($B33,$J33, $K33, $C33, ($I33-$B$1)/365, $G33, $H33, $D33)) * $F33</f>
        <v/>
      </c>
      <c r="AM33" s="78">
        <f>(BSPrice($B33,$J33-0.01, $K33, $C33, ($I33-$B$1)/365, $G33, $H33, $D33) - BSPrice($B33,$J33, $K33, $C33, ($I33-$B$1)/365, $G33, $H33, $D33)) * $F33</f>
        <v/>
      </c>
      <c r="AN33" s="78">
        <f>(BSPrice($B33,$J33+0.01, $K33, $C33, ($I33-$B$1)/365, $G33, $H33, $D33) - BSPrice($B33,$J33, $K33, $C33, ($I33-$B$1)/365, $G33, $H33, $D33)) * $F33</f>
        <v/>
      </c>
      <c r="AO33" s="78">
        <f>(BSPrice($B33,$J33+0.02, $K33, $C33, ($I33-$B$1)/365, $G33, $H33, $D33) - BSPrice($B33,$J33, $K33, $C33, ($I33-$B$1)/365, $G33, $H33, $D33)) * $F33</f>
        <v/>
      </c>
      <c r="AP33" s="78">
        <f>(BSPrice($B33,$J33+0.05, $K33, $C33, ($I33-$B$1)/365, $G33, $H33, $D33) - BSPrice($B33,$J33, $K33, $C33, ($I33-$B$1)/365, $G33, $H33, $D33)) * $F33</f>
        <v/>
      </c>
      <c r="AQ33" s="78">
        <f>(BSPrice($B33,$J33+0.1, $K33, $C33, ($I33-$B$1)/365, $G33, $H33, $D33) - BSPrice($B33,$J33, $K33, $C33, ($I33-$B$1)/365, $G33, $H33, $D33)) * $F33</f>
        <v/>
      </c>
      <c r="AR33" s="60">
        <f>(BSPrice($B33*0.8,$J33+-0.05, $K33, $C33, ($I33-$B$1)/365, $G33, $H33, $D33) - BSPrice($B33,$J33, $K33, $C33, ($I33-$B$1)/365, $G33, $H33, $D33)) * $F33</f>
        <v/>
      </c>
      <c r="AS33" s="60">
        <f>(BSPrice($B33*0.8,$J33+-0.02, $K33, $C33, ($I33-$B$1)/365, $G33, $H33, $D33) - BSPrice($B33,$J33, $K33, $C33, ($I33-$B$1)/365, $G33, $H33, $D33)) * $F33</f>
        <v/>
      </c>
      <c r="AT33" s="60">
        <f>(BSPrice($B33*0.8,$J33+0, $K33, $C33, ($I33-$B$1)/365, $G33, $H33, $D33) - BSPrice($B33,$J33, $K33, $C33, ($I33-$B$1)/365, $G33, $H33, $D33)) * $F33</f>
        <v/>
      </c>
      <c r="AU33" s="60">
        <f>(BSPrice($B33*0.8,$J33+0.02, $K33, $C33, ($I33-$B$1)/365, $G33, $H33, $D33) - BSPrice($B33,$J33, $K33, $C33, ($I33-$B$1)/365, $G33, $H33, $D33)) * $F33</f>
        <v/>
      </c>
      <c r="AV33" s="60">
        <f>(BSPrice($B33*0.8,$J33+0.05, $K33, $C33, ($I33-$B$1)/365, $G33, $H33, $D33) - BSPrice($B33,$J33, $K33, $C33, ($I33-$B$1)/365, $G33, $H33, $D33)) * $F33</f>
        <v/>
      </c>
      <c r="AW33" s="60">
        <f>(BSPrice($B33*0.8,$J33+0.1, $K33, $C33, ($I33-$B$1)/365, $G33, $H33, $D33) - BSPrice($B33,$J33, $K33, $C33, ($I33-$B$1)/365, $G33, $H33, $D33)) * $F33</f>
        <v/>
      </c>
      <c r="AX33" s="60">
        <f>(BSPrice($B33*0.8,$J33+0.2, $K33, $C33, ($I33-$B$1)/365, $G33, $H33, $D33) - BSPrice($B33,$J33, $K33, $C33, ($I33-$B$1)/365, $G33, $H33, $D33)) * $F33</f>
        <v/>
      </c>
      <c r="AY33" s="60">
        <f>(BSPrice($B33*0.9,$J33+-0.05, $K33, $C33, ($I33-$B$1)/365, $G33, $H33, $D33) - BSPrice($B33,$J33, $K33, $C33, ($I33-$B$1)/365, $G33, $H33, $D33)) * $F33</f>
        <v/>
      </c>
      <c r="AZ33" s="60">
        <f>(BSPrice($B33*0.9,$J33+-0.02, $K33, $C33, ($I33-$B$1)/365, $G33, $H33, $D33) - BSPrice($B33,$J33, $K33, $C33, ($I33-$B$1)/365, $G33, $H33, $D33)) * $F33</f>
        <v/>
      </c>
      <c r="BA33" s="60">
        <f>(BSPrice($B33*0.9,$J33+0, $K33, $C33, ($I33-$B$1)/365, $G33, $H33, $D33) - BSPrice($B33,$J33, $K33, $C33, ($I33-$B$1)/365, $G33, $H33, $D33)) * $F33</f>
        <v/>
      </c>
      <c r="BB33" s="60">
        <f>(BSPrice($B33*0.9,$J33+0.02, $K33, $C33, ($I33-$B$1)/365, $G33, $H33, $D33) - BSPrice($B33,$J33, $K33, $C33, ($I33-$B$1)/365, $G33, $H33, $D33)) * $F33</f>
        <v/>
      </c>
      <c r="BC33" s="60">
        <f>(BSPrice($B33*0.9,$J33+0.05, $K33, $C33, ($I33-$B$1)/365, $G33, $H33, $D33) - BSPrice($B33,$J33, $K33, $C33, ($I33-$B$1)/365, $G33, $H33, $D33)) * $F33</f>
        <v/>
      </c>
      <c r="BD33" s="60">
        <f>(BSPrice($B33*0.9,$J33+0.1, $K33, $C33, ($I33-$B$1)/365, $G33, $H33, $D33) - BSPrice($B33,$J33, $K33, $C33, ($I33-$B$1)/365, $G33, $H33, $D33)) * $F33</f>
        <v/>
      </c>
      <c r="BE33" s="60">
        <f>(BSPrice($B33*0.9,$J33+0.2, $K33, $C33, ($I33-$B$1)/365, $G33, $H33, $D33) - BSPrice($B33,$J33, $K33, $C33, ($I33-$B$1)/365, $G33, $H33, $D33)) * $F33</f>
        <v/>
      </c>
      <c r="BF33" s="60">
        <f>(BSPrice($B33*0.95,$J33+-0.05, $K33, $C33, ($I33-$B$1)/365, $G33, $H33, $D33) - BSPrice($B33,$J33, $K33, $C33, ($I33-$B$1)/365, $G33, $H33, $D33)) * $F33</f>
        <v/>
      </c>
      <c r="BG33" s="60">
        <f>(BSPrice($B33*0.95,$J33+-0.02, $K33, $C33, ($I33-$B$1)/365, $G33, $H33, $D33) - BSPrice($B33,$J33, $K33, $C33, ($I33-$B$1)/365, $G33, $H33, $D33)) * $F33</f>
        <v/>
      </c>
      <c r="BH33" s="60">
        <f>(BSPrice($B33*0.95,$J33+0, $K33, $C33, ($I33-$B$1)/365, $G33, $H33, $D33) - BSPrice($B33,$J33, $K33, $C33, ($I33-$B$1)/365, $G33, $H33, $D33)) * $F33</f>
        <v/>
      </c>
      <c r="BI33" s="60">
        <f>(BSPrice($B33*0.95,$J33+0.02, $K33, $C33, ($I33-$B$1)/365, $G33, $H33, $D33) - BSPrice($B33,$J33, $K33, $C33, ($I33-$B$1)/365, $G33, $H33, $D33)) * $F33</f>
        <v/>
      </c>
      <c r="BJ33" s="60">
        <f>(BSPrice($B33*0.95,$J33+0.05, $K33, $C33, ($I33-$B$1)/365, $G33, $H33, $D33) - BSPrice($B33,$J33, $K33, $C33, ($I33-$B$1)/365, $G33, $H33, $D33)) * $F33</f>
        <v/>
      </c>
      <c r="BK33" s="60">
        <f>(BSPrice($B33*0.95,$J33+0.1, $K33, $C33, ($I33-$B$1)/365, $G33, $H33, $D33) - BSPrice($B33,$J33, $K33, $C33, ($I33-$B$1)/365, $G33, $H33, $D33)) * $F33</f>
        <v/>
      </c>
      <c r="BL33" s="60">
        <f>(BSPrice($B33*0.95,$J33+0.2, $K33, $C33, ($I33-$B$1)/365, $G33, $H33, $D33) - BSPrice($B33,$J33, $K33, $C33, ($I33-$B$1)/365, $G33, $H33, $D33)) * $F33</f>
        <v/>
      </c>
      <c r="BM33" s="60">
        <f>(BSPrice($B33*1,$J33+-0.05, $K33, $C33, ($I33-$B$1)/365, $G33, $H33, $D33) - BSPrice($B33,$J33, $K33, $C33, ($I33-$B$1)/365, $G33, $H33, $D33)) * $F33</f>
        <v/>
      </c>
      <c r="BN33" s="60">
        <f>(BSPrice($B33*1,$J33+-0.02, $K33, $C33, ($I33-$B$1)/365, $G33, $H33, $D33) - BSPrice($B33,$J33, $K33, $C33, ($I33-$B$1)/365, $G33, $H33, $D33)) * $F33</f>
        <v/>
      </c>
      <c r="BO33" s="60">
        <f>(BSPrice($B33*1,$J33+0, $K33, $C33, ($I33-$B$1)/365, $G33, $H33, $D33) - BSPrice($B33,$J33, $K33, $C33, ($I33-$B$1)/365, $G33, $H33, $D33)) * $F33</f>
        <v/>
      </c>
      <c r="BP33" s="60">
        <f>(BSPrice($B33*1,$J33+0.02, $K33, $C33, ($I33-$B$1)/365, $G33, $H33, $D33) - BSPrice($B33,$J33, $K33, $C33, ($I33-$B$1)/365, $G33, $H33, $D33)) * $F33</f>
        <v/>
      </c>
      <c r="BQ33" s="60">
        <f>(BSPrice($B33*1,$J33+0.05, $K33, $C33, ($I33-$B$1)/365, $G33, $H33, $D33) - BSPrice($B33,$J33, $K33, $C33, ($I33-$B$1)/365, $G33, $H33, $D33)) * $F33</f>
        <v/>
      </c>
      <c r="BR33" s="60">
        <f>(BSPrice($B33*1,$J33+0.1, $K33, $C33, ($I33-$B$1)/365, $G33, $H33, $D33) - BSPrice($B33,$J33, $K33, $C33, ($I33-$B$1)/365, $G33, $H33, $D33)) * $F33</f>
        <v/>
      </c>
      <c r="BS33" s="60">
        <f>(BSPrice($B33*1,$J33+0.2, $K33, $C33, ($I33-$B$1)/365, $G33, $H33, $D33) - BSPrice($B33,$J33, $K33, $C33, ($I33-$B$1)/365, $G33, $H33, $D33)) * $F33</f>
        <v/>
      </c>
      <c r="BT33" s="60">
        <f>(BSPrice($B33*1.05,$J33+-0.05, $K33, $C33, ($I33-$B$1)/365, $G33, $H33, $D33) - BSPrice($B33,$J33, $K33, $C33, ($I33-$B$1)/365, $G33, $H33, $D33)) * $F33</f>
        <v/>
      </c>
      <c r="BU33" s="60">
        <f>(BSPrice($B33*1.05,$J33+-0.02, $K33, $C33, ($I33-$B$1)/365, $G33, $H33, $D33) - BSPrice($B33,$J33, $K33, $C33, ($I33-$B$1)/365, $G33, $H33, $D33)) * $F33</f>
        <v/>
      </c>
      <c r="BV33" s="60">
        <f>(BSPrice($B33*1.05,$J33+0, $K33, $C33, ($I33-$B$1)/365, $G33, $H33, $D33) - BSPrice($B33,$J33, $K33, $C33, ($I33-$B$1)/365, $G33, $H33, $D33)) * $F33</f>
        <v/>
      </c>
      <c r="BW33" s="60">
        <f>(BSPrice($B33*1.05,$J33+0.02, $K33, $C33, ($I33-$B$1)/365, $G33, $H33, $D33) - BSPrice($B33,$J33, $K33, $C33, ($I33-$B$1)/365, $G33, $H33, $D33)) * $F33</f>
        <v/>
      </c>
      <c r="BX33" s="60">
        <f>(BSPrice($B33*1.05,$J33+0.05, $K33, $C33, ($I33-$B$1)/365, $G33, $H33, $D33) - BSPrice($B33,$J33, $K33, $C33, ($I33-$B$1)/365, $G33, $H33, $D33)) * $F33</f>
        <v/>
      </c>
      <c r="BY33" s="60">
        <f>(BSPrice($B33*1.05,$J33+0.1, $K33, $C33, ($I33-$B$1)/365, $G33, $H33, $D33) - BSPrice($B33,$J33, $K33, $C33, ($I33-$B$1)/365, $G33, $H33, $D33)) * $F33</f>
        <v/>
      </c>
      <c r="BZ33" s="60">
        <f>(BSPrice($B33*1.05,$J33+0.2, $K33, $C33, ($I33-$B$1)/365, $G33, $H33, $D33) - BSPrice($B33,$J33, $K33, $C33, ($I33-$B$1)/365, $G33, $H33, $D33)) * $F33</f>
        <v/>
      </c>
      <c r="CA33" s="60">
        <f>(BSPrice($B33*1.1,$J33+-0.05, $K33, $C33, ($I33-$B$1)/365, $G33, $H33, $D33) - BSPrice($B33,$J33, $K33, $C33, ($I33-$B$1)/365, $G33, $H33, $D33)) * $F33</f>
        <v/>
      </c>
      <c r="CB33" s="60">
        <f>(BSPrice($B33*1.1,$J33+-0.02, $K33, $C33, ($I33-$B$1)/365, $G33, $H33, $D33) - BSPrice($B33,$J33, $K33, $C33, ($I33-$B$1)/365, $G33, $H33, $D33)) * $F33</f>
        <v/>
      </c>
      <c r="CC33" s="60">
        <f>(BSPrice($B33*1.1,$J33+0, $K33, $C33, ($I33-$B$1)/365, $G33, $H33, $D33) - BSPrice($B33,$J33, $K33, $C33, ($I33-$B$1)/365, $G33, $H33, $D33)) * $F33</f>
        <v/>
      </c>
      <c r="CD33" s="60">
        <f>(BSPrice($B33*1.1,$J33+0.02, $K33, $C33, ($I33-$B$1)/365, $G33, $H33, $D33) - BSPrice($B33,$J33, $K33, $C33, ($I33-$B$1)/365, $G33, $H33, $D33)) * $F33</f>
        <v/>
      </c>
      <c r="CE33" s="60">
        <f>(BSPrice($B33*1.1,$J33+0.05, $K33, $C33, ($I33-$B$1)/365, $G33, $H33, $D33) - BSPrice($B33,$J33, $K33, $C33, ($I33-$B$1)/365, $G33, $H33, $D33)) * $F33</f>
        <v/>
      </c>
      <c r="CF33" s="60">
        <f>(BSPrice($B33*1.1,$J33+0.1, $K33, $C33, ($I33-$B$1)/365, $G33, $H33, $D33) - BSPrice($B33,$J33, $K33, $C33, ($I33-$B$1)/365, $G33, $H33, $D33)) * $F33</f>
        <v/>
      </c>
      <c r="CG33" s="60">
        <f>(BSPrice($B33*1.1,$J33+0.2, $K33, $C33, ($I33-$B$1)/365, $G33, $H33, $D33) - BSPrice($B33,$J33, $K33, $C33, ($I33-$B$1)/365, $G33, $H33, $D33)) * $F33</f>
        <v/>
      </c>
      <c r="CH33" s="60">
        <f>(BSPrice($B33*1.2,$J33+-0.05, $K33, $C33, ($I33-$B$1)/365, $G33, $H33, $D33) - BSPrice($B33,$J33, $K33, $C33, ($I33-$B$1)/365, $G33, $H33, $D33)) * $F33</f>
        <v/>
      </c>
      <c r="CI33" s="60">
        <f>(BSPrice($B33*1.2,$J33+-0.02, $K33, $C33, ($I33-$B$1)/365, $G33, $H33, $D33) - BSPrice($B33,$J33, $K33, $C33, ($I33-$B$1)/365, $G33, $H33, $D33)) * $F33</f>
        <v/>
      </c>
      <c r="CJ33" s="60">
        <f>(BSPrice($B33*1.2,$J33+0, $K33, $C33, ($I33-$B$1)/365, $G33, $H33, $D33) - BSPrice($B33,$J33, $K33, $C33, ($I33-$B$1)/365, $G33, $H33, $D33)) * $F33</f>
        <v/>
      </c>
      <c r="CK33" s="60">
        <f>(BSPrice($B33*1.2,$J33+0.02, $K33, $C33, ($I33-$B$1)/365, $G33, $H33, $D33) - BSPrice($B33,$J33, $K33, $C33, ($I33-$B$1)/365, $G33, $H33, $D33)) * $F33</f>
        <v/>
      </c>
      <c r="CL33" s="60">
        <f>(BSPrice($B33*1.2,$J33+0.05, $K33, $C33, ($I33-$B$1)/365, $G33, $H33, $D33) - BSPrice($B33,$J33, $K33, $C33, ($I33-$B$1)/365, $G33, $H33, $D33)) * $F33</f>
        <v/>
      </c>
      <c r="CM33" s="60">
        <f>(BSPrice($B33*1.2,$J33+0.1, $K33, $C33, ($I33-$B$1)/365, $G33, $H33, $D33) - BSPrice($B33,$J33, $K33, $C33, ($I33-$B$1)/365, $G33, $H33, $D33)) * $F33</f>
        <v/>
      </c>
      <c r="CN33" s="60">
        <f>(BSPrice($B33*1.2,$J33+0.2, $K33, $C33, ($I33-$B$1)/365, $G33, $H33, $D33) - BSPrice($B33,$J33, $K33, $C33, ($I33-$B$1)/365, $G33, $H33, $D33)) * $F33</f>
        <v/>
      </c>
    </row>
    <row r="34">
      <c r="A34" s="3" t="inlineStr">
        <is>
          <t>SX5E Index</t>
        </is>
      </c>
      <c r="B34" s="4">
        <f>VLOOKUP(A34,PriceData!$K$4:$L$6,2,FALSE)</f>
        <v/>
      </c>
      <c r="C34" s="46">
        <f>VLOOKUP(A34,PriceData!$K$4:$M$6,3,FALSE)</f>
        <v/>
      </c>
      <c r="D34" s="4" t="inlineStr">
        <is>
          <t>Future</t>
        </is>
      </c>
      <c r="E34" s="4" t="inlineStr">
        <is>
          <t>EUR</t>
        </is>
      </c>
      <c r="F34" s="4" t="n">
        <v>20</v>
      </c>
      <c r="H34" s="4" t="n"/>
      <c r="I34" s="5" t="n">
        <v>40256</v>
      </c>
      <c r="J34" s="46">
        <f>FindImpliedVol(A34, D34, G34, I34)</f>
        <v/>
      </c>
      <c r="K34" s="30" t="n"/>
      <c r="L34" s="2">
        <f>BSPrice($B34,$J34, $K34, $C34, ($I34-$B$1)/365, $G34, $H34, $D34)</f>
        <v/>
      </c>
      <c r="M34" s="2">
        <f>F34*L34</f>
        <v/>
      </c>
      <c r="N34" s="4" t="inlineStr">
        <is>
          <t>Exch</t>
        </is>
      </c>
      <c r="P34" s="60">
        <f>BSDelta(B34, J34, K34, C34, (I34-$B$1)/365, G34, H34, D34)</f>
        <v/>
      </c>
      <c r="Q34" s="60">
        <f>BSGamma(B34, J34, K34, C34, (I34-$B$1)/365, G34, D34)</f>
        <v/>
      </c>
      <c r="R34" s="58">
        <f>BSVega(B34, J34, K34, C34, (I34-$B$1)/365,G34, D34)</f>
        <v/>
      </c>
      <c r="S34" s="58">
        <f>BSVolga(B34, J34, K34, C34, (I34-$B$1)/365,G34, D34)</f>
        <v/>
      </c>
      <c r="T34" s="58">
        <f>BSVanna(B34,J34,K34, C34, (I34-$B$1)/365, G34, D34)</f>
        <v/>
      </c>
      <c r="U34" s="2">
        <f>BSRho(B34, J34, K34, C34, (I34-$B$1)/365, G34, H34, D34)</f>
        <v/>
      </c>
      <c r="V34" s="65">
        <f>$F34*$P34</f>
        <v/>
      </c>
      <c r="W34" s="65">
        <f>$F34*$Q34</f>
        <v/>
      </c>
      <c r="X34" s="78">
        <f>$F34*R34</f>
        <v/>
      </c>
      <c r="Y34" s="78">
        <f>$F34*S34</f>
        <v/>
      </c>
      <c r="Z34" s="78">
        <f>$F34*T34</f>
        <v/>
      </c>
      <c r="AA34" s="78">
        <f>$F34*U34</f>
        <v/>
      </c>
      <c r="AB34" s="78">
        <f>(BSPrice($B34*0.8,$J34, $K34, $C34, ($I34-$B$1)/365, $G34, $H34, $D34) - BSPrice($B34,$J34, $K34, $C34, ($I34-$B$1)/365, $G34, $H34, $D34)) * $F34</f>
        <v/>
      </c>
      <c r="AC34" s="78">
        <f>(BSPrice($B34*0.9,$J34, $K34, $C34, ($I34-$B$1)/365, $G34, $H34, $D34) - BSPrice($B34,$J34, $K34, $C34, ($I34-$B$1)/365, $G34, $H34, $D34)) * $F34</f>
        <v/>
      </c>
      <c r="AD34" s="78">
        <f>(BSPrice($B34*0.95,$J34, $K34, $C34, ($I34-$B$1)/365, $G34, $H34, $D34) - BSPrice($B34,$J34, $K34, $C34, ($I34-$B$1)/365, $G34, $H34, $D34)) * $F34</f>
        <v/>
      </c>
      <c r="AE34" s="78">
        <f>(BSPrice($B34*0.98,$J34, $K34, $C34, ($I34-$B$1)/365, $G34, $H34, $D34) - BSPrice($B34,$J34, $K34, $C34, ($I34-$B$1)/365, $G34, $H34, $D34)) * $F34</f>
        <v/>
      </c>
      <c r="AF34" s="78">
        <f>(BSPrice($B34*1.02,$J34, $K34, $C34, ($I34-$B$1)/365, $G34, $H34, $D34) - BSPrice($B34,$J34, $K34, $C34, ($I34-$B$1)/365, $G34, $H34, $D34)) * $F34</f>
        <v/>
      </c>
      <c r="AG34" s="78">
        <f>(BSPrice($B34*1.05,$J34, $K34, $C34, ($I34-$B$1)/365, $G34, $H34, $D34) - BSPrice($B34,$J34, $K34, $C34, ($I34-$B$1)/365, $G34, $H34, $D34)) * $F34</f>
        <v/>
      </c>
      <c r="AH34" s="78">
        <f>(BSPrice($B34*1.1,$J34, $K34, $C34, ($I34-$B$1)/365, $G34, $H34, $D34) - BSPrice($B34,$J34, $K34, $C34, ($I34-$B$1)/365, $G34, $H34, $D34)) * $F34</f>
        <v/>
      </c>
      <c r="AI34" s="78">
        <f>(BSPrice($B34*1.2,$J34, $K34, $C34, ($I34-$B$1)/365, $G34, $H34, $D34) - BSPrice($B34,$J34, $K34, $C34, ($I34-$B$1)/365, $G34, $H34, $D34)) * $F34</f>
        <v/>
      </c>
      <c r="AJ34" s="78">
        <f>(BSPrice($B34,$J34-0.1, $K34, $C34, ($I34-$B$1)/365, $G34, $H34, $D34) - BSPrice($B34,$J34, $K34, $C34, ($I34-$B$1)/365, $G34, $H34, $D34)) * $F34</f>
        <v/>
      </c>
      <c r="AK34" s="78">
        <f>(BSPrice($B34,$J34-0.05,$K34,$C34,($I34-$B$1)/365,$G34,$H34,$D34)-BSPrice($B34,$J34,$K34,$C34,($I34-$B$1)/365,$G34,$H34,$D34))*$F34</f>
        <v/>
      </c>
      <c r="AL34" s="78">
        <f>(BSPrice($B34,$J34-0.02, $K34, $C34, ($I34-$B$1)/365, $G34, $H34, $D34) - BSPrice($B34,$J34, $K34, $C34, ($I34-$B$1)/365, $G34, $H34, $D34)) * $F34</f>
        <v/>
      </c>
      <c r="AM34" s="78">
        <f>(BSPrice($B34,$J34-0.01, $K34, $C34, ($I34-$B$1)/365, $G34, $H34, $D34) - BSPrice($B34,$J34, $K34, $C34, ($I34-$B$1)/365, $G34, $H34, $D34)) * $F34</f>
        <v/>
      </c>
      <c r="AN34" s="78">
        <f>(BSPrice($B34,$J34+0.01, $K34, $C34, ($I34-$B$1)/365, $G34, $H34, $D34) - BSPrice($B34,$J34, $K34, $C34, ($I34-$B$1)/365, $G34, $H34, $D34)) * $F34</f>
        <v/>
      </c>
      <c r="AO34" s="78">
        <f>(BSPrice($B34,$J34+0.02, $K34, $C34, ($I34-$B$1)/365, $G34, $H34, $D34) - BSPrice($B34,$J34, $K34, $C34, ($I34-$B$1)/365, $G34, $H34, $D34)) * $F34</f>
        <v/>
      </c>
      <c r="AP34" s="78">
        <f>(BSPrice($B34,$J34+0.05, $K34, $C34, ($I34-$B$1)/365, $G34, $H34, $D34) - BSPrice($B34,$J34, $K34, $C34, ($I34-$B$1)/365, $G34, $H34, $D34)) * $F34</f>
        <v/>
      </c>
      <c r="AQ34" s="78">
        <f>(BSPrice($B34,$J34+0.1, $K34, $C34, ($I34-$B$1)/365, $G34, $H34, $D34) - BSPrice($B34,$J34, $K34, $C34, ($I34-$B$1)/365, $G34, $H34, $D34)) * $F34</f>
        <v/>
      </c>
      <c r="AR34" s="60">
        <f>(BSPrice($B34*0.8,$J34+-0.05, $K34, $C34, ($I34-$B$1)/365, $G34, $H34, $D34) - BSPrice($B34,$J34, $K34, $C34, ($I34-$B$1)/365, $G34, $H34, $D34)) * $F34</f>
        <v/>
      </c>
      <c r="AS34" s="60">
        <f>(BSPrice($B34*0.8,$J34+-0.02, $K34, $C34, ($I34-$B$1)/365, $G34, $H34, $D34) - BSPrice($B34,$J34, $K34, $C34, ($I34-$B$1)/365, $G34, $H34, $D34)) * $F34</f>
        <v/>
      </c>
      <c r="AT34" s="60">
        <f>(BSPrice($B34*0.8,$J34+0, $K34, $C34, ($I34-$B$1)/365, $G34, $H34, $D34) - BSPrice($B34,$J34, $K34, $C34, ($I34-$B$1)/365, $G34, $H34, $D34)) * $F34</f>
        <v/>
      </c>
      <c r="AU34" s="60">
        <f>(BSPrice($B34*0.8,$J34+0.02, $K34, $C34, ($I34-$B$1)/365, $G34, $H34, $D34) - BSPrice($B34,$J34, $K34, $C34, ($I34-$B$1)/365, $G34, $H34, $D34)) * $F34</f>
        <v/>
      </c>
      <c r="AV34" s="60">
        <f>(BSPrice($B34*0.8,$J34+0.05, $K34, $C34, ($I34-$B$1)/365, $G34, $H34, $D34) - BSPrice($B34,$J34, $K34, $C34, ($I34-$B$1)/365, $G34, $H34, $D34)) * $F34</f>
        <v/>
      </c>
      <c r="AW34" s="60">
        <f>(BSPrice($B34*0.8,$J34+0.1, $K34, $C34, ($I34-$B$1)/365, $G34, $H34, $D34) - BSPrice($B34,$J34, $K34, $C34, ($I34-$B$1)/365, $G34, $H34, $D34)) * $F34</f>
        <v/>
      </c>
      <c r="AX34" s="60">
        <f>(BSPrice($B34*0.8,$J34+0.2, $K34, $C34, ($I34-$B$1)/365, $G34, $H34, $D34) - BSPrice($B34,$J34, $K34, $C34, ($I34-$B$1)/365, $G34, $H34, $D34)) * $F34</f>
        <v/>
      </c>
      <c r="AY34" s="60">
        <f>(BSPrice($B34*0.9,$J34+-0.05, $K34, $C34, ($I34-$B$1)/365, $G34, $H34, $D34) - BSPrice($B34,$J34, $K34, $C34, ($I34-$B$1)/365, $G34, $H34, $D34)) * $F34</f>
        <v/>
      </c>
      <c r="AZ34" s="60">
        <f>(BSPrice($B34*0.9,$J34+-0.02, $K34, $C34, ($I34-$B$1)/365, $G34, $H34, $D34) - BSPrice($B34,$J34, $K34, $C34, ($I34-$B$1)/365, $G34, $H34, $D34)) * $F34</f>
        <v/>
      </c>
      <c r="BA34" s="60">
        <f>(BSPrice($B34*0.9,$J34+0, $K34, $C34, ($I34-$B$1)/365, $G34, $H34, $D34) - BSPrice($B34,$J34, $K34, $C34, ($I34-$B$1)/365, $G34, $H34, $D34)) * $F34</f>
        <v/>
      </c>
      <c r="BB34" s="60">
        <f>(BSPrice($B34*0.9,$J34+0.02, $K34, $C34, ($I34-$B$1)/365, $G34, $H34, $D34) - BSPrice($B34,$J34, $K34, $C34, ($I34-$B$1)/365, $G34, $H34, $D34)) * $F34</f>
        <v/>
      </c>
      <c r="BC34" s="60">
        <f>(BSPrice($B34*0.9,$J34+0.05, $K34, $C34, ($I34-$B$1)/365, $G34, $H34, $D34) - BSPrice($B34,$J34, $K34, $C34, ($I34-$B$1)/365, $G34, $H34, $D34)) * $F34</f>
        <v/>
      </c>
      <c r="BD34" s="60">
        <f>(BSPrice($B34*0.9,$J34+0.1, $K34, $C34, ($I34-$B$1)/365, $G34, $H34, $D34) - BSPrice($B34,$J34, $K34, $C34, ($I34-$B$1)/365, $G34, $H34, $D34)) * $F34</f>
        <v/>
      </c>
      <c r="BE34" s="60">
        <f>(BSPrice($B34*0.9,$J34+0.2, $K34, $C34, ($I34-$B$1)/365, $G34, $H34, $D34) - BSPrice($B34,$J34, $K34, $C34, ($I34-$B$1)/365, $G34, $H34, $D34)) * $F34</f>
        <v/>
      </c>
      <c r="BF34" s="60">
        <f>(BSPrice($B34*0.95,$J34+-0.05, $K34, $C34, ($I34-$B$1)/365, $G34, $H34, $D34) - BSPrice($B34,$J34, $K34, $C34, ($I34-$B$1)/365, $G34, $H34, $D34)) * $F34</f>
        <v/>
      </c>
      <c r="BG34" s="60">
        <f>(BSPrice($B34*0.95,$J34+-0.02, $K34, $C34, ($I34-$B$1)/365, $G34, $H34, $D34) - BSPrice($B34,$J34, $K34, $C34, ($I34-$B$1)/365, $G34, $H34, $D34)) * $F34</f>
        <v/>
      </c>
      <c r="BH34" s="60">
        <f>(BSPrice($B34*0.95,$J34+0, $K34, $C34, ($I34-$B$1)/365, $G34, $H34, $D34) - BSPrice($B34,$J34, $K34, $C34, ($I34-$B$1)/365, $G34, $H34, $D34)) * $F34</f>
        <v/>
      </c>
      <c r="BI34" s="60">
        <f>(BSPrice($B34*0.95,$J34+0.02, $K34, $C34, ($I34-$B$1)/365, $G34, $H34, $D34) - BSPrice($B34,$J34, $K34, $C34, ($I34-$B$1)/365, $G34, $H34, $D34)) * $F34</f>
        <v/>
      </c>
      <c r="BJ34" s="60">
        <f>(BSPrice($B34*0.95,$J34+0.05, $K34, $C34, ($I34-$B$1)/365, $G34, $H34, $D34) - BSPrice($B34,$J34, $K34, $C34, ($I34-$B$1)/365, $G34, $H34, $D34)) * $F34</f>
        <v/>
      </c>
      <c r="BK34" s="60">
        <f>(BSPrice($B34*0.95,$J34+0.1, $K34, $C34, ($I34-$B$1)/365, $G34, $H34, $D34) - BSPrice($B34,$J34, $K34, $C34, ($I34-$B$1)/365, $G34, $H34, $D34)) * $F34</f>
        <v/>
      </c>
      <c r="BL34" s="60">
        <f>(BSPrice($B34*0.95,$J34+0.2, $K34, $C34, ($I34-$B$1)/365, $G34, $H34, $D34) - BSPrice($B34,$J34, $K34, $C34, ($I34-$B$1)/365, $G34, $H34, $D34)) * $F34</f>
        <v/>
      </c>
      <c r="BM34" s="60">
        <f>(BSPrice($B34*1,$J34+-0.05, $K34, $C34, ($I34-$B$1)/365, $G34, $H34, $D34) - BSPrice($B34,$J34, $K34, $C34, ($I34-$B$1)/365, $G34, $H34, $D34)) * $F34</f>
        <v/>
      </c>
      <c r="BN34" s="60">
        <f>(BSPrice($B34*1,$J34+-0.02, $K34, $C34, ($I34-$B$1)/365, $G34, $H34, $D34) - BSPrice($B34,$J34, $K34, $C34, ($I34-$B$1)/365, $G34, $H34, $D34)) * $F34</f>
        <v/>
      </c>
      <c r="BO34" s="60">
        <f>(BSPrice($B34*1,$J34+0, $K34, $C34, ($I34-$B$1)/365, $G34, $H34, $D34) - BSPrice($B34,$J34, $K34, $C34, ($I34-$B$1)/365, $G34, $H34, $D34)) * $F34</f>
        <v/>
      </c>
      <c r="BP34" s="60">
        <f>(BSPrice($B34*1,$J34+0.02, $K34, $C34, ($I34-$B$1)/365, $G34, $H34, $D34) - BSPrice($B34,$J34, $K34, $C34, ($I34-$B$1)/365, $G34, $H34, $D34)) * $F34</f>
        <v/>
      </c>
      <c r="BQ34" s="60">
        <f>(BSPrice($B34*1,$J34+0.05, $K34, $C34, ($I34-$B$1)/365, $G34, $H34, $D34) - BSPrice($B34,$J34, $K34, $C34, ($I34-$B$1)/365, $G34, $H34, $D34)) * $F34</f>
        <v/>
      </c>
      <c r="BR34" s="60">
        <f>(BSPrice($B34*1,$J34+0.1, $K34, $C34, ($I34-$B$1)/365, $G34, $H34, $D34) - BSPrice($B34,$J34, $K34, $C34, ($I34-$B$1)/365, $G34, $H34, $D34)) * $F34</f>
        <v/>
      </c>
      <c r="BS34" s="60">
        <f>(BSPrice($B34*1,$J34+0.2, $K34, $C34, ($I34-$B$1)/365, $G34, $H34, $D34) - BSPrice($B34,$J34, $K34, $C34, ($I34-$B$1)/365, $G34, $H34, $D34)) * $F34</f>
        <v/>
      </c>
      <c r="BT34" s="60">
        <f>(BSPrice($B34*1.05,$J34+-0.05, $K34, $C34, ($I34-$B$1)/365, $G34, $H34, $D34) - BSPrice($B34,$J34, $K34, $C34, ($I34-$B$1)/365, $G34, $H34, $D34)) * $F34</f>
        <v/>
      </c>
      <c r="BU34" s="60">
        <f>(BSPrice($B34*1.05,$J34+-0.02, $K34, $C34, ($I34-$B$1)/365, $G34, $H34, $D34) - BSPrice($B34,$J34, $K34, $C34, ($I34-$B$1)/365, $G34, $H34, $D34)) * $F34</f>
        <v/>
      </c>
      <c r="BV34" s="60">
        <f>(BSPrice($B34*1.05,$J34+0, $K34, $C34, ($I34-$B$1)/365, $G34, $H34, $D34) - BSPrice($B34,$J34, $K34, $C34, ($I34-$B$1)/365, $G34, $H34, $D34)) * $F34</f>
        <v/>
      </c>
      <c r="BW34" s="60">
        <f>(BSPrice($B34*1.05,$J34+0.02, $K34, $C34, ($I34-$B$1)/365, $G34, $H34, $D34) - BSPrice($B34,$J34, $K34, $C34, ($I34-$B$1)/365, $G34, $H34, $D34)) * $F34</f>
        <v/>
      </c>
      <c r="BX34" s="60">
        <f>(BSPrice($B34*1.05,$J34+0.05, $K34, $C34, ($I34-$B$1)/365, $G34, $H34, $D34) - BSPrice($B34,$J34, $K34, $C34, ($I34-$B$1)/365, $G34, $H34, $D34)) * $F34</f>
        <v/>
      </c>
      <c r="BY34" s="60">
        <f>(BSPrice($B34*1.05,$J34+0.1, $K34, $C34, ($I34-$B$1)/365, $G34, $H34, $D34) - BSPrice($B34,$J34, $K34, $C34, ($I34-$B$1)/365, $G34, $H34, $D34)) * $F34</f>
        <v/>
      </c>
      <c r="BZ34" s="60">
        <f>(BSPrice($B34*1.05,$J34+0.2, $K34, $C34, ($I34-$B$1)/365, $G34, $H34, $D34) - BSPrice($B34,$J34, $K34, $C34, ($I34-$B$1)/365, $G34, $H34, $D34)) * $F34</f>
        <v/>
      </c>
      <c r="CA34" s="60">
        <f>(BSPrice($B34*1.1,$J34+-0.05, $K34, $C34, ($I34-$B$1)/365, $G34, $H34, $D34) - BSPrice($B34,$J34, $K34, $C34, ($I34-$B$1)/365, $G34, $H34, $D34)) * $F34</f>
        <v/>
      </c>
      <c r="CB34" s="60">
        <f>(BSPrice($B34*1.1,$J34+-0.02, $K34, $C34, ($I34-$B$1)/365, $G34, $H34, $D34) - BSPrice($B34,$J34, $K34, $C34, ($I34-$B$1)/365, $G34, $H34, $D34)) * $F34</f>
        <v/>
      </c>
      <c r="CC34" s="60">
        <f>(BSPrice($B34*1.1,$J34+0, $K34, $C34, ($I34-$B$1)/365, $G34, $H34, $D34) - BSPrice($B34,$J34, $K34, $C34, ($I34-$B$1)/365, $G34, $H34, $D34)) * $F34</f>
        <v/>
      </c>
      <c r="CD34" s="60">
        <f>(BSPrice($B34*1.1,$J34+0.02, $K34, $C34, ($I34-$B$1)/365, $G34, $H34, $D34) - BSPrice($B34,$J34, $K34, $C34, ($I34-$B$1)/365, $G34, $H34, $D34)) * $F34</f>
        <v/>
      </c>
      <c r="CE34" s="60">
        <f>(BSPrice($B34*1.1,$J34+0.05, $K34, $C34, ($I34-$B$1)/365, $G34, $H34, $D34) - BSPrice($B34,$J34, $K34, $C34, ($I34-$B$1)/365, $G34, $H34, $D34)) * $F34</f>
        <v/>
      </c>
      <c r="CF34" s="60">
        <f>(BSPrice($B34*1.1,$J34+0.1, $K34, $C34, ($I34-$B$1)/365, $G34, $H34, $D34) - BSPrice($B34,$J34, $K34, $C34, ($I34-$B$1)/365, $G34, $H34, $D34)) * $F34</f>
        <v/>
      </c>
      <c r="CG34" s="60">
        <f>(BSPrice($B34*1.1,$J34+0.2, $K34, $C34, ($I34-$B$1)/365, $G34, $H34, $D34) - BSPrice($B34,$J34, $K34, $C34, ($I34-$B$1)/365, $G34, $H34, $D34)) * $F34</f>
        <v/>
      </c>
      <c r="CH34" s="60">
        <f>(BSPrice($B34*1.2,$J34+-0.05, $K34, $C34, ($I34-$B$1)/365, $G34, $H34, $D34) - BSPrice($B34,$J34, $K34, $C34, ($I34-$B$1)/365, $G34, $H34, $D34)) * $F34</f>
        <v/>
      </c>
      <c r="CI34" s="60">
        <f>(BSPrice($B34*1.2,$J34+-0.02, $K34, $C34, ($I34-$B$1)/365, $G34, $H34, $D34) - BSPrice($B34,$J34, $K34, $C34, ($I34-$B$1)/365, $G34, $H34, $D34)) * $F34</f>
        <v/>
      </c>
      <c r="CJ34" s="60">
        <f>(BSPrice($B34*1.2,$J34+0, $K34, $C34, ($I34-$B$1)/365, $G34, $H34, $D34) - BSPrice($B34,$J34, $K34, $C34, ($I34-$B$1)/365, $G34, $H34, $D34)) * $F34</f>
        <v/>
      </c>
      <c r="CK34" s="60">
        <f>(BSPrice($B34*1.2,$J34+0.02, $K34, $C34, ($I34-$B$1)/365, $G34, $H34, $D34) - BSPrice($B34,$J34, $K34, $C34, ($I34-$B$1)/365, $G34, $H34, $D34)) * $F34</f>
        <v/>
      </c>
      <c r="CL34" s="60">
        <f>(BSPrice($B34*1.2,$J34+0.05, $K34, $C34, ($I34-$B$1)/365, $G34, $H34, $D34) - BSPrice($B34,$J34, $K34, $C34, ($I34-$B$1)/365, $G34, $H34, $D34)) * $F34</f>
        <v/>
      </c>
      <c r="CM34" s="60">
        <f>(BSPrice($B34*1.2,$J34+0.1, $K34, $C34, ($I34-$B$1)/365, $G34, $H34, $D34) - BSPrice($B34,$J34, $K34, $C34, ($I34-$B$1)/365, $G34, $H34, $D34)) * $F34</f>
        <v/>
      </c>
      <c r="CN34" s="60">
        <f>(BSPrice($B34*1.2,$J34+0.2, $K34, $C34, ($I34-$B$1)/365, $G34, $H34, $D34) - BSPrice($B34,$J34, $K34, $C34, ($I34-$B$1)/365, $G34, $H34, $D34)) * $F34</f>
        <v/>
      </c>
    </row>
    <row r="35">
      <c r="A35" s="3" t="inlineStr">
        <is>
          <t>SX5E Index</t>
        </is>
      </c>
      <c r="B35" s="4">
        <f>VLOOKUP(A35,PriceData!$K$4:$L$6,2,FALSE)</f>
        <v/>
      </c>
      <c r="C35" s="46">
        <f>VLOOKUP(A35,PriceData!$K$4:$M$6,3,FALSE)</f>
        <v/>
      </c>
      <c r="D35" s="4" t="inlineStr">
        <is>
          <t>Option</t>
        </is>
      </c>
      <c r="E35" s="4" t="inlineStr">
        <is>
          <t>EUR</t>
        </is>
      </c>
      <c r="F35" s="4" t="n">
        <v>-20</v>
      </c>
      <c r="G35" s="4" t="n">
        <v>2992</v>
      </c>
      <c r="H35" s="4" t="inlineStr">
        <is>
          <t>Call</t>
        </is>
      </c>
      <c r="I35" s="5" t="n">
        <v>40256</v>
      </c>
      <c r="J35" s="46">
        <f>FindImpliedVol(A35, D35, G35, I35)</f>
        <v/>
      </c>
      <c r="K35" s="30">
        <f>VLOOKUP(I35,PriceData!$A$5:$D$7,MATCH($E35,PriceData!$A$4:$D$4,0),FALSE)</f>
        <v/>
      </c>
      <c r="L35" s="2">
        <f>BSPrice($B35,$J35, $K35, $C35, ($I35-$B$1)/365, $G35, $H35, $D35)</f>
        <v/>
      </c>
      <c r="M35" s="2">
        <f>F35*L35</f>
        <v/>
      </c>
      <c r="N35" s="4" t="inlineStr">
        <is>
          <t>GoldMine Sacks</t>
        </is>
      </c>
      <c r="P35" s="60">
        <f>BSDelta(B35, J35, K35, C35, (I35-$B$1)/365, G35, H35, D35)</f>
        <v/>
      </c>
      <c r="Q35" s="60">
        <f>BSGamma(B35, J35, K35, C35, (I35-$B$1)/365, G35, D35)</f>
        <v/>
      </c>
      <c r="R35" s="58">
        <f>BSVega(B35, J35, K35, C35, (I35-$B$1)/365,G35, D35)</f>
        <v/>
      </c>
      <c r="S35" s="58">
        <f>BSVolga(B35, J35, K35, C35, (I35-$B$1)/365,G35, D35)</f>
        <v/>
      </c>
      <c r="T35" s="58">
        <f>BSVanna(B35,J35,K35, C35, (I35-$B$1)/365, G35, D35)</f>
        <v/>
      </c>
      <c r="U35" s="2">
        <f>BSRho(B35, J35, K35, C35, (I35-$B$1)/365, G35, H35, D35)</f>
        <v/>
      </c>
      <c r="V35" s="65">
        <f>$F35*$P35</f>
        <v/>
      </c>
      <c r="W35" s="65">
        <f>$F35*$Q35</f>
        <v/>
      </c>
      <c r="X35" s="78">
        <f>$F35*R35</f>
        <v/>
      </c>
      <c r="Y35" s="78">
        <f>$F35*S35</f>
        <v/>
      </c>
      <c r="Z35" s="78">
        <f>$F35*T35</f>
        <v/>
      </c>
      <c r="AA35" s="78">
        <f>$F35*U35</f>
        <v/>
      </c>
      <c r="AB35" s="78">
        <f>(BSPrice($B35*0.8,$J35, $K35, $C35, ($I35-$B$1)/365, $G35, $H35, $D35) - BSPrice($B35,$J35, $K35, $C35, ($I35-$B$1)/365, $G35, $H35, $D35)) * $F35</f>
        <v/>
      </c>
      <c r="AC35" s="78">
        <f>(BSPrice($B35*0.9,$J35, $K35, $C35, ($I35-$B$1)/365, $G35, $H35, $D35) - BSPrice($B35,$J35, $K35, $C35, ($I35-$B$1)/365, $G35, $H35, $D35)) * $F35</f>
        <v/>
      </c>
      <c r="AD35" s="78">
        <f>(BSPrice($B35*0.95,$J35, $K35, $C35, ($I35-$B$1)/365, $G35, $H35, $D35) - BSPrice($B35,$J35, $K35, $C35, ($I35-$B$1)/365, $G35, $H35, $D35)) * $F35</f>
        <v/>
      </c>
      <c r="AE35" s="78">
        <f>(BSPrice($B35*0.98,$J35, $K35, $C35, ($I35-$B$1)/365, $G35, $H35, $D35) - BSPrice($B35,$J35, $K35, $C35, ($I35-$B$1)/365, $G35, $H35, $D35)) * $F35</f>
        <v/>
      </c>
      <c r="AF35" s="78">
        <f>(BSPrice($B35*1.02,$J35, $K35, $C35, ($I35-$B$1)/365, $G35, $H35, $D35) - BSPrice($B35,$J35, $K35, $C35, ($I35-$B$1)/365, $G35, $H35, $D35)) * $F35</f>
        <v/>
      </c>
      <c r="AG35" s="78">
        <f>(BSPrice($B35*1.05,$J35, $K35, $C35, ($I35-$B$1)/365, $G35, $H35, $D35) - BSPrice($B35,$J35, $K35, $C35, ($I35-$B$1)/365, $G35, $H35, $D35)) * $F35</f>
        <v/>
      </c>
      <c r="AH35" s="78">
        <f>(BSPrice($B35*1.1,$J35, $K35, $C35, ($I35-$B$1)/365, $G35, $H35, $D35) - BSPrice($B35,$J35, $K35, $C35, ($I35-$B$1)/365, $G35, $H35, $D35)) * $F35</f>
        <v/>
      </c>
      <c r="AI35" s="78">
        <f>(BSPrice($B35*1.2,$J35, $K35, $C35, ($I35-$B$1)/365, $G35, $H35, $D35) - BSPrice($B35,$J35, $K35, $C35, ($I35-$B$1)/365, $G35, $H35, $D35)) * $F35</f>
        <v/>
      </c>
      <c r="AJ35" s="78">
        <f>(BSPrice($B35,$J35-0.1, $K35, $C35, ($I35-$B$1)/365, $G35, $H35, $D35) - BSPrice($B35,$J35, $K35, $C35, ($I35-$B$1)/365, $G35, $H35, $D35)) * $F35</f>
        <v/>
      </c>
      <c r="AK35" s="78">
        <f>(BSPrice($B35,$J35-0.05,$K35,$C35,($I35-$B$1)/365,$G35,$H35,$D35)-BSPrice($B35,$J35,$K35,$C35,($I35-$B$1)/365,$G35,$H35,$D35))*$F35</f>
        <v/>
      </c>
      <c r="AL35" s="78">
        <f>(BSPrice($B35,$J35-0.02, $K35, $C35, ($I35-$B$1)/365, $G35, $H35, $D35) - BSPrice($B35,$J35, $K35, $C35, ($I35-$B$1)/365, $G35, $H35, $D35)) * $F35</f>
        <v/>
      </c>
      <c r="AM35" s="78">
        <f>(BSPrice($B35,$J35-0.01, $K35, $C35, ($I35-$B$1)/365, $G35, $H35, $D35) - BSPrice($B35,$J35, $K35, $C35, ($I35-$B$1)/365, $G35, $H35, $D35)) * $F35</f>
        <v/>
      </c>
      <c r="AN35" s="78">
        <f>(BSPrice($B35,$J35+0.01, $K35, $C35, ($I35-$B$1)/365, $G35, $H35, $D35) - BSPrice($B35,$J35, $K35, $C35, ($I35-$B$1)/365, $G35, $H35, $D35)) * $F35</f>
        <v/>
      </c>
      <c r="AO35" s="78">
        <f>(BSPrice($B35,$J35+0.02, $K35, $C35, ($I35-$B$1)/365, $G35, $H35, $D35) - BSPrice($B35,$J35, $K35, $C35, ($I35-$B$1)/365, $G35, $H35, $D35)) * $F35</f>
        <v/>
      </c>
      <c r="AP35" s="78">
        <f>(BSPrice($B35,$J35+0.05, $K35, $C35, ($I35-$B$1)/365, $G35, $H35, $D35) - BSPrice($B35,$J35, $K35, $C35, ($I35-$B$1)/365, $G35, $H35, $D35)) * $F35</f>
        <v/>
      </c>
      <c r="AQ35" s="78">
        <f>(BSPrice($B35,$J35+0.1, $K35, $C35, ($I35-$B$1)/365, $G35, $H35, $D35) - BSPrice($B35,$J35, $K35, $C35, ($I35-$B$1)/365, $G35, $H35, $D35)) * $F35</f>
        <v/>
      </c>
      <c r="AR35" s="60">
        <f>(BSPrice($B35*0.8,$J35+-0.05, $K35, $C35, ($I35-$B$1)/365, $G35, $H35, $D35) - BSPrice($B35,$J35, $K35, $C35, ($I35-$B$1)/365, $G35, $H35, $D35)) * $F35</f>
        <v/>
      </c>
      <c r="AS35" s="60">
        <f>(BSPrice($B35*0.8,$J35+-0.02, $K35, $C35, ($I35-$B$1)/365, $G35, $H35, $D35) - BSPrice($B35,$J35, $K35, $C35, ($I35-$B$1)/365, $G35, $H35, $D35)) * $F35</f>
        <v/>
      </c>
      <c r="AT35" s="60">
        <f>(BSPrice($B35*0.8,$J35+0, $K35, $C35, ($I35-$B$1)/365, $G35, $H35, $D35) - BSPrice($B35,$J35, $K35, $C35, ($I35-$B$1)/365, $G35, $H35, $D35)) * $F35</f>
        <v/>
      </c>
      <c r="AU35" s="60">
        <f>(BSPrice($B35*0.8,$J35+0.02, $K35, $C35, ($I35-$B$1)/365, $G35, $H35, $D35) - BSPrice($B35,$J35, $K35, $C35, ($I35-$B$1)/365, $G35, $H35, $D35)) * $F35</f>
        <v/>
      </c>
      <c r="AV35" s="60">
        <f>(BSPrice($B35*0.8,$J35+0.05, $K35, $C35, ($I35-$B$1)/365, $G35, $H35, $D35) - BSPrice($B35,$J35, $K35, $C35, ($I35-$B$1)/365, $G35, $H35, $D35)) * $F35</f>
        <v/>
      </c>
      <c r="AW35" s="60">
        <f>(BSPrice($B35*0.8,$J35+0.1, $K35, $C35, ($I35-$B$1)/365, $G35, $H35, $D35) - BSPrice($B35,$J35, $K35, $C35, ($I35-$B$1)/365, $G35, $H35, $D35)) * $F35</f>
        <v/>
      </c>
      <c r="AX35" s="60">
        <f>(BSPrice($B35*0.8,$J35+0.2, $K35, $C35, ($I35-$B$1)/365, $G35, $H35, $D35) - BSPrice($B35,$J35, $K35, $C35, ($I35-$B$1)/365, $G35, $H35, $D35)) * $F35</f>
        <v/>
      </c>
      <c r="AY35" s="60">
        <f>(BSPrice($B35*0.9,$J35+-0.05, $K35, $C35, ($I35-$B$1)/365, $G35, $H35, $D35) - BSPrice($B35,$J35, $K35, $C35, ($I35-$B$1)/365, $G35, $H35, $D35)) * $F35</f>
        <v/>
      </c>
      <c r="AZ35" s="60">
        <f>(BSPrice($B35*0.9,$J35+-0.02, $K35, $C35, ($I35-$B$1)/365, $G35, $H35, $D35) - BSPrice($B35,$J35, $K35, $C35, ($I35-$B$1)/365, $G35, $H35, $D35)) * $F35</f>
        <v/>
      </c>
      <c r="BA35" s="60">
        <f>(BSPrice($B35*0.9,$J35+0, $K35, $C35, ($I35-$B$1)/365, $G35, $H35, $D35) - BSPrice($B35,$J35, $K35, $C35, ($I35-$B$1)/365, $G35, $H35, $D35)) * $F35</f>
        <v/>
      </c>
      <c r="BB35" s="60">
        <f>(BSPrice($B35*0.9,$J35+0.02, $K35, $C35, ($I35-$B$1)/365, $G35, $H35, $D35) - BSPrice($B35,$J35, $K35, $C35, ($I35-$B$1)/365, $G35, $H35, $D35)) * $F35</f>
        <v/>
      </c>
      <c r="BC35" s="60">
        <f>(BSPrice($B35*0.9,$J35+0.05, $K35, $C35, ($I35-$B$1)/365, $G35, $H35, $D35) - BSPrice($B35,$J35, $K35, $C35, ($I35-$B$1)/365, $G35, $H35, $D35)) * $F35</f>
        <v/>
      </c>
      <c r="BD35" s="60">
        <f>(BSPrice($B35*0.9,$J35+0.1, $K35, $C35, ($I35-$B$1)/365, $G35, $H35, $D35) - BSPrice($B35,$J35, $K35, $C35, ($I35-$B$1)/365, $G35, $H35, $D35)) * $F35</f>
        <v/>
      </c>
      <c r="BE35" s="60">
        <f>(BSPrice($B35*0.9,$J35+0.2, $K35, $C35, ($I35-$B$1)/365, $G35, $H35, $D35) - BSPrice($B35,$J35, $K35, $C35, ($I35-$B$1)/365, $G35, $H35, $D35)) * $F35</f>
        <v/>
      </c>
      <c r="BF35" s="60">
        <f>(BSPrice($B35*0.95,$J35+-0.05, $K35, $C35, ($I35-$B$1)/365, $G35, $H35, $D35) - BSPrice($B35,$J35, $K35, $C35, ($I35-$B$1)/365, $G35, $H35, $D35)) * $F35</f>
        <v/>
      </c>
      <c r="BG35" s="60">
        <f>(BSPrice($B35*0.95,$J35+-0.02, $K35, $C35, ($I35-$B$1)/365, $G35, $H35, $D35) - BSPrice($B35,$J35, $K35, $C35, ($I35-$B$1)/365, $G35, $H35, $D35)) * $F35</f>
        <v/>
      </c>
      <c r="BH35" s="60">
        <f>(BSPrice($B35*0.95,$J35+0, $K35, $C35, ($I35-$B$1)/365, $G35, $H35, $D35) - BSPrice($B35,$J35, $K35, $C35, ($I35-$B$1)/365, $G35, $H35, $D35)) * $F35</f>
        <v/>
      </c>
      <c r="BI35" s="60">
        <f>(BSPrice($B35*0.95,$J35+0.02, $K35, $C35, ($I35-$B$1)/365, $G35, $H35, $D35) - BSPrice($B35,$J35, $K35, $C35, ($I35-$B$1)/365, $G35, $H35, $D35)) * $F35</f>
        <v/>
      </c>
      <c r="BJ35" s="60">
        <f>(BSPrice($B35*0.95,$J35+0.05, $K35, $C35, ($I35-$B$1)/365, $G35, $H35, $D35) - BSPrice($B35,$J35, $K35, $C35, ($I35-$B$1)/365, $G35, $H35, $D35)) * $F35</f>
        <v/>
      </c>
      <c r="BK35" s="60">
        <f>(BSPrice($B35*0.95,$J35+0.1, $K35, $C35, ($I35-$B$1)/365, $G35, $H35, $D35) - BSPrice($B35,$J35, $K35, $C35, ($I35-$B$1)/365, $G35, $H35, $D35)) * $F35</f>
        <v/>
      </c>
      <c r="BL35" s="60">
        <f>(BSPrice($B35*0.95,$J35+0.2, $K35, $C35, ($I35-$B$1)/365, $G35, $H35, $D35) - BSPrice($B35,$J35, $K35, $C35, ($I35-$B$1)/365, $G35, $H35, $D35)) * $F35</f>
        <v/>
      </c>
      <c r="BM35" s="60">
        <f>(BSPrice($B35*1,$J35+-0.05, $K35, $C35, ($I35-$B$1)/365, $G35, $H35, $D35) - BSPrice($B35,$J35, $K35, $C35, ($I35-$B$1)/365, $G35, $H35, $D35)) * $F35</f>
        <v/>
      </c>
      <c r="BN35" s="60">
        <f>(BSPrice($B35*1,$J35+-0.02, $K35, $C35, ($I35-$B$1)/365, $G35, $H35, $D35) - BSPrice($B35,$J35, $K35, $C35, ($I35-$B$1)/365, $G35, $H35, $D35)) * $F35</f>
        <v/>
      </c>
      <c r="BO35" s="60">
        <f>(BSPrice($B35*1,$J35+0, $K35, $C35, ($I35-$B$1)/365, $G35, $H35, $D35) - BSPrice($B35,$J35, $K35, $C35, ($I35-$B$1)/365, $G35, $H35, $D35)) * $F35</f>
        <v/>
      </c>
      <c r="BP35" s="60">
        <f>(BSPrice($B35*1,$J35+0.02, $K35, $C35, ($I35-$B$1)/365, $G35, $H35, $D35) - BSPrice($B35,$J35, $K35, $C35, ($I35-$B$1)/365, $G35, $H35, $D35)) * $F35</f>
        <v/>
      </c>
      <c r="BQ35" s="60">
        <f>(BSPrice($B35*1,$J35+0.05, $K35, $C35, ($I35-$B$1)/365, $G35, $H35, $D35) - BSPrice($B35,$J35, $K35, $C35, ($I35-$B$1)/365, $G35, $H35, $D35)) * $F35</f>
        <v/>
      </c>
      <c r="BR35" s="60">
        <f>(BSPrice($B35*1,$J35+0.1, $K35, $C35, ($I35-$B$1)/365, $G35, $H35, $D35) - BSPrice($B35,$J35, $K35, $C35, ($I35-$B$1)/365, $G35, $H35, $D35)) * $F35</f>
        <v/>
      </c>
      <c r="BS35" s="60">
        <f>(BSPrice($B35*1,$J35+0.2, $K35, $C35, ($I35-$B$1)/365, $G35, $H35, $D35) - BSPrice($B35,$J35, $K35, $C35, ($I35-$B$1)/365, $G35, $H35, $D35)) * $F35</f>
        <v/>
      </c>
      <c r="BT35" s="60">
        <f>(BSPrice($B35*1.05,$J35+-0.05, $K35, $C35, ($I35-$B$1)/365, $G35, $H35, $D35) - BSPrice($B35,$J35, $K35, $C35, ($I35-$B$1)/365, $G35, $H35, $D35)) * $F35</f>
        <v/>
      </c>
      <c r="BU35" s="60">
        <f>(BSPrice($B35*1.05,$J35+-0.02, $K35, $C35, ($I35-$B$1)/365, $G35, $H35, $D35) - BSPrice($B35,$J35, $K35, $C35, ($I35-$B$1)/365, $G35, $H35, $D35)) * $F35</f>
        <v/>
      </c>
      <c r="BV35" s="60">
        <f>(BSPrice($B35*1.05,$J35+0, $K35, $C35, ($I35-$B$1)/365, $G35, $H35, $D35) - BSPrice($B35,$J35, $K35, $C35, ($I35-$B$1)/365, $G35, $H35, $D35)) * $F35</f>
        <v/>
      </c>
      <c r="BW35" s="60">
        <f>(BSPrice($B35*1.05,$J35+0.02, $K35, $C35, ($I35-$B$1)/365, $G35, $H35, $D35) - BSPrice($B35,$J35, $K35, $C35, ($I35-$B$1)/365, $G35, $H35, $D35)) * $F35</f>
        <v/>
      </c>
      <c r="BX35" s="60">
        <f>(BSPrice($B35*1.05,$J35+0.05, $K35, $C35, ($I35-$B$1)/365, $G35, $H35, $D35) - BSPrice($B35,$J35, $K35, $C35, ($I35-$B$1)/365, $G35, $H35, $D35)) * $F35</f>
        <v/>
      </c>
      <c r="BY35" s="60">
        <f>(BSPrice($B35*1.05,$J35+0.1, $K35, $C35, ($I35-$B$1)/365, $G35, $H35, $D35) - BSPrice($B35,$J35, $K35, $C35, ($I35-$B$1)/365, $G35, $H35, $D35)) * $F35</f>
        <v/>
      </c>
      <c r="BZ35" s="60">
        <f>(BSPrice($B35*1.05,$J35+0.2, $K35, $C35, ($I35-$B$1)/365, $G35, $H35, $D35) - BSPrice($B35,$J35, $K35, $C35, ($I35-$B$1)/365, $G35, $H35, $D35)) * $F35</f>
        <v/>
      </c>
      <c r="CA35" s="60">
        <f>(BSPrice($B35*1.1,$J35+-0.05, $K35, $C35, ($I35-$B$1)/365, $G35, $H35, $D35) - BSPrice($B35,$J35, $K35, $C35, ($I35-$B$1)/365, $G35, $H35, $D35)) * $F35</f>
        <v/>
      </c>
      <c r="CB35" s="60">
        <f>(BSPrice($B35*1.1,$J35+-0.02, $K35, $C35, ($I35-$B$1)/365, $G35, $H35, $D35) - BSPrice($B35,$J35, $K35, $C35, ($I35-$B$1)/365, $G35, $H35, $D35)) * $F35</f>
        <v/>
      </c>
      <c r="CC35" s="60">
        <f>(BSPrice($B35*1.1,$J35+0, $K35, $C35, ($I35-$B$1)/365, $G35, $H35, $D35) - BSPrice($B35,$J35, $K35, $C35, ($I35-$B$1)/365, $G35, $H35, $D35)) * $F35</f>
        <v/>
      </c>
      <c r="CD35" s="60">
        <f>(BSPrice($B35*1.1,$J35+0.02, $K35, $C35, ($I35-$B$1)/365, $G35, $H35, $D35) - BSPrice($B35,$J35, $K35, $C35, ($I35-$B$1)/365, $G35, $H35, $D35)) * $F35</f>
        <v/>
      </c>
      <c r="CE35" s="60">
        <f>(BSPrice($B35*1.1,$J35+0.05, $K35, $C35, ($I35-$B$1)/365, $G35, $H35, $D35) - BSPrice($B35,$J35, $K35, $C35, ($I35-$B$1)/365, $G35, $H35, $D35)) * $F35</f>
        <v/>
      </c>
      <c r="CF35" s="60">
        <f>(BSPrice($B35*1.1,$J35+0.1, $K35, $C35, ($I35-$B$1)/365, $G35, $H35, $D35) - BSPrice($B35,$J35, $K35, $C35, ($I35-$B$1)/365, $G35, $H35, $D35)) * $F35</f>
        <v/>
      </c>
      <c r="CG35" s="60">
        <f>(BSPrice($B35*1.1,$J35+0.2, $K35, $C35, ($I35-$B$1)/365, $G35, $H35, $D35) - BSPrice($B35,$J35, $K35, $C35, ($I35-$B$1)/365, $G35, $H35, $D35)) * $F35</f>
        <v/>
      </c>
      <c r="CH35" s="60">
        <f>(BSPrice($B35*1.2,$J35+-0.05, $K35, $C35, ($I35-$B$1)/365, $G35, $H35, $D35) - BSPrice($B35,$J35, $K35, $C35, ($I35-$B$1)/365, $G35, $H35, $D35)) * $F35</f>
        <v/>
      </c>
      <c r="CI35" s="60">
        <f>(BSPrice($B35*1.2,$J35+-0.02, $K35, $C35, ($I35-$B$1)/365, $G35, $H35, $D35) - BSPrice($B35,$J35, $K35, $C35, ($I35-$B$1)/365, $G35, $H35, $D35)) * $F35</f>
        <v/>
      </c>
      <c r="CJ35" s="60">
        <f>(BSPrice($B35*1.2,$J35+0, $K35, $C35, ($I35-$B$1)/365, $G35, $H35, $D35) - BSPrice($B35,$J35, $K35, $C35, ($I35-$B$1)/365, $G35, $H35, $D35)) * $F35</f>
        <v/>
      </c>
      <c r="CK35" s="60">
        <f>(BSPrice($B35*1.2,$J35+0.02, $K35, $C35, ($I35-$B$1)/365, $G35, $H35, $D35) - BSPrice($B35,$J35, $K35, $C35, ($I35-$B$1)/365, $G35, $H35, $D35)) * $F35</f>
        <v/>
      </c>
      <c r="CL35" s="60">
        <f>(BSPrice($B35*1.2,$J35+0.05, $K35, $C35, ($I35-$B$1)/365, $G35, $H35, $D35) - BSPrice($B35,$J35, $K35, $C35, ($I35-$B$1)/365, $G35, $H35, $D35)) * $F35</f>
        <v/>
      </c>
      <c r="CM35" s="60">
        <f>(BSPrice($B35*1.2,$J35+0.1, $K35, $C35, ($I35-$B$1)/365, $G35, $H35, $D35) - BSPrice($B35,$J35, $K35, $C35, ($I35-$B$1)/365, $G35, $H35, $D35)) * $F35</f>
        <v/>
      </c>
      <c r="CN35" s="60">
        <f>(BSPrice($B35*1.2,$J35+0.2, $K35, $C35, ($I35-$B$1)/365, $G35, $H35, $D35) - BSPrice($B35,$J35, $K35, $C35, ($I35-$B$1)/365, $G35, $H35, $D35)) * $F35</f>
        <v/>
      </c>
    </row>
    <row r="36">
      <c r="A36" s="3" t="inlineStr">
        <is>
          <t>SX5E Index</t>
        </is>
      </c>
      <c r="B36" s="4">
        <f>VLOOKUP(A36,PriceData!$K$4:$L$6,2,FALSE)</f>
        <v/>
      </c>
      <c r="C36" s="46">
        <f>VLOOKUP(A36,PriceData!$K$4:$M$6,3,FALSE)</f>
        <v/>
      </c>
      <c r="D36" s="4" t="inlineStr">
        <is>
          <t>Option</t>
        </is>
      </c>
      <c r="E36" s="4" t="inlineStr">
        <is>
          <t>EUR</t>
        </is>
      </c>
      <c r="F36" s="4" t="n">
        <v>-30</v>
      </c>
      <c r="G36" s="4" t="n">
        <v>2818</v>
      </c>
      <c r="H36" s="4" t="inlineStr">
        <is>
          <t>Call</t>
        </is>
      </c>
      <c r="I36" s="5" t="n">
        <v>40256</v>
      </c>
      <c r="J36" s="46">
        <f>FindImpliedVol(A36, D36, G36, I36)</f>
        <v/>
      </c>
      <c r="K36" s="30">
        <f>VLOOKUP(I36,PriceData!$A$5:$D$7,MATCH($E36,PriceData!$A$4:$D$4,0),FALSE)</f>
        <v/>
      </c>
      <c r="L36" s="2">
        <f>BSPrice($B36,$J36, $K36, $C36, ($I36-$B$1)/365, $G36, $H36, $D36)</f>
        <v/>
      </c>
      <c r="M36" s="2">
        <f>F36*L36</f>
        <v/>
      </c>
      <c r="N36" s="4" t="inlineStr">
        <is>
          <t>Exch</t>
        </is>
      </c>
      <c r="P36" s="60">
        <f>BSDelta(B36, J36, K36, C36, (I36-$B$1)/365, G36, H36, D36)</f>
        <v/>
      </c>
      <c r="Q36" s="60">
        <f>BSGamma(B36, J36, K36, C36, (I36-$B$1)/365, G36, D36)</f>
        <v/>
      </c>
      <c r="R36" s="58">
        <f>BSVega(B36, J36, K36, C36, (I36-$B$1)/365,G36, D36)</f>
        <v/>
      </c>
      <c r="S36" s="58">
        <f>BSVolga(B36, J36, K36, C36, (I36-$B$1)/365,G36, D36)</f>
        <v/>
      </c>
      <c r="T36" s="58">
        <f>BSVanna(B36,J36,K36, C36, (I36-$B$1)/365, G36, D36)</f>
        <v/>
      </c>
      <c r="U36" s="2">
        <f>BSRho(B36, J36, K36, C36, (I36-$B$1)/365, G36, H36, D36)</f>
        <v/>
      </c>
      <c r="V36" s="65">
        <f>$F36*$P36</f>
        <v/>
      </c>
      <c r="W36" s="65">
        <f>$F36*$Q36</f>
        <v/>
      </c>
      <c r="X36" s="78">
        <f>$F36*R36</f>
        <v/>
      </c>
      <c r="Y36" s="78">
        <f>$F36*S36</f>
        <v/>
      </c>
      <c r="Z36" s="78">
        <f>$F36*T36</f>
        <v/>
      </c>
      <c r="AA36" s="78">
        <f>$F36*U36</f>
        <v/>
      </c>
      <c r="AB36" s="78">
        <f>(BSPrice($B36*0.8,$J36, $K36, $C36, ($I36-$B$1)/365, $G36, $H36, $D36) - BSPrice($B36,$J36, $K36, $C36, ($I36-$B$1)/365, $G36, $H36, $D36)) * $F36</f>
        <v/>
      </c>
      <c r="AC36" s="78">
        <f>(BSPrice($B36*0.9,$J36, $K36, $C36, ($I36-$B$1)/365, $G36, $H36, $D36) - BSPrice($B36,$J36, $K36, $C36, ($I36-$B$1)/365, $G36, $H36, $D36)) * $F36</f>
        <v/>
      </c>
      <c r="AD36" s="78">
        <f>(BSPrice($B36*0.95,$J36, $K36, $C36, ($I36-$B$1)/365, $G36, $H36, $D36) - BSPrice($B36,$J36, $K36, $C36, ($I36-$B$1)/365, $G36, $H36, $D36)) * $F36</f>
        <v/>
      </c>
      <c r="AE36" s="78">
        <f>(BSPrice($B36*0.98,$J36, $K36, $C36, ($I36-$B$1)/365, $G36, $H36, $D36) - BSPrice($B36,$J36, $K36, $C36, ($I36-$B$1)/365, $G36, $H36, $D36)) * $F36</f>
        <v/>
      </c>
      <c r="AF36" s="78">
        <f>(BSPrice($B36*1.02,$J36, $K36, $C36, ($I36-$B$1)/365, $G36, $H36, $D36) - BSPrice($B36,$J36, $K36, $C36, ($I36-$B$1)/365, $G36, $H36, $D36)) * $F36</f>
        <v/>
      </c>
      <c r="AG36" s="78">
        <f>(BSPrice($B36*1.05,$J36, $K36, $C36, ($I36-$B$1)/365, $G36, $H36, $D36) - BSPrice($B36,$J36, $K36, $C36, ($I36-$B$1)/365, $G36, $H36, $D36)) * $F36</f>
        <v/>
      </c>
      <c r="AH36" s="78">
        <f>(BSPrice($B36*1.1,$J36, $K36, $C36, ($I36-$B$1)/365, $G36, $H36, $D36) - BSPrice($B36,$J36, $K36, $C36, ($I36-$B$1)/365, $G36, $H36, $D36)) * $F36</f>
        <v/>
      </c>
      <c r="AI36" s="78">
        <f>(BSPrice($B36*1.2,$J36, $K36, $C36, ($I36-$B$1)/365, $G36, $H36, $D36) - BSPrice($B36,$J36, $K36, $C36, ($I36-$B$1)/365, $G36, $H36, $D36)) * $F36</f>
        <v/>
      </c>
      <c r="AJ36" s="78">
        <f>(BSPrice($B36,$J36-0.1, $K36, $C36, ($I36-$B$1)/365, $G36, $H36, $D36) - BSPrice($B36,$J36, $K36, $C36, ($I36-$B$1)/365, $G36, $H36, $D36)) * $F36</f>
        <v/>
      </c>
      <c r="AK36" s="78">
        <f>(BSPrice($B36,$J36-0.05,$K36,$C36,($I36-$B$1)/365,$G36,$H36,$D36)-BSPrice($B36,$J36,$K36,$C36,($I36-$B$1)/365,$G36,$H36,$D36))*$F36</f>
        <v/>
      </c>
      <c r="AL36" s="78">
        <f>(BSPrice($B36,$J36-0.02, $K36, $C36, ($I36-$B$1)/365, $G36, $H36, $D36) - BSPrice($B36,$J36, $K36, $C36, ($I36-$B$1)/365, $G36, $H36, $D36)) * $F36</f>
        <v/>
      </c>
      <c r="AM36" s="78">
        <f>(BSPrice($B36,$J36-0.01, $K36, $C36, ($I36-$B$1)/365, $G36, $H36, $D36) - BSPrice($B36,$J36, $K36, $C36, ($I36-$B$1)/365, $G36, $H36, $D36)) * $F36</f>
        <v/>
      </c>
      <c r="AN36" s="78">
        <f>(BSPrice($B36,$J36+0.01, $K36, $C36, ($I36-$B$1)/365, $G36, $H36, $D36) - BSPrice($B36,$J36, $K36, $C36, ($I36-$B$1)/365, $G36, $H36, $D36)) * $F36</f>
        <v/>
      </c>
      <c r="AO36" s="78">
        <f>(BSPrice($B36,$J36+0.02, $K36, $C36, ($I36-$B$1)/365, $G36, $H36, $D36) - BSPrice($B36,$J36, $K36, $C36, ($I36-$B$1)/365, $G36, $H36, $D36)) * $F36</f>
        <v/>
      </c>
      <c r="AP36" s="78">
        <f>(BSPrice($B36,$J36+0.05, $K36, $C36, ($I36-$B$1)/365, $G36, $H36, $D36) - BSPrice($B36,$J36, $K36, $C36, ($I36-$B$1)/365, $G36, $H36, $D36)) * $F36</f>
        <v/>
      </c>
      <c r="AQ36" s="78">
        <f>(BSPrice($B36,$J36+0.1, $K36, $C36, ($I36-$B$1)/365, $G36, $H36, $D36) - BSPrice($B36,$J36, $K36, $C36, ($I36-$B$1)/365, $G36, $H36, $D36)) * $F36</f>
        <v/>
      </c>
      <c r="AR36" s="60">
        <f>(BSPrice($B36*0.8,$J36+-0.05, $K36, $C36, ($I36-$B$1)/365, $G36, $H36, $D36) - BSPrice($B36,$J36, $K36, $C36, ($I36-$B$1)/365, $G36, $H36, $D36)) * $F36</f>
        <v/>
      </c>
      <c r="AS36" s="60">
        <f>(BSPrice($B36*0.8,$J36+-0.02, $K36, $C36, ($I36-$B$1)/365, $G36, $H36, $D36) - BSPrice($B36,$J36, $K36, $C36, ($I36-$B$1)/365, $G36, $H36, $D36)) * $F36</f>
        <v/>
      </c>
      <c r="AT36" s="60">
        <f>(BSPrice($B36*0.8,$J36+0, $K36, $C36, ($I36-$B$1)/365, $G36, $H36, $D36) - BSPrice($B36,$J36, $K36, $C36, ($I36-$B$1)/365, $G36, $H36, $D36)) * $F36</f>
        <v/>
      </c>
      <c r="AU36" s="60">
        <f>(BSPrice($B36*0.8,$J36+0.02, $K36, $C36, ($I36-$B$1)/365, $G36, $H36, $D36) - BSPrice($B36,$J36, $K36, $C36, ($I36-$B$1)/365, $G36, $H36, $D36)) * $F36</f>
        <v/>
      </c>
      <c r="AV36" s="60">
        <f>(BSPrice($B36*0.8,$J36+0.05, $K36, $C36, ($I36-$B$1)/365, $G36, $H36, $D36) - BSPrice($B36,$J36, $K36, $C36, ($I36-$B$1)/365, $G36, $H36, $D36)) * $F36</f>
        <v/>
      </c>
      <c r="AW36" s="60">
        <f>(BSPrice($B36*0.8,$J36+0.1, $K36, $C36, ($I36-$B$1)/365, $G36, $H36, $D36) - BSPrice($B36,$J36, $K36, $C36, ($I36-$B$1)/365, $G36, $H36, $D36)) * $F36</f>
        <v/>
      </c>
      <c r="AX36" s="60">
        <f>(BSPrice($B36*0.8,$J36+0.2, $K36, $C36, ($I36-$B$1)/365, $G36, $H36, $D36) - BSPrice($B36,$J36, $K36, $C36, ($I36-$B$1)/365, $G36, $H36, $D36)) * $F36</f>
        <v/>
      </c>
      <c r="AY36" s="60">
        <f>(BSPrice($B36*0.9,$J36+-0.05, $K36, $C36, ($I36-$B$1)/365, $G36, $H36, $D36) - BSPrice($B36,$J36, $K36, $C36, ($I36-$B$1)/365, $G36, $H36, $D36)) * $F36</f>
        <v/>
      </c>
      <c r="AZ36" s="60">
        <f>(BSPrice($B36*0.9,$J36+-0.02, $K36, $C36, ($I36-$B$1)/365, $G36, $H36, $D36) - BSPrice($B36,$J36, $K36, $C36, ($I36-$B$1)/365, $G36, $H36, $D36)) * $F36</f>
        <v/>
      </c>
      <c r="BA36" s="60">
        <f>(BSPrice($B36*0.9,$J36+0, $K36, $C36, ($I36-$B$1)/365, $G36, $H36, $D36) - BSPrice($B36,$J36, $K36, $C36, ($I36-$B$1)/365, $G36, $H36, $D36)) * $F36</f>
        <v/>
      </c>
      <c r="BB36" s="60">
        <f>(BSPrice($B36*0.9,$J36+0.02, $K36, $C36, ($I36-$B$1)/365, $G36, $H36, $D36) - BSPrice($B36,$J36, $K36, $C36, ($I36-$B$1)/365, $G36, $H36, $D36)) * $F36</f>
        <v/>
      </c>
      <c r="BC36" s="60">
        <f>(BSPrice($B36*0.9,$J36+0.05, $K36, $C36, ($I36-$B$1)/365, $G36, $H36, $D36) - BSPrice($B36,$J36, $K36, $C36, ($I36-$B$1)/365, $G36, $H36, $D36)) * $F36</f>
        <v/>
      </c>
      <c r="BD36" s="60">
        <f>(BSPrice($B36*0.9,$J36+0.1, $K36, $C36, ($I36-$B$1)/365, $G36, $H36, $D36) - BSPrice($B36,$J36, $K36, $C36, ($I36-$B$1)/365, $G36, $H36, $D36)) * $F36</f>
        <v/>
      </c>
      <c r="BE36" s="60">
        <f>(BSPrice($B36*0.9,$J36+0.2, $K36, $C36, ($I36-$B$1)/365, $G36, $H36, $D36) - BSPrice($B36,$J36, $K36, $C36, ($I36-$B$1)/365, $G36, $H36, $D36)) * $F36</f>
        <v/>
      </c>
      <c r="BF36" s="60">
        <f>(BSPrice($B36*0.95,$J36+-0.05, $K36, $C36, ($I36-$B$1)/365, $G36, $H36, $D36) - BSPrice($B36,$J36, $K36, $C36, ($I36-$B$1)/365, $G36, $H36, $D36)) * $F36</f>
        <v/>
      </c>
      <c r="BG36" s="60">
        <f>(BSPrice($B36*0.95,$J36+-0.02, $K36, $C36, ($I36-$B$1)/365, $G36, $H36, $D36) - BSPrice($B36,$J36, $K36, $C36, ($I36-$B$1)/365, $G36, $H36, $D36)) * $F36</f>
        <v/>
      </c>
      <c r="BH36" s="60">
        <f>(BSPrice($B36*0.95,$J36+0, $K36, $C36, ($I36-$B$1)/365, $G36, $H36, $D36) - BSPrice($B36,$J36, $K36, $C36, ($I36-$B$1)/365, $G36, $H36, $D36)) * $F36</f>
        <v/>
      </c>
      <c r="BI36" s="60">
        <f>(BSPrice($B36*0.95,$J36+0.02, $K36, $C36, ($I36-$B$1)/365, $G36, $H36, $D36) - BSPrice($B36,$J36, $K36, $C36, ($I36-$B$1)/365, $G36, $H36, $D36)) * $F36</f>
        <v/>
      </c>
      <c r="BJ36" s="60">
        <f>(BSPrice($B36*0.95,$J36+0.05, $K36, $C36, ($I36-$B$1)/365, $G36, $H36, $D36) - BSPrice($B36,$J36, $K36, $C36, ($I36-$B$1)/365, $G36, $H36, $D36)) * $F36</f>
        <v/>
      </c>
      <c r="BK36" s="60">
        <f>(BSPrice($B36*0.95,$J36+0.1, $K36, $C36, ($I36-$B$1)/365, $G36, $H36, $D36) - BSPrice($B36,$J36, $K36, $C36, ($I36-$B$1)/365, $G36, $H36, $D36)) * $F36</f>
        <v/>
      </c>
      <c r="BL36" s="60">
        <f>(BSPrice($B36*0.95,$J36+0.2, $K36, $C36, ($I36-$B$1)/365, $G36, $H36, $D36) - BSPrice($B36,$J36, $K36, $C36, ($I36-$B$1)/365, $G36, $H36, $D36)) * $F36</f>
        <v/>
      </c>
      <c r="BM36" s="60">
        <f>(BSPrice($B36*1,$J36+-0.05, $K36, $C36, ($I36-$B$1)/365, $G36, $H36, $D36) - BSPrice($B36,$J36, $K36, $C36, ($I36-$B$1)/365, $G36, $H36, $D36)) * $F36</f>
        <v/>
      </c>
      <c r="BN36" s="60">
        <f>(BSPrice($B36*1,$J36+-0.02, $K36, $C36, ($I36-$B$1)/365, $G36, $H36, $D36) - BSPrice($B36,$J36, $K36, $C36, ($I36-$B$1)/365, $G36, $H36, $D36)) * $F36</f>
        <v/>
      </c>
      <c r="BO36" s="60">
        <f>(BSPrice($B36*1,$J36+0, $K36, $C36, ($I36-$B$1)/365, $G36, $H36, $D36) - BSPrice($B36,$J36, $K36, $C36, ($I36-$B$1)/365, $G36, $H36, $D36)) * $F36</f>
        <v/>
      </c>
      <c r="BP36" s="60">
        <f>(BSPrice($B36*1,$J36+0.02, $K36, $C36, ($I36-$B$1)/365, $G36, $H36, $D36) - BSPrice($B36,$J36, $K36, $C36, ($I36-$B$1)/365, $G36, $H36, $D36)) * $F36</f>
        <v/>
      </c>
      <c r="BQ36" s="60">
        <f>(BSPrice($B36*1,$J36+0.05, $K36, $C36, ($I36-$B$1)/365, $G36, $H36, $D36) - BSPrice($B36,$J36, $K36, $C36, ($I36-$B$1)/365, $G36, $H36, $D36)) * $F36</f>
        <v/>
      </c>
      <c r="BR36" s="60">
        <f>(BSPrice($B36*1,$J36+0.1, $K36, $C36, ($I36-$B$1)/365, $G36, $H36, $D36) - BSPrice($B36,$J36, $K36, $C36, ($I36-$B$1)/365, $G36, $H36, $D36)) * $F36</f>
        <v/>
      </c>
      <c r="BS36" s="60">
        <f>(BSPrice($B36*1,$J36+0.2, $K36, $C36, ($I36-$B$1)/365, $G36, $H36, $D36) - BSPrice($B36,$J36, $K36, $C36, ($I36-$B$1)/365, $G36, $H36, $D36)) * $F36</f>
        <v/>
      </c>
      <c r="BT36" s="60">
        <f>(BSPrice($B36*1.05,$J36+-0.05, $K36, $C36, ($I36-$B$1)/365, $G36, $H36, $D36) - BSPrice($B36,$J36, $K36, $C36, ($I36-$B$1)/365, $G36, $H36, $D36)) * $F36</f>
        <v/>
      </c>
      <c r="BU36" s="60">
        <f>(BSPrice($B36*1.05,$J36+-0.02, $K36, $C36, ($I36-$B$1)/365, $G36, $H36, $D36) - BSPrice($B36,$J36, $K36, $C36, ($I36-$B$1)/365, $G36, $H36, $D36)) * $F36</f>
        <v/>
      </c>
      <c r="BV36" s="60">
        <f>(BSPrice($B36*1.05,$J36+0, $K36, $C36, ($I36-$B$1)/365, $G36, $H36, $D36) - BSPrice($B36,$J36, $K36, $C36, ($I36-$B$1)/365, $G36, $H36, $D36)) * $F36</f>
        <v/>
      </c>
      <c r="BW36" s="60">
        <f>(BSPrice($B36*1.05,$J36+0.02, $K36, $C36, ($I36-$B$1)/365, $G36, $H36, $D36) - BSPrice($B36,$J36, $K36, $C36, ($I36-$B$1)/365, $G36, $H36, $D36)) * $F36</f>
        <v/>
      </c>
      <c r="BX36" s="60">
        <f>(BSPrice($B36*1.05,$J36+0.05, $K36, $C36, ($I36-$B$1)/365, $G36, $H36, $D36) - BSPrice($B36,$J36, $K36, $C36, ($I36-$B$1)/365, $G36, $H36, $D36)) * $F36</f>
        <v/>
      </c>
      <c r="BY36" s="60">
        <f>(BSPrice($B36*1.05,$J36+0.1, $K36, $C36, ($I36-$B$1)/365, $G36, $H36, $D36) - BSPrice($B36,$J36, $K36, $C36, ($I36-$B$1)/365, $G36, $H36, $D36)) * $F36</f>
        <v/>
      </c>
      <c r="BZ36" s="60">
        <f>(BSPrice($B36*1.05,$J36+0.2, $K36, $C36, ($I36-$B$1)/365, $G36, $H36, $D36) - BSPrice($B36,$J36, $K36, $C36, ($I36-$B$1)/365, $G36, $H36, $D36)) * $F36</f>
        <v/>
      </c>
      <c r="CA36" s="60">
        <f>(BSPrice($B36*1.1,$J36+-0.05, $K36, $C36, ($I36-$B$1)/365, $G36, $H36, $D36) - BSPrice($B36,$J36, $K36, $C36, ($I36-$B$1)/365, $G36, $H36, $D36)) * $F36</f>
        <v/>
      </c>
      <c r="CB36" s="60">
        <f>(BSPrice($B36*1.1,$J36+-0.02, $K36, $C36, ($I36-$B$1)/365, $G36, $H36, $D36) - BSPrice($B36,$J36, $K36, $C36, ($I36-$B$1)/365, $G36, $H36, $D36)) * $F36</f>
        <v/>
      </c>
      <c r="CC36" s="60">
        <f>(BSPrice($B36*1.1,$J36+0, $K36, $C36, ($I36-$B$1)/365, $G36, $H36, $D36) - BSPrice($B36,$J36, $K36, $C36, ($I36-$B$1)/365, $G36, $H36, $D36)) * $F36</f>
        <v/>
      </c>
      <c r="CD36" s="60">
        <f>(BSPrice($B36*1.1,$J36+0.02, $K36, $C36, ($I36-$B$1)/365, $G36, $H36, $D36) - BSPrice($B36,$J36, $K36, $C36, ($I36-$B$1)/365, $G36, $H36, $D36)) * $F36</f>
        <v/>
      </c>
      <c r="CE36" s="60">
        <f>(BSPrice($B36*1.1,$J36+0.05, $K36, $C36, ($I36-$B$1)/365, $G36, $H36, $D36) - BSPrice($B36,$J36, $K36, $C36, ($I36-$B$1)/365, $G36, $H36, $D36)) * $F36</f>
        <v/>
      </c>
      <c r="CF36" s="60">
        <f>(BSPrice($B36*1.1,$J36+0.1, $K36, $C36, ($I36-$B$1)/365, $G36, $H36, $D36) - BSPrice($B36,$J36, $K36, $C36, ($I36-$B$1)/365, $G36, $H36, $D36)) * $F36</f>
        <v/>
      </c>
      <c r="CG36" s="60">
        <f>(BSPrice($B36*1.1,$J36+0.2, $K36, $C36, ($I36-$B$1)/365, $G36, $H36, $D36) - BSPrice($B36,$J36, $K36, $C36, ($I36-$B$1)/365, $G36, $H36, $D36)) * $F36</f>
        <v/>
      </c>
      <c r="CH36" s="60">
        <f>(BSPrice($B36*1.2,$J36+-0.05, $K36, $C36, ($I36-$B$1)/365, $G36, $H36, $D36) - BSPrice($B36,$J36, $K36, $C36, ($I36-$B$1)/365, $G36, $H36, $D36)) * $F36</f>
        <v/>
      </c>
      <c r="CI36" s="60">
        <f>(BSPrice($B36*1.2,$J36+-0.02, $K36, $C36, ($I36-$B$1)/365, $G36, $H36, $D36) - BSPrice($B36,$J36, $K36, $C36, ($I36-$B$1)/365, $G36, $H36, $D36)) * $F36</f>
        <v/>
      </c>
      <c r="CJ36" s="60">
        <f>(BSPrice($B36*1.2,$J36+0, $K36, $C36, ($I36-$B$1)/365, $G36, $H36, $D36) - BSPrice($B36,$J36, $K36, $C36, ($I36-$B$1)/365, $G36, $H36, $D36)) * $F36</f>
        <v/>
      </c>
      <c r="CK36" s="60">
        <f>(BSPrice($B36*1.2,$J36+0.02, $K36, $C36, ($I36-$B$1)/365, $G36, $H36, $D36) - BSPrice($B36,$J36, $K36, $C36, ($I36-$B$1)/365, $G36, $H36, $D36)) * $F36</f>
        <v/>
      </c>
      <c r="CL36" s="60">
        <f>(BSPrice($B36*1.2,$J36+0.05, $K36, $C36, ($I36-$B$1)/365, $G36, $H36, $D36) - BSPrice($B36,$J36, $K36, $C36, ($I36-$B$1)/365, $G36, $H36, $D36)) * $F36</f>
        <v/>
      </c>
      <c r="CM36" s="60">
        <f>(BSPrice($B36*1.2,$J36+0.1, $K36, $C36, ($I36-$B$1)/365, $G36, $H36, $D36) - BSPrice($B36,$J36, $K36, $C36, ($I36-$B$1)/365, $G36, $H36, $D36)) * $F36</f>
        <v/>
      </c>
      <c r="CN36" s="60">
        <f>(BSPrice($B36*1.2,$J36+0.2, $K36, $C36, ($I36-$B$1)/365, $G36, $H36, $D36) - BSPrice($B36,$J36, $K36, $C36, ($I36-$B$1)/365, $G36, $H36, $D36)) * $F36</f>
        <v/>
      </c>
    </row>
    <row r="37">
      <c r="A37" s="3" t="inlineStr">
        <is>
          <t>SX5E Index</t>
        </is>
      </c>
      <c r="B37" s="4">
        <f>VLOOKUP(A37,PriceData!$K$4:$L$6,2,FALSE)</f>
        <v/>
      </c>
      <c r="C37" s="46">
        <f>VLOOKUP(A37,PriceData!$K$4:$M$6,3,FALSE)</f>
        <v/>
      </c>
      <c r="D37" s="4" t="inlineStr">
        <is>
          <t>Option</t>
        </is>
      </c>
      <c r="E37" s="4" t="inlineStr">
        <is>
          <t>EUR</t>
        </is>
      </c>
      <c r="F37" s="4" t="n">
        <v>-20</v>
      </c>
      <c r="G37" s="4" t="n">
        <v>2992</v>
      </c>
      <c r="H37" s="4" t="inlineStr">
        <is>
          <t>Put</t>
        </is>
      </c>
      <c r="I37" s="5" t="n">
        <v>40256</v>
      </c>
      <c r="J37" s="46">
        <f>FindImpliedVol(A37, D37, G37, I37)</f>
        <v/>
      </c>
      <c r="K37" s="30">
        <f>VLOOKUP(I37,PriceData!$A$5:$D$7,MATCH($E37,PriceData!$A$4:$D$4,0),FALSE)</f>
        <v/>
      </c>
      <c r="L37" s="2">
        <f>BSPrice($B37,$J37, $K37, $C37, ($I37-$B$1)/365, $G37, $H37, $D37)</f>
        <v/>
      </c>
      <c r="M37" s="2">
        <f>F37*L37</f>
        <v/>
      </c>
      <c r="N37" s="4" t="inlineStr">
        <is>
          <t>Exch</t>
        </is>
      </c>
      <c r="P37" s="60">
        <f>BSDelta(B37, J37, K37, C37, (I37-$B$1)/365, G37, H37, D37)</f>
        <v/>
      </c>
      <c r="Q37" s="60">
        <f>BSGamma(B37, J37, K37, C37, (I37-$B$1)/365, G37, D37)</f>
        <v/>
      </c>
      <c r="R37" s="58">
        <f>BSVega(B37, J37, K37, C37, (I37-$B$1)/365,G37, D37)</f>
        <v/>
      </c>
      <c r="S37" s="58">
        <f>BSVolga(B37, J37, K37, C37, (I37-$B$1)/365,G37, D37)</f>
        <v/>
      </c>
      <c r="T37" s="58">
        <f>BSVanna(B37,J37,K37, C37, (I37-$B$1)/365, G37, D37)</f>
        <v/>
      </c>
      <c r="U37" s="2">
        <f>BSRho(B37, J37, K37, C37, (I37-$B$1)/365, G37, H37, D37)</f>
        <v/>
      </c>
      <c r="V37" s="65">
        <f>$F37*$P37</f>
        <v/>
      </c>
      <c r="W37" s="65">
        <f>$F37*$Q37</f>
        <v/>
      </c>
      <c r="X37" s="78">
        <f>$F37*R37</f>
        <v/>
      </c>
      <c r="Y37" s="78">
        <f>$F37*S37</f>
        <v/>
      </c>
      <c r="Z37" s="78">
        <f>$F37*T37</f>
        <v/>
      </c>
      <c r="AA37" s="78">
        <f>$F37*U37</f>
        <v/>
      </c>
      <c r="AB37" s="78">
        <f>(BSPrice($B37*0.8,$J37, $K37, $C37, ($I37-$B$1)/365, $G37, $H37, $D37) - BSPrice($B37,$J37, $K37, $C37, ($I37-$B$1)/365, $G37, $H37, $D37)) * $F37</f>
        <v/>
      </c>
      <c r="AC37" s="78">
        <f>(BSPrice($B37*0.9,$J37, $K37, $C37, ($I37-$B$1)/365, $G37, $H37, $D37) - BSPrice($B37,$J37, $K37, $C37, ($I37-$B$1)/365, $G37, $H37, $D37)) * $F37</f>
        <v/>
      </c>
      <c r="AD37" s="78">
        <f>(BSPrice($B37*0.95,$J37, $K37, $C37, ($I37-$B$1)/365, $G37, $H37, $D37) - BSPrice($B37,$J37, $K37, $C37, ($I37-$B$1)/365, $G37, $H37, $D37)) * $F37</f>
        <v/>
      </c>
      <c r="AE37" s="78">
        <f>(BSPrice($B37*0.98,$J37, $K37, $C37, ($I37-$B$1)/365, $G37, $H37, $D37) - BSPrice($B37,$J37, $K37, $C37, ($I37-$B$1)/365, $G37, $H37, $D37)) * $F37</f>
        <v/>
      </c>
      <c r="AF37" s="78">
        <f>(BSPrice($B37*1.02,$J37, $K37, $C37, ($I37-$B$1)/365, $G37, $H37, $D37) - BSPrice($B37,$J37, $K37, $C37, ($I37-$B$1)/365, $G37, $H37, $D37)) * $F37</f>
        <v/>
      </c>
      <c r="AG37" s="78">
        <f>(BSPrice($B37*1.05,$J37, $K37, $C37, ($I37-$B$1)/365, $G37, $H37, $D37) - BSPrice($B37,$J37, $K37, $C37, ($I37-$B$1)/365, $G37, $H37, $D37)) * $F37</f>
        <v/>
      </c>
      <c r="AH37" s="78">
        <f>(BSPrice($B37*1.1,$J37, $K37, $C37, ($I37-$B$1)/365, $G37, $H37, $D37) - BSPrice($B37,$J37, $K37, $C37, ($I37-$B$1)/365, $G37, $H37, $D37)) * $F37</f>
        <v/>
      </c>
      <c r="AI37" s="78">
        <f>(BSPrice($B37*1.2,$J37, $K37, $C37, ($I37-$B$1)/365, $G37, $H37, $D37) - BSPrice($B37,$J37, $K37, $C37, ($I37-$B$1)/365, $G37, $H37, $D37)) * $F37</f>
        <v/>
      </c>
      <c r="AJ37" s="78">
        <f>(BSPrice($B37,$J37-0.1, $K37, $C37, ($I37-$B$1)/365, $G37, $H37, $D37) - BSPrice($B37,$J37, $K37, $C37, ($I37-$B$1)/365, $G37, $H37, $D37)) * $F37</f>
        <v/>
      </c>
      <c r="AK37" s="78">
        <f>(BSPrice($B37,$J37-0.05,$K37,$C37,($I37-$B$1)/365,$G37,$H37,$D37)-BSPrice($B37,$J37,$K37,$C37,($I37-$B$1)/365,$G37,$H37,$D37))*$F37</f>
        <v/>
      </c>
      <c r="AL37" s="78">
        <f>(BSPrice($B37,$J37-0.02, $K37, $C37, ($I37-$B$1)/365, $G37, $H37, $D37) - BSPrice($B37,$J37, $K37, $C37, ($I37-$B$1)/365, $G37, $H37, $D37)) * $F37</f>
        <v/>
      </c>
      <c r="AM37" s="78">
        <f>(BSPrice($B37,$J37-0.01, $K37, $C37, ($I37-$B$1)/365, $G37, $H37, $D37) - BSPrice($B37,$J37, $K37, $C37, ($I37-$B$1)/365, $G37, $H37, $D37)) * $F37</f>
        <v/>
      </c>
      <c r="AN37" s="78">
        <f>(BSPrice($B37,$J37+0.01, $K37, $C37, ($I37-$B$1)/365, $G37, $H37, $D37) - BSPrice($B37,$J37, $K37, $C37, ($I37-$B$1)/365, $G37, $H37, $D37)) * $F37</f>
        <v/>
      </c>
      <c r="AO37" s="78">
        <f>(BSPrice($B37,$J37+0.02, $K37, $C37, ($I37-$B$1)/365, $G37, $H37, $D37) - BSPrice($B37,$J37, $K37, $C37, ($I37-$B$1)/365, $G37, $H37, $D37)) * $F37</f>
        <v/>
      </c>
      <c r="AP37" s="78">
        <f>(BSPrice($B37,$J37+0.05, $K37, $C37, ($I37-$B$1)/365, $G37, $H37, $D37) - BSPrice($B37,$J37, $K37, $C37, ($I37-$B$1)/365, $G37, $H37, $D37)) * $F37</f>
        <v/>
      </c>
      <c r="AQ37" s="78">
        <f>(BSPrice($B37,$J37+0.1, $K37, $C37, ($I37-$B$1)/365, $G37, $H37, $D37) - BSPrice($B37,$J37, $K37, $C37, ($I37-$B$1)/365, $G37, $H37, $D37)) * $F37</f>
        <v/>
      </c>
      <c r="AR37" s="60">
        <f>(BSPrice($B37*0.8,$J37+-0.05, $K37, $C37, ($I37-$B$1)/365, $G37, $H37, $D37) - BSPrice($B37,$J37, $K37, $C37, ($I37-$B$1)/365, $G37, $H37, $D37)) * $F37</f>
        <v/>
      </c>
      <c r="AS37" s="60">
        <f>(BSPrice($B37*0.8,$J37+-0.02, $K37, $C37, ($I37-$B$1)/365, $G37, $H37, $D37) - BSPrice($B37,$J37, $K37, $C37, ($I37-$B$1)/365, $G37, $H37, $D37)) * $F37</f>
        <v/>
      </c>
      <c r="AT37" s="60">
        <f>(BSPrice($B37*0.8,$J37+0, $K37, $C37, ($I37-$B$1)/365, $G37, $H37, $D37) - BSPrice($B37,$J37, $K37, $C37, ($I37-$B$1)/365, $G37, $H37, $D37)) * $F37</f>
        <v/>
      </c>
      <c r="AU37" s="60">
        <f>(BSPrice($B37*0.8,$J37+0.02, $K37, $C37, ($I37-$B$1)/365, $G37, $H37, $D37) - BSPrice($B37,$J37, $K37, $C37, ($I37-$B$1)/365, $G37, $H37, $D37)) * $F37</f>
        <v/>
      </c>
      <c r="AV37" s="60">
        <f>(BSPrice($B37*0.8,$J37+0.05, $K37, $C37, ($I37-$B$1)/365, $G37, $H37, $D37) - BSPrice($B37,$J37, $K37, $C37, ($I37-$B$1)/365, $G37, $H37, $D37)) * $F37</f>
        <v/>
      </c>
      <c r="AW37" s="60">
        <f>(BSPrice($B37*0.8,$J37+0.1, $K37, $C37, ($I37-$B$1)/365, $G37, $H37, $D37) - BSPrice($B37,$J37, $K37, $C37, ($I37-$B$1)/365, $G37, $H37, $D37)) * $F37</f>
        <v/>
      </c>
      <c r="AX37" s="60">
        <f>(BSPrice($B37*0.8,$J37+0.2, $K37, $C37, ($I37-$B$1)/365, $G37, $H37, $D37) - BSPrice($B37,$J37, $K37, $C37, ($I37-$B$1)/365, $G37, $H37, $D37)) * $F37</f>
        <v/>
      </c>
      <c r="AY37" s="60">
        <f>(BSPrice($B37*0.9,$J37+-0.05, $K37, $C37, ($I37-$B$1)/365, $G37, $H37, $D37) - BSPrice($B37,$J37, $K37, $C37, ($I37-$B$1)/365, $G37, $H37, $D37)) * $F37</f>
        <v/>
      </c>
      <c r="AZ37" s="60">
        <f>(BSPrice($B37*0.9,$J37+-0.02, $K37, $C37, ($I37-$B$1)/365, $G37, $H37, $D37) - BSPrice($B37,$J37, $K37, $C37, ($I37-$B$1)/365, $G37, $H37, $D37)) * $F37</f>
        <v/>
      </c>
      <c r="BA37" s="60">
        <f>(BSPrice($B37*0.9,$J37+0, $K37, $C37, ($I37-$B$1)/365, $G37, $H37, $D37) - BSPrice($B37,$J37, $K37, $C37, ($I37-$B$1)/365, $G37, $H37, $D37)) * $F37</f>
        <v/>
      </c>
      <c r="BB37" s="60">
        <f>(BSPrice($B37*0.9,$J37+0.02, $K37, $C37, ($I37-$B$1)/365, $G37, $H37, $D37) - BSPrice($B37,$J37, $K37, $C37, ($I37-$B$1)/365, $G37, $H37, $D37)) * $F37</f>
        <v/>
      </c>
      <c r="BC37" s="60">
        <f>(BSPrice($B37*0.9,$J37+0.05, $K37, $C37, ($I37-$B$1)/365, $G37, $H37, $D37) - BSPrice($B37,$J37, $K37, $C37, ($I37-$B$1)/365, $G37, $H37, $D37)) * $F37</f>
        <v/>
      </c>
      <c r="BD37" s="60">
        <f>(BSPrice($B37*0.9,$J37+0.1, $K37, $C37, ($I37-$B$1)/365, $G37, $H37, $D37) - BSPrice($B37,$J37, $K37, $C37, ($I37-$B$1)/365, $G37, $H37, $D37)) * $F37</f>
        <v/>
      </c>
      <c r="BE37" s="60">
        <f>(BSPrice($B37*0.9,$J37+0.2, $K37, $C37, ($I37-$B$1)/365, $G37, $H37, $D37) - BSPrice($B37,$J37, $K37, $C37, ($I37-$B$1)/365, $G37, $H37, $D37)) * $F37</f>
        <v/>
      </c>
      <c r="BF37" s="60">
        <f>(BSPrice($B37*0.95,$J37+-0.05, $K37, $C37, ($I37-$B$1)/365, $G37, $H37, $D37) - BSPrice($B37,$J37, $K37, $C37, ($I37-$B$1)/365, $G37, $H37, $D37)) * $F37</f>
        <v/>
      </c>
      <c r="BG37" s="60">
        <f>(BSPrice($B37*0.95,$J37+-0.02, $K37, $C37, ($I37-$B$1)/365, $G37, $H37, $D37) - BSPrice($B37,$J37, $K37, $C37, ($I37-$B$1)/365, $G37, $H37, $D37)) * $F37</f>
        <v/>
      </c>
      <c r="BH37" s="60">
        <f>(BSPrice($B37*0.95,$J37+0, $K37, $C37, ($I37-$B$1)/365, $G37, $H37, $D37) - BSPrice($B37,$J37, $K37, $C37, ($I37-$B$1)/365, $G37, $H37, $D37)) * $F37</f>
        <v/>
      </c>
      <c r="BI37" s="60">
        <f>(BSPrice($B37*0.95,$J37+0.02, $K37, $C37, ($I37-$B$1)/365, $G37, $H37, $D37) - BSPrice($B37,$J37, $K37, $C37, ($I37-$B$1)/365, $G37, $H37, $D37)) * $F37</f>
        <v/>
      </c>
      <c r="BJ37" s="60">
        <f>(BSPrice($B37*0.95,$J37+0.05, $K37, $C37, ($I37-$B$1)/365, $G37, $H37, $D37) - BSPrice($B37,$J37, $K37, $C37, ($I37-$B$1)/365, $G37, $H37, $D37)) * $F37</f>
        <v/>
      </c>
      <c r="BK37" s="60">
        <f>(BSPrice($B37*0.95,$J37+0.1, $K37, $C37, ($I37-$B$1)/365, $G37, $H37, $D37) - BSPrice($B37,$J37, $K37, $C37, ($I37-$B$1)/365, $G37, $H37, $D37)) * $F37</f>
        <v/>
      </c>
      <c r="BL37" s="60">
        <f>(BSPrice($B37*0.95,$J37+0.2, $K37, $C37, ($I37-$B$1)/365, $G37, $H37, $D37) - BSPrice($B37,$J37, $K37, $C37, ($I37-$B$1)/365, $G37, $H37, $D37)) * $F37</f>
        <v/>
      </c>
      <c r="BM37" s="60">
        <f>(BSPrice($B37*1,$J37+-0.05, $K37, $C37, ($I37-$B$1)/365, $G37, $H37, $D37) - BSPrice($B37,$J37, $K37, $C37, ($I37-$B$1)/365, $G37, $H37, $D37)) * $F37</f>
        <v/>
      </c>
      <c r="BN37" s="60">
        <f>(BSPrice($B37*1,$J37+-0.02, $K37, $C37, ($I37-$B$1)/365, $G37, $H37, $D37) - BSPrice($B37,$J37, $K37, $C37, ($I37-$B$1)/365, $G37, $H37, $D37)) * $F37</f>
        <v/>
      </c>
      <c r="BO37" s="60">
        <f>(BSPrice($B37*1,$J37+0, $K37, $C37, ($I37-$B$1)/365, $G37, $H37, $D37) - BSPrice($B37,$J37, $K37, $C37, ($I37-$B$1)/365, $G37, $H37, $D37)) * $F37</f>
        <v/>
      </c>
      <c r="BP37" s="60">
        <f>(BSPrice($B37*1,$J37+0.02, $K37, $C37, ($I37-$B$1)/365, $G37, $H37, $D37) - BSPrice($B37,$J37, $K37, $C37, ($I37-$B$1)/365, $G37, $H37, $D37)) * $F37</f>
        <v/>
      </c>
      <c r="BQ37" s="60">
        <f>(BSPrice($B37*1,$J37+0.05, $K37, $C37, ($I37-$B$1)/365, $G37, $H37, $D37) - BSPrice($B37,$J37, $K37, $C37, ($I37-$B$1)/365, $G37, $H37, $D37)) * $F37</f>
        <v/>
      </c>
      <c r="BR37" s="60">
        <f>(BSPrice($B37*1,$J37+0.1, $K37, $C37, ($I37-$B$1)/365, $G37, $H37, $D37) - BSPrice($B37,$J37, $K37, $C37, ($I37-$B$1)/365, $G37, $H37, $D37)) * $F37</f>
        <v/>
      </c>
      <c r="BS37" s="60">
        <f>(BSPrice($B37*1,$J37+0.2, $K37, $C37, ($I37-$B$1)/365, $G37, $H37, $D37) - BSPrice($B37,$J37, $K37, $C37, ($I37-$B$1)/365, $G37, $H37, $D37)) * $F37</f>
        <v/>
      </c>
      <c r="BT37" s="60">
        <f>(BSPrice($B37*1.05,$J37+-0.05, $K37, $C37, ($I37-$B$1)/365, $G37, $H37, $D37) - BSPrice($B37,$J37, $K37, $C37, ($I37-$B$1)/365, $G37, $H37, $D37)) * $F37</f>
        <v/>
      </c>
      <c r="BU37" s="60">
        <f>(BSPrice($B37*1.05,$J37+-0.02, $K37, $C37, ($I37-$B$1)/365, $G37, $H37, $D37) - BSPrice($B37,$J37, $K37, $C37, ($I37-$B$1)/365, $G37, $H37, $D37)) * $F37</f>
        <v/>
      </c>
      <c r="BV37" s="60">
        <f>(BSPrice($B37*1.05,$J37+0, $K37, $C37, ($I37-$B$1)/365, $G37, $H37, $D37) - BSPrice($B37,$J37, $K37, $C37, ($I37-$B$1)/365, $G37, $H37, $D37)) * $F37</f>
        <v/>
      </c>
      <c r="BW37" s="60">
        <f>(BSPrice($B37*1.05,$J37+0.02, $K37, $C37, ($I37-$B$1)/365, $G37, $H37, $D37) - BSPrice($B37,$J37, $K37, $C37, ($I37-$B$1)/365, $G37, $H37, $D37)) * $F37</f>
        <v/>
      </c>
      <c r="BX37" s="60">
        <f>(BSPrice($B37*1.05,$J37+0.05, $K37, $C37, ($I37-$B$1)/365, $G37, $H37, $D37) - BSPrice($B37,$J37, $K37, $C37, ($I37-$B$1)/365, $G37, $H37, $D37)) * $F37</f>
        <v/>
      </c>
      <c r="BY37" s="60">
        <f>(BSPrice($B37*1.05,$J37+0.1, $K37, $C37, ($I37-$B$1)/365, $G37, $H37, $D37) - BSPrice($B37,$J37, $K37, $C37, ($I37-$B$1)/365, $G37, $H37, $D37)) * $F37</f>
        <v/>
      </c>
      <c r="BZ37" s="60">
        <f>(BSPrice($B37*1.05,$J37+0.2, $K37, $C37, ($I37-$B$1)/365, $G37, $H37, $D37) - BSPrice($B37,$J37, $K37, $C37, ($I37-$B$1)/365, $G37, $H37, $D37)) * $F37</f>
        <v/>
      </c>
      <c r="CA37" s="60">
        <f>(BSPrice($B37*1.1,$J37+-0.05, $K37, $C37, ($I37-$B$1)/365, $G37, $H37, $D37) - BSPrice($B37,$J37, $K37, $C37, ($I37-$B$1)/365, $G37, $H37, $D37)) * $F37</f>
        <v/>
      </c>
      <c r="CB37" s="60">
        <f>(BSPrice($B37*1.1,$J37+-0.02, $K37, $C37, ($I37-$B$1)/365, $G37, $H37, $D37) - BSPrice($B37,$J37, $K37, $C37, ($I37-$B$1)/365, $G37, $H37, $D37)) * $F37</f>
        <v/>
      </c>
      <c r="CC37" s="60">
        <f>(BSPrice($B37*1.1,$J37+0, $K37, $C37, ($I37-$B$1)/365, $G37, $H37, $D37) - BSPrice($B37,$J37, $K37, $C37, ($I37-$B$1)/365, $G37, $H37, $D37)) * $F37</f>
        <v/>
      </c>
      <c r="CD37" s="60">
        <f>(BSPrice($B37*1.1,$J37+0.02, $K37, $C37, ($I37-$B$1)/365, $G37, $H37, $D37) - BSPrice($B37,$J37, $K37, $C37, ($I37-$B$1)/365, $G37, $H37, $D37)) * $F37</f>
        <v/>
      </c>
      <c r="CE37" s="60">
        <f>(BSPrice($B37*1.1,$J37+0.05, $K37, $C37, ($I37-$B$1)/365, $G37, $H37, $D37) - BSPrice($B37,$J37, $K37, $C37, ($I37-$B$1)/365, $G37, $H37, $D37)) * $F37</f>
        <v/>
      </c>
      <c r="CF37" s="60">
        <f>(BSPrice($B37*1.1,$J37+0.1, $K37, $C37, ($I37-$B$1)/365, $G37, $H37, $D37) - BSPrice($B37,$J37, $K37, $C37, ($I37-$B$1)/365, $G37, $H37, $D37)) * $F37</f>
        <v/>
      </c>
      <c r="CG37" s="60">
        <f>(BSPrice($B37*1.1,$J37+0.2, $K37, $C37, ($I37-$B$1)/365, $G37, $H37, $D37) - BSPrice($B37,$J37, $K37, $C37, ($I37-$B$1)/365, $G37, $H37, $D37)) * $F37</f>
        <v/>
      </c>
      <c r="CH37" s="60">
        <f>(BSPrice($B37*1.2,$J37+-0.05, $K37, $C37, ($I37-$B$1)/365, $G37, $H37, $D37) - BSPrice($B37,$J37, $K37, $C37, ($I37-$B$1)/365, $G37, $H37, $D37)) * $F37</f>
        <v/>
      </c>
      <c r="CI37" s="60">
        <f>(BSPrice($B37*1.2,$J37+-0.02, $K37, $C37, ($I37-$B$1)/365, $G37, $H37, $D37) - BSPrice($B37,$J37, $K37, $C37, ($I37-$B$1)/365, $G37, $H37, $D37)) * $F37</f>
        <v/>
      </c>
      <c r="CJ37" s="60">
        <f>(BSPrice($B37*1.2,$J37+0, $K37, $C37, ($I37-$B$1)/365, $G37, $H37, $D37) - BSPrice($B37,$J37, $K37, $C37, ($I37-$B$1)/365, $G37, $H37, $D37)) * $F37</f>
        <v/>
      </c>
      <c r="CK37" s="60">
        <f>(BSPrice($B37*1.2,$J37+0.02, $K37, $C37, ($I37-$B$1)/365, $G37, $H37, $D37) - BSPrice($B37,$J37, $K37, $C37, ($I37-$B$1)/365, $G37, $H37, $D37)) * $F37</f>
        <v/>
      </c>
      <c r="CL37" s="60">
        <f>(BSPrice($B37*1.2,$J37+0.05, $K37, $C37, ($I37-$B$1)/365, $G37, $H37, $D37) - BSPrice($B37,$J37, $K37, $C37, ($I37-$B$1)/365, $G37, $H37, $D37)) * $F37</f>
        <v/>
      </c>
      <c r="CM37" s="60">
        <f>(BSPrice($B37*1.2,$J37+0.1, $K37, $C37, ($I37-$B$1)/365, $G37, $H37, $D37) - BSPrice($B37,$J37, $K37, $C37, ($I37-$B$1)/365, $G37, $H37, $D37)) * $F37</f>
        <v/>
      </c>
      <c r="CN37" s="60">
        <f>(BSPrice($B37*1.2,$J37+0.2, $K37, $C37, ($I37-$B$1)/365, $G37, $H37, $D37) - BSPrice($B37,$J37, $K37, $C37, ($I37-$B$1)/365, $G37, $H37, $D37)) * $F37</f>
        <v/>
      </c>
    </row>
    <row r="38">
      <c r="A38" s="3" t="inlineStr">
        <is>
          <t>SX5E Index</t>
        </is>
      </c>
      <c r="B38" s="4">
        <f>VLOOKUP(A38,PriceData!$K$4:$L$6,2,FALSE)</f>
        <v/>
      </c>
      <c r="C38" s="46">
        <f>VLOOKUP(A38,PriceData!$K$4:$M$6,3,FALSE)</f>
        <v/>
      </c>
      <c r="D38" s="4" t="inlineStr">
        <is>
          <t>Option</t>
        </is>
      </c>
      <c r="E38" s="4" t="inlineStr">
        <is>
          <t>EUR</t>
        </is>
      </c>
      <c r="F38" s="4" t="n">
        <v>-25</v>
      </c>
      <c r="G38" s="4" t="n">
        <v>2556</v>
      </c>
      <c r="H38" s="4" t="inlineStr">
        <is>
          <t>Put</t>
        </is>
      </c>
      <c r="I38" s="5" t="n">
        <v>40256</v>
      </c>
      <c r="J38" s="46">
        <f>FindImpliedVol(A38, D38, G38, I38)</f>
        <v/>
      </c>
      <c r="K38" s="30">
        <f>VLOOKUP(I38,PriceData!$A$5:$D$7,MATCH($E38,PriceData!$A$4:$D$4,0),FALSE)</f>
        <v/>
      </c>
      <c r="L38" s="2">
        <f>BSPrice($B38,$J38, $K38, $C38, ($I38-$B$1)/365, $G38, $H38, $D38)</f>
        <v/>
      </c>
      <c r="M38" s="2">
        <f>F38*L38</f>
        <v/>
      </c>
      <c r="N38" s="4" t="inlineStr">
        <is>
          <t>Exch</t>
        </is>
      </c>
      <c r="P38" s="60">
        <f>BSDelta(B38, J38, K38, C38, (I38-$B$1)/365, G38, H38, D38)</f>
        <v/>
      </c>
      <c r="Q38" s="60">
        <f>BSGamma(B38, J38, K38, C38, (I38-$B$1)/365, G38, D38)</f>
        <v/>
      </c>
      <c r="R38" s="58">
        <f>BSVega(B38, J38, K38, C38, (I38-$B$1)/365,G38, D38)</f>
        <v/>
      </c>
      <c r="S38" s="58">
        <f>BSVolga(B38, J38, K38, C38, (I38-$B$1)/365,G38, D38)</f>
        <v/>
      </c>
      <c r="T38" s="58">
        <f>BSVanna(B38,J38,K38, C38, (I38-$B$1)/365, G38, D38)</f>
        <v/>
      </c>
      <c r="U38" s="2">
        <f>BSRho(B38, J38, K38, C38, (I38-$B$1)/365, G38, H38, D38)</f>
        <v/>
      </c>
      <c r="V38" s="65">
        <f>$F38*$P38</f>
        <v/>
      </c>
      <c r="W38" s="65">
        <f>$F38*$Q38</f>
        <v/>
      </c>
      <c r="X38" s="78">
        <f>$F38*R38</f>
        <v/>
      </c>
      <c r="Y38" s="78">
        <f>$F38*S38</f>
        <v/>
      </c>
      <c r="Z38" s="78">
        <f>$F38*T38</f>
        <v/>
      </c>
      <c r="AA38" s="78">
        <f>$F38*U38</f>
        <v/>
      </c>
      <c r="AB38" s="78">
        <f>(BSPrice($B38*0.8,$J38, $K38, $C38, ($I38-$B$1)/365, $G38, $H38, $D38) - BSPrice($B38,$J38, $K38, $C38, ($I38-$B$1)/365, $G38, $H38, $D38)) * $F38</f>
        <v/>
      </c>
      <c r="AC38" s="78">
        <f>(BSPrice($B38*0.9,$J38, $K38, $C38, ($I38-$B$1)/365, $G38, $H38, $D38) - BSPrice($B38,$J38, $K38, $C38, ($I38-$B$1)/365, $G38, $H38, $D38)) * $F38</f>
        <v/>
      </c>
      <c r="AD38" s="78">
        <f>(BSPrice($B38*0.95,$J38, $K38, $C38, ($I38-$B$1)/365, $G38, $H38, $D38) - BSPrice($B38,$J38, $K38, $C38, ($I38-$B$1)/365, $G38, $H38, $D38)) * $F38</f>
        <v/>
      </c>
      <c r="AE38" s="78">
        <f>(BSPrice($B38*0.98,$J38, $K38, $C38, ($I38-$B$1)/365, $G38, $H38, $D38) - BSPrice($B38,$J38, $K38, $C38, ($I38-$B$1)/365, $G38, $H38, $D38)) * $F38</f>
        <v/>
      </c>
      <c r="AF38" s="78">
        <f>(BSPrice($B38*1.02,$J38, $K38, $C38, ($I38-$B$1)/365, $G38, $H38, $D38) - BSPrice($B38,$J38, $K38, $C38, ($I38-$B$1)/365, $G38, $H38, $D38)) * $F38</f>
        <v/>
      </c>
      <c r="AG38" s="78">
        <f>(BSPrice($B38*1.05,$J38, $K38, $C38, ($I38-$B$1)/365, $G38, $H38, $D38) - BSPrice($B38,$J38, $K38, $C38, ($I38-$B$1)/365, $G38, $H38, $D38)) * $F38</f>
        <v/>
      </c>
      <c r="AH38" s="78">
        <f>(BSPrice($B38*1.1,$J38, $K38, $C38, ($I38-$B$1)/365, $G38, $H38, $D38) - BSPrice($B38,$J38, $K38, $C38, ($I38-$B$1)/365, $G38, $H38, $D38)) * $F38</f>
        <v/>
      </c>
      <c r="AI38" s="78">
        <f>(BSPrice($B38*1.2,$J38, $K38, $C38, ($I38-$B$1)/365, $G38, $H38, $D38) - BSPrice($B38,$J38, $K38, $C38, ($I38-$B$1)/365, $G38, $H38, $D38)) * $F38</f>
        <v/>
      </c>
      <c r="AJ38" s="78">
        <f>(BSPrice($B38,$J38-0.1, $K38, $C38, ($I38-$B$1)/365, $G38, $H38, $D38) - BSPrice($B38,$J38, $K38, $C38, ($I38-$B$1)/365, $G38, $H38, $D38)) * $F38</f>
        <v/>
      </c>
      <c r="AK38" s="78">
        <f>(BSPrice($B38,$J38-0.05,$K38,$C38,($I38-$B$1)/365,$G38,$H38,$D38)-BSPrice($B38,$J38,$K38,$C38,($I38-$B$1)/365,$G38,$H38,$D38))*$F38</f>
        <v/>
      </c>
      <c r="AL38" s="78">
        <f>(BSPrice($B38,$J38-0.02, $K38, $C38, ($I38-$B$1)/365, $G38, $H38, $D38) - BSPrice($B38,$J38, $K38, $C38, ($I38-$B$1)/365, $G38, $H38, $D38)) * $F38</f>
        <v/>
      </c>
      <c r="AM38" s="78">
        <f>(BSPrice($B38,$J38-0.01, $K38, $C38, ($I38-$B$1)/365, $G38, $H38, $D38) - BSPrice($B38,$J38, $K38, $C38, ($I38-$B$1)/365, $G38, $H38, $D38)) * $F38</f>
        <v/>
      </c>
      <c r="AN38" s="78">
        <f>(BSPrice($B38,$J38+0.01, $K38, $C38, ($I38-$B$1)/365, $G38, $H38, $D38) - BSPrice($B38,$J38, $K38, $C38, ($I38-$B$1)/365, $G38, $H38, $D38)) * $F38</f>
        <v/>
      </c>
      <c r="AO38" s="78">
        <f>(BSPrice($B38,$J38+0.02, $K38, $C38, ($I38-$B$1)/365, $G38, $H38, $D38) - BSPrice($B38,$J38, $K38, $C38, ($I38-$B$1)/365, $G38, $H38, $D38)) * $F38</f>
        <v/>
      </c>
      <c r="AP38" s="78">
        <f>(BSPrice($B38,$J38+0.05, $K38, $C38, ($I38-$B$1)/365, $G38, $H38, $D38) - BSPrice($B38,$J38, $K38, $C38, ($I38-$B$1)/365, $G38, $H38, $D38)) * $F38</f>
        <v/>
      </c>
      <c r="AQ38" s="78">
        <f>(BSPrice($B38,$J38+0.1, $K38, $C38, ($I38-$B$1)/365, $G38, $H38, $D38) - BSPrice($B38,$J38, $K38, $C38, ($I38-$B$1)/365, $G38, $H38, $D38)) * $F38</f>
        <v/>
      </c>
      <c r="AR38" s="60">
        <f>(BSPrice($B38*0.8,$J38+-0.05, $K38, $C38, ($I38-$B$1)/365, $G38, $H38, $D38) - BSPrice($B38,$J38, $K38, $C38, ($I38-$B$1)/365, $G38, $H38, $D38)) * $F38</f>
        <v/>
      </c>
      <c r="AS38" s="60">
        <f>(BSPrice($B38*0.8,$J38+-0.02, $K38, $C38, ($I38-$B$1)/365, $G38, $H38, $D38) - BSPrice($B38,$J38, $K38, $C38, ($I38-$B$1)/365, $G38, $H38, $D38)) * $F38</f>
        <v/>
      </c>
      <c r="AT38" s="60">
        <f>(BSPrice($B38*0.8,$J38+0, $K38, $C38, ($I38-$B$1)/365, $G38, $H38, $D38) - BSPrice($B38,$J38, $K38, $C38, ($I38-$B$1)/365, $G38, $H38, $D38)) * $F38</f>
        <v/>
      </c>
      <c r="AU38" s="60">
        <f>(BSPrice($B38*0.8,$J38+0.02, $K38, $C38, ($I38-$B$1)/365, $G38, $H38, $D38) - BSPrice($B38,$J38, $K38, $C38, ($I38-$B$1)/365, $G38, $H38, $D38)) * $F38</f>
        <v/>
      </c>
      <c r="AV38" s="60">
        <f>(BSPrice($B38*0.8,$J38+0.05, $K38, $C38, ($I38-$B$1)/365, $G38, $H38, $D38) - BSPrice($B38,$J38, $K38, $C38, ($I38-$B$1)/365, $G38, $H38, $D38)) * $F38</f>
        <v/>
      </c>
      <c r="AW38" s="60">
        <f>(BSPrice($B38*0.8,$J38+0.1, $K38, $C38, ($I38-$B$1)/365, $G38, $H38, $D38) - BSPrice($B38,$J38, $K38, $C38, ($I38-$B$1)/365, $G38, $H38, $D38)) * $F38</f>
        <v/>
      </c>
      <c r="AX38" s="60">
        <f>(BSPrice($B38*0.8,$J38+0.2, $K38, $C38, ($I38-$B$1)/365, $G38, $H38, $D38) - BSPrice($B38,$J38, $K38, $C38, ($I38-$B$1)/365, $G38, $H38, $D38)) * $F38</f>
        <v/>
      </c>
      <c r="AY38" s="60">
        <f>(BSPrice($B38*0.9,$J38+-0.05, $K38, $C38, ($I38-$B$1)/365, $G38, $H38, $D38) - BSPrice($B38,$J38, $K38, $C38, ($I38-$B$1)/365, $G38, $H38, $D38)) * $F38</f>
        <v/>
      </c>
      <c r="AZ38" s="60">
        <f>(BSPrice($B38*0.9,$J38+-0.02, $K38, $C38, ($I38-$B$1)/365, $G38, $H38, $D38) - BSPrice($B38,$J38, $K38, $C38, ($I38-$B$1)/365, $G38, $H38, $D38)) * $F38</f>
        <v/>
      </c>
      <c r="BA38" s="60">
        <f>(BSPrice($B38*0.9,$J38+0, $K38, $C38, ($I38-$B$1)/365, $G38, $H38, $D38) - BSPrice($B38,$J38, $K38, $C38, ($I38-$B$1)/365, $G38, $H38, $D38)) * $F38</f>
        <v/>
      </c>
      <c r="BB38" s="60">
        <f>(BSPrice($B38*0.9,$J38+0.02, $K38, $C38, ($I38-$B$1)/365, $G38, $H38, $D38) - BSPrice($B38,$J38, $K38, $C38, ($I38-$B$1)/365, $G38, $H38, $D38)) * $F38</f>
        <v/>
      </c>
      <c r="BC38" s="60">
        <f>(BSPrice($B38*0.9,$J38+0.05, $K38, $C38, ($I38-$B$1)/365, $G38, $H38, $D38) - BSPrice($B38,$J38, $K38, $C38, ($I38-$B$1)/365, $G38, $H38, $D38)) * $F38</f>
        <v/>
      </c>
      <c r="BD38" s="60">
        <f>(BSPrice($B38*0.9,$J38+0.1, $K38, $C38, ($I38-$B$1)/365, $G38, $H38, $D38) - BSPrice($B38,$J38, $K38, $C38, ($I38-$B$1)/365, $G38, $H38, $D38)) * $F38</f>
        <v/>
      </c>
      <c r="BE38" s="60">
        <f>(BSPrice($B38*0.9,$J38+0.2, $K38, $C38, ($I38-$B$1)/365, $G38, $H38, $D38) - BSPrice($B38,$J38, $K38, $C38, ($I38-$B$1)/365, $G38, $H38, $D38)) * $F38</f>
        <v/>
      </c>
      <c r="BF38" s="60">
        <f>(BSPrice($B38*0.95,$J38+-0.05, $K38, $C38, ($I38-$B$1)/365, $G38, $H38, $D38) - BSPrice($B38,$J38, $K38, $C38, ($I38-$B$1)/365, $G38, $H38, $D38)) * $F38</f>
        <v/>
      </c>
      <c r="BG38" s="60">
        <f>(BSPrice($B38*0.95,$J38+-0.02, $K38, $C38, ($I38-$B$1)/365, $G38, $H38, $D38) - BSPrice($B38,$J38, $K38, $C38, ($I38-$B$1)/365, $G38, $H38, $D38)) * $F38</f>
        <v/>
      </c>
      <c r="BH38" s="60">
        <f>(BSPrice($B38*0.95,$J38+0, $K38, $C38, ($I38-$B$1)/365, $G38, $H38, $D38) - BSPrice($B38,$J38, $K38, $C38, ($I38-$B$1)/365, $G38, $H38, $D38)) * $F38</f>
        <v/>
      </c>
      <c r="BI38" s="60">
        <f>(BSPrice($B38*0.95,$J38+0.02, $K38, $C38, ($I38-$B$1)/365, $G38, $H38, $D38) - BSPrice($B38,$J38, $K38, $C38, ($I38-$B$1)/365, $G38, $H38, $D38)) * $F38</f>
        <v/>
      </c>
      <c r="BJ38" s="60">
        <f>(BSPrice($B38*0.95,$J38+0.05, $K38, $C38, ($I38-$B$1)/365, $G38, $H38, $D38) - BSPrice($B38,$J38, $K38, $C38, ($I38-$B$1)/365, $G38, $H38, $D38)) * $F38</f>
        <v/>
      </c>
      <c r="BK38" s="60">
        <f>(BSPrice($B38*0.95,$J38+0.1, $K38, $C38, ($I38-$B$1)/365, $G38, $H38, $D38) - BSPrice($B38,$J38, $K38, $C38, ($I38-$B$1)/365, $G38, $H38, $D38)) * $F38</f>
        <v/>
      </c>
      <c r="BL38" s="60">
        <f>(BSPrice($B38*0.95,$J38+0.2, $K38, $C38, ($I38-$B$1)/365, $G38, $H38, $D38) - BSPrice($B38,$J38, $K38, $C38, ($I38-$B$1)/365, $G38, $H38, $D38)) * $F38</f>
        <v/>
      </c>
      <c r="BM38" s="60">
        <f>(BSPrice($B38*1,$J38+-0.05, $K38, $C38, ($I38-$B$1)/365, $G38, $H38, $D38) - BSPrice($B38,$J38, $K38, $C38, ($I38-$B$1)/365, $G38, $H38, $D38)) * $F38</f>
        <v/>
      </c>
      <c r="BN38" s="60">
        <f>(BSPrice($B38*1,$J38+-0.02, $K38, $C38, ($I38-$B$1)/365, $G38, $H38, $D38) - BSPrice($B38,$J38, $K38, $C38, ($I38-$B$1)/365, $G38, $H38, $D38)) * $F38</f>
        <v/>
      </c>
      <c r="BO38" s="60">
        <f>(BSPrice($B38*1,$J38+0, $K38, $C38, ($I38-$B$1)/365, $G38, $H38, $D38) - BSPrice($B38,$J38, $K38, $C38, ($I38-$B$1)/365, $G38, $H38, $D38)) * $F38</f>
        <v/>
      </c>
      <c r="BP38" s="60">
        <f>(BSPrice($B38*1,$J38+0.02, $K38, $C38, ($I38-$B$1)/365, $G38, $H38, $D38) - BSPrice($B38,$J38, $K38, $C38, ($I38-$B$1)/365, $G38, $H38, $D38)) * $F38</f>
        <v/>
      </c>
      <c r="BQ38" s="60">
        <f>(BSPrice($B38*1,$J38+0.05, $K38, $C38, ($I38-$B$1)/365, $G38, $H38, $D38) - BSPrice($B38,$J38, $K38, $C38, ($I38-$B$1)/365, $G38, $H38, $D38)) * $F38</f>
        <v/>
      </c>
      <c r="BR38" s="60">
        <f>(BSPrice($B38*1,$J38+0.1, $K38, $C38, ($I38-$B$1)/365, $G38, $H38, $D38) - BSPrice($B38,$J38, $K38, $C38, ($I38-$B$1)/365, $G38, $H38, $D38)) * $F38</f>
        <v/>
      </c>
      <c r="BS38" s="60">
        <f>(BSPrice($B38*1,$J38+0.2, $K38, $C38, ($I38-$B$1)/365, $G38, $H38, $D38) - BSPrice($B38,$J38, $K38, $C38, ($I38-$B$1)/365, $G38, $H38, $D38)) * $F38</f>
        <v/>
      </c>
      <c r="BT38" s="60">
        <f>(BSPrice($B38*1.05,$J38+-0.05, $K38, $C38, ($I38-$B$1)/365, $G38, $H38, $D38) - BSPrice($B38,$J38, $K38, $C38, ($I38-$B$1)/365, $G38, $H38, $D38)) * $F38</f>
        <v/>
      </c>
      <c r="BU38" s="60">
        <f>(BSPrice($B38*1.05,$J38+-0.02, $K38, $C38, ($I38-$B$1)/365, $G38, $H38, $D38) - BSPrice($B38,$J38, $K38, $C38, ($I38-$B$1)/365, $G38, $H38, $D38)) * $F38</f>
        <v/>
      </c>
      <c r="BV38" s="60">
        <f>(BSPrice($B38*1.05,$J38+0, $K38, $C38, ($I38-$B$1)/365, $G38, $H38, $D38) - BSPrice($B38,$J38, $K38, $C38, ($I38-$B$1)/365, $G38, $H38, $D38)) * $F38</f>
        <v/>
      </c>
      <c r="BW38" s="60">
        <f>(BSPrice($B38*1.05,$J38+0.02, $K38, $C38, ($I38-$B$1)/365, $G38, $H38, $D38) - BSPrice($B38,$J38, $K38, $C38, ($I38-$B$1)/365, $G38, $H38, $D38)) * $F38</f>
        <v/>
      </c>
      <c r="BX38" s="60">
        <f>(BSPrice($B38*1.05,$J38+0.05, $K38, $C38, ($I38-$B$1)/365, $G38, $H38, $D38) - BSPrice($B38,$J38, $K38, $C38, ($I38-$B$1)/365, $G38, $H38, $D38)) * $F38</f>
        <v/>
      </c>
      <c r="BY38" s="60">
        <f>(BSPrice($B38*1.05,$J38+0.1, $K38, $C38, ($I38-$B$1)/365, $G38, $H38, $D38) - BSPrice($B38,$J38, $K38, $C38, ($I38-$B$1)/365, $G38, $H38, $D38)) * $F38</f>
        <v/>
      </c>
      <c r="BZ38" s="60">
        <f>(BSPrice($B38*1.05,$J38+0.2, $K38, $C38, ($I38-$B$1)/365, $G38, $H38, $D38) - BSPrice($B38,$J38, $K38, $C38, ($I38-$B$1)/365, $G38, $H38, $D38)) * $F38</f>
        <v/>
      </c>
      <c r="CA38" s="60">
        <f>(BSPrice($B38*1.1,$J38+-0.05, $K38, $C38, ($I38-$B$1)/365, $G38, $H38, $D38) - BSPrice($B38,$J38, $K38, $C38, ($I38-$B$1)/365, $G38, $H38, $D38)) * $F38</f>
        <v/>
      </c>
      <c r="CB38" s="60">
        <f>(BSPrice($B38*1.1,$J38+-0.02, $K38, $C38, ($I38-$B$1)/365, $G38, $H38, $D38) - BSPrice($B38,$J38, $K38, $C38, ($I38-$B$1)/365, $G38, $H38, $D38)) * $F38</f>
        <v/>
      </c>
      <c r="CC38" s="60">
        <f>(BSPrice($B38*1.1,$J38+0, $K38, $C38, ($I38-$B$1)/365, $G38, $H38, $D38) - BSPrice($B38,$J38, $K38, $C38, ($I38-$B$1)/365, $G38, $H38, $D38)) * $F38</f>
        <v/>
      </c>
      <c r="CD38" s="60">
        <f>(BSPrice($B38*1.1,$J38+0.02, $K38, $C38, ($I38-$B$1)/365, $G38, $H38, $D38) - BSPrice($B38,$J38, $K38, $C38, ($I38-$B$1)/365, $G38, $H38, $D38)) * $F38</f>
        <v/>
      </c>
      <c r="CE38" s="60">
        <f>(BSPrice($B38*1.1,$J38+0.05, $K38, $C38, ($I38-$B$1)/365, $G38, $H38, $D38) - BSPrice($B38,$J38, $K38, $C38, ($I38-$B$1)/365, $G38, $H38, $D38)) * $F38</f>
        <v/>
      </c>
      <c r="CF38" s="60">
        <f>(BSPrice($B38*1.1,$J38+0.1, $K38, $C38, ($I38-$B$1)/365, $G38, $H38, $D38) - BSPrice($B38,$J38, $K38, $C38, ($I38-$B$1)/365, $G38, $H38, $D38)) * $F38</f>
        <v/>
      </c>
      <c r="CG38" s="60">
        <f>(BSPrice($B38*1.1,$J38+0.2, $K38, $C38, ($I38-$B$1)/365, $G38, $H38, $D38) - BSPrice($B38,$J38, $K38, $C38, ($I38-$B$1)/365, $G38, $H38, $D38)) * $F38</f>
        <v/>
      </c>
      <c r="CH38" s="60">
        <f>(BSPrice($B38*1.2,$J38+-0.05, $K38, $C38, ($I38-$B$1)/365, $G38, $H38, $D38) - BSPrice($B38,$J38, $K38, $C38, ($I38-$B$1)/365, $G38, $H38, $D38)) * $F38</f>
        <v/>
      </c>
      <c r="CI38" s="60">
        <f>(BSPrice($B38*1.2,$J38+-0.02, $K38, $C38, ($I38-$B$1)/365, $G38, $H38, $D38) - BSPrice($B38,$J38, $K38, $C38, ($I38-$B$1)/365, $G38, $H38, $D38)) * $F38</f>
        <v/>
      </c>
      <c r="CJ38" s="60">
        <f>(BSPrice($B38*1.2,$J38+0, $K38, $C38, ($I38-$B$1)/365, $G38, $H38, $D38) - BSPrice($B38,$J38, $K38, $C38, ($I38-$B$1)/365, $G38, $H38, $D38)) * $F38</f>
        <v/>
      </c>
      <c r="CK38" s="60">
        <f>(BSPrice($B38*1.2,$J38+0.02, $K38, $C38, ($I38-$B$1)/365, $G38, $H38, $D38) - BSPrice($B38,$J38, $K38, $C38, ($I38-$B$1)/365, $G38, $H38, $D38)) * $F38</f>
        <v/>
      </c>
      <c r="CL38" s="60">
        <f>(BSPrice($B38*1.2,$J38+0.05, $K38, $C38, ($I38-$B$1)/365, $G38, $H38, $D38) - BSPrice($B38,$J38, $K38, $C38, ($I38-$B$1)/365, $G38, $H38, $D38)) * $F38</f>
        <v/>
      </c>
      <c r="CM38" s="60">
        <f>(BSPrice($B38*1.2,$J38+0.1, $K38, $C38, ($I38-$B$1)/365, $G38, $H38, $D38) - BSPrice($B38,$J38, $K38, $C38, ($I38-$B$1)/365, $G38, $H38, $D38)) * $F38</f>
        <v/>
      </c>
      <c r="CN38" s="60">
        <f>(BSPrice($B38*1.2,$J38+0.2, $K38, $C38, ($I38-$B$1)/365, $G38, $H38, $D38) - BSPrice($B38,$J38, $K38, $C38, ($I38-$B$1)/365, $G38, $H38, $D38)) * $F38</f>
        <v/>
      </c>
    </row>
    <row r="39">
      <c r="A39" s="3" t="inlineStr">
        <is>
          <t>SX5E Index</t>
        </is>
      </c>
      <c r="B39" s="4">
        <f>VLOOKUP(A39,PriceData!$K$4:$L$6,2,FALSE)</f>
        <v/>
      </c>
      <c r="C39" s="46">
        <f>VLOOKUP(A39,PriceData!$K$4:$M$6,3,FALSE)</f>
        <v/>
      </c>
      <c r="D39" s="4" t="inlineStr">
        <is>
          <t>Option</t>
        </is>
      </c>
      <c r="E39" s="4" t="inlineStr">
        <is>
          <t>EUR</t>
        </is>
      </c>
      <c r="F39" s="4" t="n">
        <v>-50</v>
      </c>
      <c r="G39" s="4" t="n">
        <v>3079</v>
      </c>
      <c r="H39" s="4" t="inlineStr">
        <is>
          <t>Call</t>
        </is>
      </c>
      <c r="I39" s="5" t="n">
        <v>40256</v>
      </c>
      <c r="J39" s="46">
        <f>FindImpliedVol(A39, D39, G39, I39)</f>
        <v/>
      </c>
      <c r="K39" s="30">
        <f>VLOOKUP(I39,PriceData!$A$5:$D$7,MATCH($E39,PriceData!$A$4:$D$4,0),FALSE)</f>
        <v/>
      </c>
      <c r="L39" s="2">
        <f>BSPrice($B39,$J39, $K39, $C39, ($I39-$B$1)/365, $G39, $H39, $D39)</f>
        <v/>
      </c>
      <c r="M39" s="2">
        <f>F39*L39</f>
        <v/>
      </c>
      <c r="N39" s="4" t="inlineStr">
        <is>
          <t>GoldMine Sacks</t>
        </is>
      </c>
      <c r="P39" s="60">
        <f>BSDelta(B39, J39, K39, C39, (I39-$B$1)/365, G39, H39, D39)</f>
        <v/>
      </c>
      <c r="Q39" s="60">
        <f>BSGamma(B39, J39, K39, C39, (I39-$B$1)/365, G39, D39)</f>
        <v/>
      </c>
      <c r="R39" s="58">
        <f>BSVega(B39, J39, K39, C39, (I39-$B$1)/365,G39, D39)</f>
        <v/>
      </c>
      <c r="S39" s="58">
        <f>BSVolga(B39, J39, K39, C39, (I39-$B$1)/365,G39, D39)</f>
        <v/>
      </c>
      <c r="T39" s="58">
        <f>BSVanna(B39,J39,K39, C39, (I39-$B$1)/365, G39, D39)</f>
        <v/>
      </c>
      <c r="U39" s="2">
        <f>BSRho(B39, J39, K39, C39, (I39-$B$1)/365, G39, H39, D39)</f>
        <v/>
      </c>
      <c r="V39" s="65">
        <f>$F39*$P39</f>
        <v/>
      </c>
      <c r="W39" s="65">
        <f>$F39*$Q39</f>
        <v/>
      </c>
      <c r="X39" s="78">
        <f>$F39*R39</f>
        <v/>
      </c>
      <c r="Y39" s="78">
        <f>$F39*S39</f>
        <v/>
      </c>
      <c r="Z39" s="78">
        <f>$F39*T39</f>
        <v/>
      </c>
      <c r="AA39" s="78">
        <f>$F39*U39</f>
        <v/>
      </c>
      <c r="AB39" s="78">
        <f>(BSPrice($B39*0.8,$J39, $K39, $C39, ($I39-$B$1)/365, $G39, $H39, $D39) - BSPrice($B39,$J39, $K39, $C39, ($I39-$B$1)/365, $G39, $H39, $D39)) * $F39</f>
        <v/>
      </c>
      <c r="AC39" s="78">
        <f>(BSPrice($B39*0.9,$J39, $K39, $C39, ($I39-$B$1)/365, $G39, $H39, $D39) - BSPrice($B39,$J39, $K39, $C39, ($I39-$B$1)/365, $G39, $H39, $D39)) * $F39</f>
        <v/>
      </c>
      <c r="AD39" s="78">
        <f>(BSPrice($B39*0.95,$J39, $K39, $C39, ($I39-$B$1)/365, $G39, $H39, $D39) - BSPrice($B39,$J39, $K39, $C39, ($I39-$B$1)/365, $G39, $H39, $D39)) * $F39</f>
        <v/>
      </c>
      <c r="AE39" s="78">
        <f>(BSPrice($B39*0.98,$J39, $K39, $C39, ($I39-$B$1)/365, $G39, $H39, $D39) - BSPrice($B39,$J39, $K39, $C39, ($I39-$B$1)/365, $G39, $H39, $D39)) * $F39</f>
        <v/>
      </c>
      <c r="AF39" s="78">
        <f>(BSPrice($B39*1.02,$J39, $K39, $C39, ($I39-$B$1)/365, $G39, $H39, $D39) - BSPrice($B39,$J39, $K39, $C39, ($I39-$B$1)/365, $G39, $H39, $D39)) * $F39</f>
        <v/>
      </c>
      <c r="AG39" s="78">
        <f>(BSPrice($B39*1.05,$J39, $K39, $C39, ($I39-$B$1)/365, $G39, $H39, $D39) - BSPrice($B39,$J39, $K39, $C39, ($I39-$B$1)/365, $G39, $H39, $D39)) * $F39</f>
        <v/>
      </c>
      <c r="AH39" s="78">
        <f>(BSPrice($B39*1.1,$J39, $K39, $C39, ($I39-$B$1)/365, $G39, $H39, $D39) - BSPrice($B39,$J39, $K39, $C39, ($I39-$B$1)/365, $G39, $H39, $D39)) * $F39</f>
        <v/>
      </c>
      <c r="AI39" s="78">
        <f>(BSPrice($B39*1.2,$J39, $K39, $C39, ($I39-$B$1)/365, $G39, $H39, $D39) - BSPrice($B39,$J39, $K39, $C39, ($I39-$B$1)/365, $G39, $H39, $D39)) * $F39</f>
        <v/>
      </c>
      <c r="AJ39" s="78">
        <f>(BSPrice($B39,$J39-0.1, $K39, $C39, ($I39-$B$1)/365, $G39, $H39, $D39) - BSPrice($B39,$J39, $K39, $C39, ($I39-$B$1)/365, $G39, $H39, $D39)) * $F39</f>
        <v/>
      </c>
      <c r="AK39" s="78">
        <f>(BSPrice($B39,$J39-0.05,$K39,$C39,($I39-$B$1)/365,$G39,$H39,$D39)-BSPrice($B39,$J39,$K39,$C39,($I39-$B$1)/365,$G39,$H39,$D39))*$F39</f>
        <v/>
      </c>
      <c r="AL39" s="78">
        <f>(BSPrice($B39,$J39-0.02, $K39, $C39, ($I39-$B$1)/365, $G39, $H39, $D39) - BSPrice($B39,$J39, $K39, $C39, ($I39-$B$1)/365, $G39, $H39, $D39)) * $F39</f>
        <v/>
      </c>
      <c r="AM39" s="78">
        <f>(BSPrice($B39,$J39-0.01, $K39, $C39, ($I39-$B$1)/365, $G39, $H39, $D39) - BSPrice($B39,$J39, $K39, $C39, ($I39-$B$1)/365, $G39, $H39, $D39)) * $F39</f>
        <v/>
      </c>
      <c r="AN39" s="78">
        <f>(BSPrice($B39,$J39+0.01, $K39, $C39, ($I39-$B$1)/365, $G39, $H39, $D39) - BSPrice($B39,$J39, $K39, $C39, ($I39-$B$1)/365, $G39, $H39, $D39)) * $F39</f>
        <v/>
      </c>
      <c r="AO39" s="78">
        <f>(BSPrice($B39,$J39+0.02, $K39, $C39, ($I39-$B$1)/365, $G39, $H39, $D39) - BSPrice($B39,$J39, $K39, $C39, ($I39-$B$1)/365, $G39, $H39, $D39)) * $F39</f>
        <v/>
      </c>
      <c r="AP39" s="78">
        <f>(BSPrice($B39,$J39+0.05, $K39, $C39, ($I39-$B$1)/365, $G39, $H39, $D39) - BSPrice($B39,$J39, $K39, $C39, ($I39-$B$1)/365, $G39, $H39, $D39)) * $F39</f>
        <v/>
      </c>
      <c r="AQ39" s="78">
        <f>(BSPrice($B39,$J39+0.1, $K39, $C39, ($I39-$B$1)/365, $G39, $H39, $D39) - BSPrice($B39,$J39, $K39, $C39, ($I39-$B$1)/365, $G39, $H39, $D39)) * $F39</f>
        <v/>
      </c>
      <c r="AR39" s="60">
        <f>(BSPrice($B39*0.8,$J39+-0.05, $K39, $C39, ($I39-$B$1)/365, $G39, $H39, $D39) - BSPrice($B39,$J39, $K39, $C39, ($I39-$B$1)/365, $G39, $H39, $D39)) * $F39</f>
        <v/>
      </c>
      <c r="AS39" s="60">
        <f>(BSPrice($B39*0.8,$J39+-0.02, $K39, $C39, ($I39-$B$1)/365, $G39, $H39, $D39) - BSPrice($B39,$J39, $K39, $C39, ($I39-$B$1)/365, $G39, $H39, $D39)) * $F39</f>
        <v/>
      </c>
      <c r="AT39" s="60">
        <f>(BSPrice($B39*0.8,$J39+0, $K39, $C39, ($I39-$B$1)/365, $G39, $H39, $D39) - BSPrice($B39,$J39, $K39, $C39, ($I39-$B$1)/365, $G39, $H39, $D39)) * $F39</f>
        <v/>
      </c>
      <c r="AU39" s="60">
        <f>(BSPrice($B39*0.8,$J39+0.02, $K39, $C39, ($I39-$B$1)/365, $G39, $H39, $D39) - BSPrice($B39,$J39, $K39, $C39, ($I39-$B$1)/365, $G39, $H39, $D39)) * $F39</f>
        <v/>
      </c>
      <c r="AV39" s="60">
        <f>(BSPrice($B39*0.8,$J39+0.05, $K39, $C39, ($I39-$B$1)/365, $G39, $H39, $D39) - BSPrice($B39,$J39, $K39, $C39, ($I39-$B$1)/365, $G39, $H39, $D39)) * $F39</f>
        <v/>
      </c>
      <c r="AW39" s="60">
        <f>(BSPrice($B39*0.8,$J39+0.1, $K39, $C39, ($I39-$B$1)/365, $G39, $H39, $D39) - BSPrice($B39,$J39, $K39, $C39, ($I39-$B$1)/365, $G39, $H39, $D39)) * $F39</f>
        <v/>
      </c>
      <c r="AX39" s="60">
        <f>(BSPrice($B39*0.8,$J39+0.2, $K39, $C39, ($I39-$B$1)/365, $G39, $H39, $D39) - BSPrice($B39,$J39, $K39, $C39, ($I39-$B$1)/365, $G39, $H39, $D39)) * $F39</f>
        <v/>
      </c>
      <c r="AY39" s="60">
        <f>(BSPrice($B39*0.9,$J39+-0.05, $K39, $C39, ($I39-$B$1)/365, $G39, $H39, $D39) - BSPrice($B39,$J39, $K39, $C39, ($I39-$B$1)/365, $G39, $H39, $D39)) * $F39</f>
        <v/>
      </c>
      <c r="AZ39" s="60">
        <f>(BSPrice($B39*0.9,$J39+-0.02, $K39, $C39, ($I39-$B$1)/365, $G39, $H39, $D39) - BSPrice($B39,$J39, $K39, $C39, ($I39-$B$1)/365, $G39, $H39, $D39)) * $F39</f>
        <v/>
      </c>
      <c r="BA39" s="60">
        <f>(BSPrice($B39*0.9,$J39+0, $K39, $C39, ($I39-$B$1)/365, $G39, $H39, $D39) - BSPrice($B39,$J39, $K39, $C39, ($I39-$B$1)/365, $G39, $H39, $D39)) * $F39</f>
        <v/>
      </c>
      <c r="BB39" s="60">
        <f>(BSPrice($B39*0.9,$J39+0.02, $K39, $C39, ($I39-$B$1)/365, $G39, $H39, $D39) - BSPrice($B39,$J39, $K39, $C39, ($I39-$B$1)/365, $G39, $H39, $D39)) * $F39</f>
        <v/>
      </c>
      <c r="BC39" s="60">
        <f>(BSPrice($B39*0.9,$J39+0.05, $K39, $C39, ($I39-$B$1)/365, $G39, $H39, $D39) - BSPrice($B39,$J39, $K39, $C39, ($I39-$B$1)/365, $G39, $H39, $D39)) * $F39</f>
        <v/>
      </c>
      <c r="BD39" s="60">
        <f>(BSPrice($B39*0.9,$J39+0.1, $K39, $C39, ($I39-$B$1)/365, $G39, $H39, $D39) - BSPrice($B39,$J39, $K39, $C39, ($I39-$B$1)/365, $G39, $H39, $D39)) * $F39</f>
        <v/>
      </c>
      <c r="BE39" s="60">
        <f>(BSPrice($B39*0.9,$J39+0.2, $K39, $C39, ($I39-$B$1)/365, $G39, $H39, $D39) - BSPrice($B39,$J39, $K39, $C39, ($I39-$B$1)/365, $G39, $H39, $D39)) * $F39</f>
        <v/>
      </c>
      <c r="BF39" s="60">
        <f>(BSPrice($B39*0.95,$J39+-0.05, $K39, $C39, ($I39-$B$1)/365, $G39, $H39, $D39) - BSPrice($B39,$J39, $K39, $C39, ($I39-$B$1)/365, $G39, $H39, $D39)) * $F39</f>
        <v/>
      </c>
      <c r="BG39" s="60">
        <f>(BSPrice($B39*0.95,$J39+-0.02, $K39, $C39, ($I39-$B$1)/365, $G39, $H39, $D39) - BSPrice($B39,$J39, $K39, $C39, ($I39-$B$1)/365, $G39, $H39, $D39)) * $F39</f>
        <v/>
      </c>
      <c r="BH39" s="60">
        <f>(BSPrice($B39*0.95,$J39+0, $K39, $C39, ($I39-$B$1)/365, $G39, $H39, $D39) - BSPrice($B39,$J39, $K39, $C39, ($I39-$B$1)/365, $G39, $H39, $D39)) * $F39</f>
        <v/>
      </c>
      <c r="BI39" s="60">
        <f>(BSPrice($B39*0.95,$J39+0.02, $K39, $C39, ($I39-$B$1)/365, $G39, $H39, $D39) - BSPrice($B39,$J39, $K39, $C39, ($I39-$B$1)/365, $G39, $H39, $D39)) * $F39</f>
        <v/>
      </c>
      <c r="BJ39" s="60">
        <f>(BSPrice($B39*0.95,$J39+0.05, $K39, $C39, ($I39-$B$1)/365, $G39, $H39, $D39) - BSPrice($B39,$J39, $K39, $C39, ($I39-$B$1)/365, $G39, $H39, $D39)) * $F39</f>
        <v/>
      </c>
      <c r="BK39" s="60">
        <f>(BSPrice($B39*0.95,$J39+0.1, $K39, $C39, ($I39-$B$1)/365, $G39, $H39, $D39) - BSPrice($B39,$J39, $K39, $C39, ($I39-$B$1)/365, $G39, $H39, $D39)) * $F39</f>
        <v/>
      </c>
      <c r="BL39" s="60">
        <f>(BSPrice($B39*0.95,$J39+0.2, $K39, $C39, ($I39-$B$1)/365, $G39, $H39, $D39) - BSPrice($B39,$J39, $K39, $C39, ($I39-$B$1)/365, $G39, $H39, $D39)) * $F39</f>
        <v/>
      </c>
      <c r="BM39" s="60">
        <f>(BSPrice($B39*1,$J39+-0.05, $K39, $C39, ($I39-$B$1)/365, $G39, $H39, $D39) - BSPrice($B39,$J39, $K39, $C39, ($I39-$B$1)/365, $G39, $H39, $D39)) * $F39</f>
        <v/>
      </c>
      <c r="BN39" s="60">
        <f>(BSPrice($B39*1,$J39+-0.02, $K39, $C39, ($I39-$B$1)/365, $G39, $H39, $D39) - BSPrice($B39,$J39, $K39, $C39, ($I39-$B$1)/365, $G39, $H39, $D39)) * $F39</f>
        <v/>
      </c>
      <c r="BO39" s="60">
        <f>(BSPrice($B39*1,$J39+0, $K39, $C39, ($I39-$B$1)/365, $G39, $H39, $D39) - BSPrice($B39,$J39, $K39, $C39, ($I39-$B$1)/365, $G39, $H39, $D39)) * $F39</f>
        <v/>
      </c>
      <c r="BP39" s="60">
        <f>(BSPrice($B39*1,$J39+0.02, $K39, $C39, ($I39-$B$1)/365, $G39, $H39, $D39) - BSPrice($B39,$J39, $K39, $C39, ($I39-$B$1)/365, $G39, $H39, $D39)) * $F39</f>
        <v/>
      </c>
      <c r="BQ39" s="60">
        <f>(BSPrice($B39*1,$J39+0.05, $K39, $C39, ($I39-$B$1)/365, $G39, $H39, $D39) - BSPrice($B39,$J39, $K39, $C39, ($I39-$B$1)/365, $G39, $H39, $D39)) * $F39</f>
        <v/>
      </c>
      <c r="BR39" s="60">
        <f>(BSPrice($B39*1,$J39+0.1, $K39, $C39, ($I39-$B$1)/365, $G39, $H39, $D39) - BSPrice($B39,$J39, $K39, $C39, ($I39-$B$1)/365, $G39, $H39, $D39)) * $F39</f>
        <v/>
      </c>
      <c r="BS39" s="60">
        <f>(BSPrice($B39*1,$J39+0.2, $K39, $C39, ($I39-$B$1)/365, $G39, $H39, $D39) - BSPrice($B39,$J39, $K39, $C39, ($I39-$B$1)/365, $G39, $H39, $D39)) * $F39</f>
        <v/>
      </c>
      <c r="BT39" s="60">
        <f>(BSPrice($B39*1.05,$J39+-0.05, $K39, $C39, ($I39-$B$1)/365, $G39, $H39, $D39) - BSPrice($B39,$J39, $K39, $C39, ($I39-$B$1)/365, $G39, $H39, $D39)) * $F39</f>
        <v/>
      </c>
      <c r="BU39" s="60">
        <f>(BSPrice($B39*1.05,$J39+-0.02, $K39, $C39, ($I39-$B$1)/365, $G39, $H39, $D39) - BSPrice($B39,$J39, $K39, $C39, ($I39-$B$1)/365, $G39, $H39, $D39)) * $F39</f>
        <v/>
      </c>
      <c r="BV39" s="60">
        <f>(BSPrice($B39*1.05,$J39+0, $K39, $C39, ($I39-$B$1)/365, $G39, $H39, $D39) - BSPrice($B39,$J39, $K39, $C39, ($I39-$B$1)/365, $G39, $H39, $D39)) * $F39</f>
        <v/>
      </c>
      <c r="BW39" s="60">
        <f>(BSPrice($B39*1.05,$J39+0.02, $K39, $C39, ($I39-$B$1)/365, $G39, $H39, $D39) - BSPrice($B39,$J39, $K39, $C39, ($I39-$B$1)/365, $G39, $H39, $D39)) * $F39</f>
        <v/>
      </c>
      <c r="BX39" s="60">
        <f>(BSPrice($B39*1.05,$J39+0.05, $K39, $C39, ($I39-$B$1)/365, $G39, $H39, $D39) - BSPrice($B39,$J39, $K39, $C39, ($I39-$B$1)/365, $G39, $H39, $D39)) * $F39</f>
        <v/>
      </c>
      <c r="BY39" s="60">
        <f>(BSPrice($B39*1.05,$J39+0.1, $K39, $C39, ($I39-$B$1)/365, $G39, $H39, $D39) - BSPrice($B39,$J39, $K39, $C39, ($I39-$B$1)/365, $G39, $H39, $D39)) * $F39</f>
        <v/>
      </c>
      <c r="BZ39" s="60">
        <f>(BSPrice($B39*1.05,$J39+0.2, $K39, $C39, ($I39-$B$1)/365, $G39, $H39, $D39) - BSPrice($B39,$J39, $K39, $C39, ($I39-$B$1)/365, $G39, $H39, $D39)) * $F39</f>
        <v/>
      </c>
      <c r="CA39" s="60">
        <f>(BSPrice($B39*1.1,$J39+-0.05, $K39, $C39, ($I39-$B$1)/365, $G39, $H39, $D39) - BSPrice($B39,$J39, $K39, $C39, ($I39-$B$1)/365, $G39, $H39, $D39)) * $F39</f>
        <v/>
      </c>
      <c r="CB39" s="60">
        <f>(BSPrice($B39*1.1,$J39+-0.02, $K39, $C39, ($I39-$B$1)/365, $G39, $H39, $D39) - BSPrice($B39,$J39, $K39, $C39, ($I39-$B$1)/365, $G39, $H39, $D39)) * $F39</f>
        <v/>
      </c>
      <c r="CC39" s="60">
        <f>(BSPrice($B39*1.1,$J39+0, $K39, $C39, ($I39-$B$1)/365, $G39, $H39, $D39) - BSPrice($B39,$J39, $K39, $C39, ($I39-$B$1)/365, $G39, $H39, $D39)) * $F39</f>
        <v/>
      </c>
      <c r="CD39" s="60">
        <f>(BSPrice($B39*1.1,$J39+0.02, $K39, $C39, ($I39-$B$1)/365, $G39, $H39, $D39) - BSPrice($B39,$J39, $K39, $C39, ($I39-$B$1)/365, $G39, $H39, $D39)) * $F39</f>
        <v/>
      </c>
      <c r="CE39" s="60">
        <f>(BSPrice($B39*1.1,$J39+0.05, $K39, $C39, ($I39-$B$1)/365, $G39, $H39, $D39) - BSPrice($B39,$J39, $K39, $C39, ($I39-$B$1)/365, $G39, $H39, $D39)) * $F39</f>
        <v/>
      </c>
      <c r="CF39" s="60">
        <f>(BSPrice($B39*1.1,$J39+0.1, $K39, $C39, ($I39-$B$1)/365, $G39, $H39, $D39) - BSPrice($B39,$J39, $K39, $C39, ($I39-$B$1)/365, $G39, $H39, $D39)) * $F39</f>
        <v/>
      </c>
      <c r="CG39" s="60">
        <f>(BSPrice($B39*1.1,$J39+0.2, $K39, $C39, ($I39-$B$1)/365, $G39, $H39, $D39) - BSPrice($B39,$J39, $K39, $C39, ($I39-$B$1)/365, $G39, $H39, $D39)) * $F39</f>
        <v/>
      </c>
      <c r="CH39" s="60">
        <f>(BSPrice($B39*1.2,$J39+-0.05, $K39, $C39, ($I39-$B$1)/365, $G39, $H39, $D39) - BSPrice($B39,$J39, $K39, $C39, ($I39-$B$1)/365, $G39, $H39, $D39)) * $F39</f>
        <v/>
      </c>
      <c r="CI39" s="60">
        <f>(BSPrice($B39*1.2,$J39+-0.02, $K39, $C39, ($I39-$B$1)/365, $G39, $H39, $D39) - BSPrice($B39,$J39, $K39, $C39, ($I39-$B$1)/365, $G39, $H39, $D39)) * $F39</f>
        <v/>
      </c>
      <c r="CJ39" s="60">
        <f>(BSPrice($B39*1.2,$J39+0, $K39, $C39, ($I39-$B$1)/365, $G39, $H39, $D39) - BSPrice($B39,$J39, $K39, $C39, ($I39-$B$1)/365, $G39, $H39, $D39)) * $F39</f>
        <v/>
      </c>
      <c r="CK39" s="60">
        <f>(BSPrice($B39*1.2,$J39+0.02, $K39, $C39, ($I39-$B$1)/365, $G39, $H39, $D39) - BSPrice($B39,$J39, $K39, $C39, ($I39-$B$1)/365, $G39, $H39, $D39)) * $F39</f>
        <v/>
      </c>
      <c r="CL39" s="60">
        <f>(BSPrice($B39*1.2,$J39+0.05, $K39, $C39, ($I39-$B$1)/365, $G39, $H39, $D39) - BSPrice($B39,$J39, $K39, $C39, ($I39-$B$1)/365, $G39, $H39, $D39)) * $F39</f>
        <v/>
      </c>
      <c r="CM39" s="60">
        <f>(BSPrice($B39*1.2,$J39+0.1, $K39, $C39, ($I39-$B$1)/365, $G39, $H39, $D39) - BSPrice($B39,$J39, $K39, $C39, ($I39-$B$1)/365, $G39, $H39, $D39)) * $F39</f>
        <v/>
      </c>
      <c r="CN39" s="60">
        <f>(BSPrice($B39*1.2,$J39+0.2, $K39, $C39, ($I39-$B$1)/365, $G39, $H39, $D39) - BSPrice($B39,$J39, $K39, $C39, ($I39-$B$1)/365, $G39, $H39, $D39)) * $F39</f>
        <v/>
      </c>
    </row>
    <row r="40">
      <c r="A40" s="3" t="inlineStr">
        <is>
          <t>SX5E Index</t>
        </is>
      </c>
      <c r="B40" s="4">
        <f>VLOOKUP(A40,PriceData!$K$4:$L$6,2,FALSE)</f>
        <v/>
      </c>
      <c r="C40" s="46">
        <f>VLOOKUP(A40,PriceData!$K$4:$M$6,3,FALSE)</f>
        <v/>
      </c>
      <c r="D40" s="4" t="inlineStr">
        <is>
          <t>Option</t>
        </is>
      </c>
      <c r="E40" s="4" t="inlineStr">
        <is>
          <t>EUR</t>
        </is>
      </c>
      <c r="F40" s="4" t="n">
        <v>25</v>
      </c>
      <c r="G40" s="4" t="n">
        <v>2469</v>
      </c>
      <c r="H40" s="4" t="inlineStr">
        <is>
          <t>Put</t>
        </is>
      </c>
      <c r="I40" s="5" t="n">
        <v>40256</v>
      </c>
      <c r="J40" s="46">
        <f>FindImpliedVol(A40, D40, G40, I40)</f>
        <v/>
      </c>
      <c r="K40" s="30">
        <f>VLOOKUP(I40,PriceData!$A$5:$D$7,MATCH($E40,PriceData!$A$4:$D$4,0),FALSE)</f>
        <v/>
      </c>
      <c r="L40" s="2">
        <f>BSPrice($B40,$J40, $K40, $C40, ($I40-$B$1)/365, $G40, $H40, $D40)</f>
        <v/>
      </c>
      <c r="M40" s="2">
        <f>F40*L40</f>
        <v/>
      </c>
      <c r="N40" s="4" t="inlineStr">
        <is>
          <t>Exch</t>
        </is>
      </c>
      <c r="P40" s="60">
        <f>BSDelta(B40, J40, K40, C40, (I40-$B$1)/365, G40, H40, D40)</f>
        <v/>
      </c>
      <c r="Q40" s="60">
        <f>BSGamma(B40, J40, K40, C40, (I40-$B$1)/365, G40, D40)</f>
        <v/>
      </c>
      <c r="R40" s="58">
        <f>BSVega(B40, J40, K40, C40, (I40-$B$1)/365,G40, D40)</f>
        <v/>
      </c>
      <c r="S40" s="58">
        <f>BSVolga(B40, J40, K40, C40, (I40-$B$1)/365,G40, D40)</f>
        <v/>
      </c>
      <c r="T40" s="58">
        <f>BSVanna(B40,J40,K40, C40, (I40-$B$1)/365, G40, D40)</f>
        <v/>
      </c>
      <c r="U40" s="2">
        <f>BSRho(B40, J40, K40, C40, (I40-$B$1)/365, G40, H40, D40)</f>
        <v/>
      </c>
      <c r="V40" s="65">
        <f>$F40*$P40</f>
        <v/>
      </c>
      <c r="W40" s="65">
        <f>$F40*$Q40</f>
        <v/>
      </c>
      <c r="X40" s="78">
        <f>$F40*R40</f>
        <v/>
      </c>
      <c r="Y40" s="78">
        <f>$F40*S40</f>
        <v/>
      </c>
      <c r="Z40" s="78">
        <f>$F40*T40</f>
        <v/>
      </c>
      <c r="AA40" s="78">
        <f>$F40*U40</f>
        <v/>
      </c>
      <c r="AB40" s="78">
        <f>(BSPrice($B40*0.8,$J40, $K40, $C40, ($I40-$B$1)/365, $G40, $H40, $D40) - BSPrice($B40,$J40, $K40, $C40, ($I40-$B$1)/365, $G40, $H40, $D40)) * $F40</f>
        <v/>
      </c>
      <c r="AC40" s="78">
        <f>(BSPrice($B40*0.9,$J40, $K40, $C40, ($I40-$B$1)/365, $G40, $H40, $D40) - BSPrice($B40,$J40, $K40, $C40, ($I40-$B$1)/365, $G40, $H40, $D40)) * $F40</f>
        <v/>
      </c>
      <c r="AD40" s="78">
        <f>(BSPrice($B40*0.95,$J40, $K40, $C40, ($I40-$B$1)/365, $G40, $H40, $D40) - BSPrice($B40,$J40, $K40, $C40, ($I40-$B$1)/365, $G40, $H40, $D40)) * $F40</f>
        <v/>
      </c>
      <c r="AE40" s="78">
        <f>(BSPrice($B40*0.98,$J40, $K40, $C40, ($I40-$B$1)/365, $G40, $H40, $D40) - BSPrice($B40,$J40, $K40, $C40, ($I40-$B$1)/365, $G40, $H40, $D40)) * $F40</f>
        <v/>
      </c>
      <c r="AF40" s="78">
        <f>(BSPrice($B40*1.02,$J40, $K40, $C40, ($I40-$B$1)/365, $G40, $H40, $D40) - BSPrice($B40,$J40, $K40, $C40, ($I40-$B$1)/365, $G40, $H40, $D40)) * $F40</f>
        <v/>
      </c>
      <c r="AG40" s="78">
        <f>(BSPrice($B40*1.05,$J40, $K40, $C40, ($I40-$B$1)/365, $G40, $H40, $D40) - BSPrice($B40,$J40, $K40, $C40, ($I40-$B$1)/365, $G40, $H40, $D40)) * $F40</f>
        <v/>
      </c>
      <c r="AH40" s="78">
        <f>(BSPrice($B40*1.1,$J40, $K40, $C40, ($I40-$B$1)/365, $G40, $H40, $D40) - BSPrice($B40,$J40, $K40, $C40, ($I40-$B$1)/365, $G40, $H40, $D40)) * $F40</f>
        <v/>
      </c>
      <c r="AI40" s="78">
        <f>(BSPrice($B40*1.2,$J40, $K40, $C40, ($I40-$B$1)/365, $G40, $H40, $D40) - BSPrice($B40,$J40, $K40, $C40, ($I40-$B$1)/365, $G40, $H40, $D40)) * $F40</f>
        <v/>
      </c>
      <c r="AJ40" s="78">
        <f>(BSPrice($B40,$J40-0.1, $K40, $C40, ($I40-$B$1)/365, $G40, $H40, $D40) - BSPrice($B40,$J40, $K40, $C40, ($I40-$B$1)/365, $G40, $H40, $D40)) * $F40</f>
        <v/>
      </c>
      <c r="AK40" s="78">
        <f>(BSPrice($B40,$J40-0.05,$K40,$C40,($I40-$B$1)/365,$G40,$H40,$D40)-BSPrice($B40,$J40,$K40,$C40,($I40-$B$1)/365,$G40,$H40,$D40))*$F40</f>
        <v/>
      </c>
      <c r="AL40" s="78">
        <f>(BSPrice($B40,$J40-0.02, $K40, $C40, ($I40-$B$1)/365, $G40, $H40, $D40) - BSPrice($B40,$J40, $K40, $C40, ($I40-$B$1)/365, $G40, $H40, $D40)) * $F40</f>
        <v/>
      </c>
      <c r="AM40" s="78">
        <f>(BSPrice($B40,$J40-0.01, $K40, $C40, ($I40-$B$1)/365, $G40, $H40, $D40) - BSPrice($B40,$J40, $K40, $C40, ($I40-$B$1)/365, $G40, $H40, $D40)) * $F40</f>
        <v/>
      </c>
      <c r="AN40" s="78">
        <f>(BSPrice($B40,$J40+0.01, $K40, $C40, ($I40-$B$1)/365, $G40, $H40, $D40) - BSPrice($B40,$J40, $K40, $C40, ($I40-$B$1)/365, $G40, $H40, $D40)) * $F40</f>
        <v/>
      </c>
      <c r="AO40" s="78">
        <f>(BSPrice($B40,$J40+0.02, $K40, $C40, ($I40-$B$1)/365, $G40, $H40, $D40) - BSPrice($B40,$J40, $K40, $C40, ($I40-$B$1)/365, $G40, $H40, $D40)) * $F40</f>
        <v/>
      </c>
      <c r="AP40" s="78">
        <f>(BSPrice($B40,$J40+0.05, $K40, $C40, ($I40-$B$1)/365, $G40, $H40, $D40) - BSPrice($B40,$J40, $K40, $C40, ($I40-$B$1)/365, $G40, $H40, $D40)) * $F40</f>
        <v/>
      </c>
      <c r="AQ40" s="78">
        <f>(BSPrice($B40,$J40+0.1, $K40, $C40, ($I40-$B$1)/365, $G40, $H40, $D40) - BSPrice($B40,$J40, $K40, $C40, ($I40-$B$1)/365, $G40, $H40, $D40)) * $F40</f>
        <v/>
      </c>
      <c r="AR40" s="60">
        <f>(BSPrice($B40*0.8,$J40+-0.05, $K40, $C40, ($I40-$B$1)/365, $G40, $H40, $D40) - BSPrice($B40,$J40, $K40, $C40, ($I40-$B$1)/365, $G40, $H40, $D40)) * $F40</f>
        <v/>
      </c>
      <c r="AS40" s="60">
        <f>(BSPrice($B40*0.8,$J40+-0.02, $K40, $C40, ($I40-$B$1)/365, $G40, $H40, $D40) - BSPrice($B40,$J40, $K40, $C40, ($I40-$B$1)/365, $G40, $H40, $D40)) * $F40</f>
        <v/>
      </c>
      <c r="AT40" s="60">
        <f>(BSPrice($B40*0.8,$J40+0, $K40, $C40, ($I40-$B$1)/365, $G40, $H40, $D40) - BSPrice($B40,$J40, $K40, $C40, ($I40-$B$1)/365, $G40, $H40, $D40)) * $F40</f>
        <v/>
      </c>
      <c r="AU40" s="60">
        <f>(BSPrice($B40*0.8,$J40+0.02, $K40, $C40, ($I40-$B$1)/365, $G40, $H40, $D40) - BSPrice($B40,$J40, $K40, $C40, ($I40-$B$1)/365, $G40, $H40, $D40)) * $F40</f>
        <v/>
      </c>
      <c r="AV40" s="60">
        <f>(BSPrice($B40*0.8,$J40+0.05, $K40, $C40, ($I40-$B$1)/365, $G40, $H40, $D40) - BSPrice($B40,$J40, $K40, $C40, ($I40-$B$1)/365, $G40, $H40, $D40)) * $F40</f>
        <v/>
      </c>
      <c r="AW40" s="60">
        <f>(BSPrice($B40*0.8,$J40+0.1, $K40, $C40, ($I40-$B$1)/365, $G40, $H40, $D40) - BSPrice($B40,$J40, $K40, $C40, ($I40-$B$1)/365, $G40, $H40, $D40)) * $F40</f>
        <v/>
      </c>
      <c r="AX40" s="60">
        <f>(BSPrice($B40*0.8,$J40+0.2, $K40, $C40, ($I40-$B$1)/365, $G40, $H40, $D40) - BSPrice($B40,$J40, $K40, $C40, ($I40-$B$1)/365, $G40, $H40, $D40)) * $F40</f>
        <v/>
      </c>
      <c r="AY40" s="60">
        <f>(BSPrice($B40*0.9,$J40+-0.05, $K40, $C40, ($I40-$B$1)/365, $G40, $H40, $D40) - BSPrice($B40,$J40, $K40, $C40, ($I40-$B$1)/365, $G40, $H40, $D40)) * $F40</f>
        <v/>
      </c>
      <c r="AZ40" s="60">
        <f>(BSPrice($B40*0.9,$J40+-0.02, $K40, $C40, ($I40-$B$1)/365, $G40, $H40, $D40) - BSPrice($B40,$J40, $K40, $C40, ($I40-$B$1)/365, $G40, $H40, $D40)) * $F40</f>
        <v/>
      </c>
      <c r="BA40" s="60">
        <f>(BSPrice($B40*0.9,$J40+0, $K40, $C40, ($I40-$B$1)/365, $G40, $H40, $D40) - BSPrice($B40,$J40, $K40, $C40, ($I40-$B$1)/365, $G40, $H40, $D40)) * $F40</f>
        <v/>
      </c>
      <c r="BB40" s="60">
        <f>(BSPrice($B40*0.9,$J40+0.02, $K40, $C40, ($I40-$B$1)/365, $G40, $H40, $D40) - BSPrice($B40,$J40, $K40, $C40, ($I40-$B$1)/365, $G40, $H40, $D40)) * $F40</f>
        <v/>
      </c>
      <c r="BC40" s="60">
        <f>(BSPrice($B40*0.9,$J40+0.05, $K40, $C40, ($I40-$B$1)/365, $G40, $H40, $D40) - BSPrice($B40,$J40, $K40, $C40, ($I40-$B$1)/365, $G40, $H40, $D40)) * $F40</f>
        <v/>
      </c>
      <c r="BD40" s="60">
        <f>(BSPrice($B40*0.9,$J40+0.1, $K40, $C40, ($I40-$B$1)/365, $G40, $H40, $D40) - BSPrice($B40,$J40, $K40, $C40, ($I40-$B$1)/365, $G40, $H40, $D40)) * $F40</f>
        <v/>
      </c>
      <c r="BE40" s="60">
        <f>(BSPrice($B40*0.9,$J40+0.2, $K40, $C40, ($I40-$B$1)/365, $G40, $H40, $D40) - BSPrice($B40,$J40, $K40, $C40, ($I40-$B$1)/365, $G40, $H40, $D40)) * $F40</f>
        <v/>
      </c>
      <c r="BF40" s="60">
        <f>(BSPrice($B40*0.95,$J40+-0.05, $K40, $C40, ($I40-$B$1)/365, $G40, $H40, $D40) - BSPrice($B40,$J40, $K40, $C40, ($I40-$B$1)/365, $G40, $H40, $D40)) * $F40</f>
        <v/>
      </c>
      <c r="BG40" s="60">
        <f>(BSPrice($B40*0.95,$J40+-0.02, $K40, $C40, ($I40-$B$1)/365, $G40, $H40, $D40) - BSPrice($B40,$J40, $K40, $C40, ($I40-$B$1)/365, $G40, $H40, $D40)) * $F40</f>
        <v/>
      </c>
      <c r="BH40" s="60">
        <f>(BSPrice($B40*0.95,$J40+0, $K40, $C40, ($I40-$B$1)/365, $G40, $H40, $D40) - BSPrice($B40,$J40, $K40, $C40, ($I40-$B$1)/365, $G40, $H40, $D40)) * $F40</f>
        <v/>
      </c>
      <c r="BI40" s="60">
        <f>(BSPrice($B40*0.95,$J40+0.02, $K40, $C40, ($I40-$B$1)/365, $G40, $H40, $D40) - BSPrice($B40,$J40, $K40, $C40, ($I40-$B$1)/365, $G40, $H40, $D40)) * $F40</f>
        <v/>
      </c>
      <c r="BJ40" s="60">
        <f>(BSPrice($B40*0.95,$J40+0.05, $K40, $C40, ($I40-$B$1)/365, $G40, $H40, $D40) - BSPrice($B40,$J40, $K40, $C40, ($I40-$B$1)/365, $G40, $H40, $D40)) * $F40</f>
        <v/>
      </c>
      <c r="BK40" s="60">
        <f>(BSPrice($B40*0.95,$J40+0.1, $K40, $C40, ($I40-$B$1)/365, $G40, $H40, $D40) - BSPrice($B40,$J40, $K40, $C40, ($I40-$B$1)/365, $G40, $H40, $D40)) * $F40</f>
        <v/>
      </c>
      <c r="BL40" s="60">
        <f>(BSPrice($B40*0.95,$J40+0.2, $K40, $C40, ($I40-$B$1)/365, $G40, $H40, $D40) - BSPrice($B40,$J40, $K40, $C40, ($I40-$B$1)/365, $G40, $H40, $D40)) * $F40</f>
        <v/>
      </c>
      <c r="BM40" s="60">
        <f>(BSPrice($B40*1,$J40+-0.05, $K40, $C40, ($I40-$B$1)/365, $G40, $H40, $D40) - BSPrice($B40,$J40, $K40, $C40, ($I40-$B$1)/365, $G40, $H40, $D40)) * $F40</f>
        <v/>
      </c>
      <c r="BN40" s="60">
        <f>(BSPrice($B40*1,$J40+-0.02, $K40, $C40, ($I40-$B$1)/365, $G40, $H40, $D40) - BSPrice($B40,$J40, $K40, $C40, ($I40-$B$1)/365, $G40, $H40, $D40)) * $F40</f>
        <v/>
      </c>
      <c r="BO40" s="60">
        <f>(BSPrice($B40*1,$J40+0, $K40, $C40, ($I40-$B$1)/365, $G40, $H40, $D40) - BSPrice($B40,$J40, $K40, $C40, ($I40-$B$1)/365, $G40, $H40, $D40)) * $F40</f>
        <v/>
      </c>
      <c r="BP40" s="60">
        <f>(BSPrice($B40*1,$J40+0.02, $K40, $C40, ($I40-$B$1)/365, $G40, $H40, $D40) - BSPrice($B40,$J40, $K40, $C40, ($I40-$B$1)/365, $G40, $H40, $D40)) * $F40</f>
        <v/>
      </c>
      <c r="BQ40" s="60">
        <f>(BSPrice($B40*1,$J40+0.05, $K40, $C40, ($I40-$B$1)/365, $G40, $H40, $D40) - BSPrice($B40,$J40, $K40, $C40, ($I40-$B$1)/365, $G40, $H40, $D40)) * $F40</f>
        <v/>
      </c>
      <c r="BR40" s="60">
        <f>(BSPrice($B40*1,$J40+0.1, $K40, $C40, ($I40-$B$1)/365, $G40, $H40, $D40) - BSPrice($B40,$J40, $K40, $C40, ($I40-$B$1)/365, $G40, $H40, $D40)) * $F40</f>
        <v/>
      </c>
      <c r="BS40" s="60">
        <f>(BSPrice($B40*1,$J40+0.2, $K40, $C40, ($I40-$B$1)/365, $G40, $H40, $D40) - BSPrice($B40,$J40, $K40, $C40, ($I40-$B$1)/365, $G40, $H40, $D40)) * $F40</f>
        <v/>
      </c>
      <c r="BT40" s="60">
        <f>(BSPrice($B40*1.05,$J40+-0.05, $K40, $C40, ($I40-$B$1)/365, $G40, $H40, $D40) - BSPrice($B40,$J40, $K40, $C40, ($I40-$B$1)/365, $G40, $H40, $D40)) * $F40</f>
        <v/>
      </c>
      <c r="BU40" s="60">
        <f>(BSPrice($B40*1.05,$J40+-0.02, $K40, $C40, ($I40-$B$1)/365, $G40, $H40, $D40) - BSPrice($B40,$J40, $K40, $C40, ($I40-$B$1)/365, $G40, $H40, $D40)) * $F40</f>
        <v/>
      </c>
      <c r="BV40" s="60">
        <f>(BSPrice($B40*1.05,$J40+0, $K40, $C40, ($I40-$B$1)/365, $G40, $H40, $D40) - BSPrice($B40,$J40, $K40, $C40, ($I40-$B$1)/365, $G40, $H40, $D40)) * $F40</f>
        <v/>
      </c>
      <c r="BW40" s="60">
        <f>(BSPrice($B40*1.05,$J40+0.02, $K40, $C40, ($I40-$B$1)/365, $G40, $H40, $D40) - BSPrice($B40,$J40, $K40, $C40, ($I40-$B$1)/365, $G40, $H40, $D40)) * $F40</f>
        <v/>
      </c>
      <c r="BX40" s="60">
        <f>(BSPrice($B40*1.05,$J40+0.05, $K40, $C40, ($I40-$B$1)/365, $G40, $H40, $D40) - BSPrice($B40,$J40, $K40, $C40, ($I40-$B$1)/365, $G40, $H40, $D40)) * $F40</f>
        <v/>
      </c>
      <c r="BY40" s="60">
        <f>(BSPrice($B40*1.05,$J40+0.1, $K40, $C40, ($I40-$B$1)/365, $G40, $H40, $D40) - BSPrice($B40,$J40, $K40, $C40, ($I40-$B$1)/365, $G40, $H40, $D40)) * $F40</f>
        <v/>
      </c>
      <c r="BZ40" s="60">
        <f>(BSPrice($B40*1.05,$J40+0.2, $K40, $C40, ($I40-$B$1)/365, $G40, $H40, $D40) - BSPrice($B40,$J40, $K40, $C40, ($I40-$B$1)/365, $G40, $H40, $D40)) * $F40</f>
        <v/>
      </c>
      <c r="CA40" s="60">
        <f>(BSPrice($B40*1.1,$J40+-0.05, $K40, $C40, ($I40-$B$1)/365, $G40, $H40, $D40) - BSPrice($B40,$J40, $K40, $C40, ($I40-$B$1)/365, $G40, $H40, $D40)) * $F40</f>
        <v/>
      </c>
      <c r="CB40" s="60">
        <f>(BSPrice($B40*1.1,$J40+-0.02, $K40, $C40, ($I40-$B$1)/365, $G40, $H40, $D40) - BSPrice($B40,$J40, $K40, $C40, ($I40-$B$1)/365, $G40, $H40, $D40)) * $F40</f>
        <v/>
      </c>
      <c r="CC40" s="60">
        <f>(BSPrice($B40*1.1,$J40+0, $K40, $C40, ($I40-$B$1)/365, $G40, $H40, $D40) - BSPrice($B40,$J40, $K40, $C40, ($I40-$B$1)/365, $G40, $H40, $D40)) * $F40</f>
        <v/>
      </c>
      <c r="CD40" s="60">
        <f>(BSPrice($B40*1.1,$J40+0.02, $K40, $C40, ($I40-$B$1)/365, $G40, $H40, $D40) - BSPrice($B40,$J40, $K40, $C40, ($I40-$B$1)/365, $G40, $H40, $D40)) * $F40</f>
        <v/>
      </c>
      <c r="CE40" s="60">
        <f>(BSPrice($B40*1.1,$J40+0.05, $K40, $C40, ($I40-$B$1)/365, $G40, $H40, $D40) - BSPrice($B40,$J40, $K40, $C40, ($I40-$B$1)/365, $G40, $H40, $D40)) * $F40</f>
        <v/>
      </c>
      <c r="CF40" s="60">
        <f>(BSPrice($B40*1.1,$J40+0.1, $K40, $C40, ($I40-$B$1)/365, $G40, $H40, $D40) - BSPrice($B40,$J40, $K40, $C40, ($I40-$B$1)/365, $G40, $H40, $D40)) * $F40</f>
        <v/>
      </c>
      <c r="CG40" s="60">
        <f>(BSPrice($B40*1.1,$J40+0.2, $K40, $C40, ($I40-$B$1)/365, $G40, $H40, $D40) - BSPrice($B40,$J40, $K40, $C40, ($I40-$B$1)/365, $G40, $H40, $D40)) * $F40</f>
        <v/>
      </c>
      <c r="CH40" s="60">
        <f>(BSPrice($B40*1.2,$J40+-0.05, $K40, $C40, ($I40-$B$1)/365, $G40, $H40, $D40) - BSPrice($B40,$J40, $K40, $C40, ($I40-$B$1)/365, $G40, $H40, $D40)) * $F40</f>
        <v/>
      </c>
      <c r="CI40" s="60">
        <f>(BSPrice($B40*1.2,$J40+-0.02, $K40, $C40, ($I40-$B$1)/365, $G40, $H40, $D40) - BSPrice($B40,$J40, $K40, $C40, ($I40-$B$1)/365, $G40, $H40, $D40)) * $F40</f>
        <v/>
      </c>
      <c r="CJ40" s="60">
        <f>(BSPrice($B40*1.2,$J40+0, $K40, $C40, ($I40-$B$1)/365, $G40, $H40, $D40) - BSPrice($B40,$J40, $K40, $C40, ($I40-$B$1)/365, $G40, $H40, $D40)) * $F40</f>
        <v/>
      </c>
      <c r="CK40" s="60">
        <f>(BSPrice($B40*1.2,$J40+0.02, $K40, $C40, ($I40-$B$1)/365, $G40, $H40, $D40) - BSPrice($B40,$J40, $K40, $C40, ($I40-$B$1)/365, $G40, $H40, $D40)) * $F40</f>
        <v/>
      </c>
      <c r="CL40" s="60">
        <f>(BSPrice($B40*1.2,$J40+0.05, $K40, $C40, ($I40-$B$1)/365, $G40, $H40, $D40) - BSPrice($B40,$J40, $K40, $C40, ($I40-$B$1)/365, $G40, $H40, $D40)) * $F40</f>
        <v/>
      </c>
      <c r="CM40" s="60">
        <f>(BSPrice($B40*1.2,$J40+0.1, $K40, $C40, ($I40-$B$1)/365, $G40, $H40, $D40) - BSPrice($B40,$J40, $K40, $C40, ($I40-$B$1)/365, $G40, $H40, $D40)) * $F40</f>
        <v/>
      </c>
      <c r="CN40" s="60">
        <f>(BSPrice($B40*1.2,$J40+0.2, $K40, $C40, ($I40-$B$1)/365, $G40, $H40, $D40) - BSPrice($B40,$J40, $K40, $C40, ($I40-$B$1)/365, $G40, $H40, $D40)) * $F40</f>
        <v/>
      </c>
    </row>
    <row r="41">
      <c r="A41" s="3" t="inlineStr">
        <is>
          <t>SX5E Index</t>
        </is>
      </c>
      <c r="B41" s="4">
        <f>VLOOKUP(A41,PriceData!$K$4:$L$6,2,FALSE)</f>
        <v/>
      </c>
      <c r="C41" s="46">
        <f>VLOOKUP(A41,PriceData!$K$4:$M$6,3,FALSE)</f>
        <v/>
      </c>
      <c r="D41" s="4" t="inlineStr">
        <is>
          <t>Option</t>
        </is>
      </c>
      <c r="E41" s="4" t="inlineStr">
        <is>
          <t>EUR</t>
        </is>
      </c>
      <c r="F41" s="4" t="n">
        <v>-20</v>
      </c>
      <c r="G41" s="4" t="n">
        <v>2992</v>
      </c>
      <c r="H41" s="4" t="inlineStr">
        <is>
          <t>Put</t>
        </is>
      </c>
      <c r="I41" s="5" t="n">
        <v>40256</v>
      </c>
      <c r="J41" s="46">
        <f>FindImpliedVol(A41, D41, G41, I41)</f>
        <v/>
      </c>
      <c r="K41" s="30">
        <f>VLOOKUP(I41,PriceData!$A$5:$D$7,MATCH($E41,PriceData!$A$4:$D$4,0),FALSE)</f>
        <v/>
      </c>
      <c r="L41" s="2">
        <f>BSPrice($B41,$J41, $K41, $C41, ($I41-$B$1)/365, $G41, $H41, $D41)</f>
        <v/>
      </c>
      <c r="M41" s="2">
        <f>F41*L41</f>
        <v/>
      </c>
      <c r="N41" s="4" t="inlineStr">
        <is>
          <t>Exch</t>
        </is>
      </c>
      <c r="P41" s="60">
        <f>BSDelta(B41, J41, K41, C41, (I41-$B$1)/365, G41, H41, D41)</f>
        <v/>
      </c>
      <c r="Q41" s="60">
        <f>BSGamma(B41, J41, K41, C41, (I41-$B$1)/365, G41, D41)</f>
        <v/>
      </c>
      <c r="R41" s="58">
        <f>BSVega(B41, J41, K41, C41, (I41-$B$1)/365,G41, D41)</f>
        <v/>
      </c>
      <c r="S41" s="58">
        <f>BSVolga(B41, J41, K41, C41, (I41-$B$1)/365,G41, D41)</f>
        <v/>
      </c>
      <c r="T41" s="58">
        <f>BSVanna(B41,J41,K41, C41, (I41-$B$1)/365, G41, D41)</f>
        <v/>
      </c>
      <c r="U41" s="2">
        <f>BSRho(B41, J41, K41, C41, (I41-$B$1)/365, G41, H41, D41)</f>
        <v/>
      </c>
      <c r="V41" s="65">
        <f>$F41*$P41</f>
        <v/>
      </c>
      <c r="W41" s="65">
        <f>$F41*$Q41</f>
        <v/>
      </c>
      <c r="X41" s="78">
        <f>$F41*R41</f>
        <v/>
      </c>
      <c r="Y41" s="78">
        <f>$F41*S41</f>
        <v/>
      </c>
      <c r="Z41" s="78">
        <f>$F41*T41</f>
        <v/>
      </c>
      <c r="AA41" s="78">
        <f>$F41*U41</f>
        <v/>
      </c>
      <c r="AB41" s="78">
        <f>(BSPrice($B41*0.8,$J41, $K41, $C41, ($I41-$B$1)/365, $G41, $H41, $D41) - BSPrice($B41,$J41, $K41, $C41, ($I41-$B$1)/365, $G41, $H41, $D41)) * $F41</f>
        <v/>
      </c>
      <c r="AC41" s="78">
        <f>(BSPrice($B41*0.9,$J41, $K41, $C41, ($I41-$B$1)/365, $G41, $H41, $D41) - BSPrice($B41,$J41, $K41, $C41, ($I41-$B$1)/365, $G41, $H41, $D41)) * $F41</f>
        <v/>
      </c>
      <c r="AD41" s="78">
        <f>(BSPrice($B41*0.95,$J41, $K41, $C41, ($I41-$B$1)/365, $G41, $H41, $D41) - BSPrice($B41,$J41, $K41, $C41, ($I41-$B$1)/365, $G41, $H41, $D41)) * $F41</f>
        <v/>
      </c>
      <c r="AE41" s="78">
        <f>(BSPrice($B41*0.98,$J41, $K41, $C41, ($I41-$B$1)/365, $G41, $H41, $D41) - BSPrice($B41,$J41, $K41, $C41, ($I41-$B$1)/365, $G41, $H41, $D41)) * $F41</f>
        <v/>
      </c>
      <c r="AF41" s="78">
        <f>(BSPrice($B41*1.02,$J41, $K41, $C41, ($I41-$B$1)/365, $G41, $H41, $D41) - BSPrice($B41,$J41, $K41, $C41, ($I41-$B$1)/365, $G41, $H41, $D41)) * $F41</f>
        <v/>
      </c>
      <c r="AG41" s="78">
        <f>(BSPrice($B41*1.05,$J41, $K41, $C41, ($I41-$B$1)/365, $G41, $H41, $D41) - BSPrice($B41,$J41, $K41, $C41, ($I41-$B$1)/365, $G41, $H41, $D41)) * $F41</f>
        <v/>
      </c>
      <c r="AH41" s="78">
        <f>(BSPrice($B41*1.1,$J41, $K41, $C41, ($I41-$B$1)/365, $G41, $H41, $D41) - BSPrice($B41,$J41, $K41, $C41, ($I41-$B$1)/365, $G41, $H41, $D41)) * $F41</f>
        <v/>
      </c>
      <c r="AI41" s="78">
        <f>(BSPrice($B41*1.2,$J41, $K41, $C41, ($I41-$B$1)/365, $G41, $H41, $D41) - BSPrice($B41,$J41, $K41, $C41, ($I41-$B$1)/365, $G41, $H41, $D41)) * $F41</f>
        <v/>
      </c>
      <c r="AJ41" s="78">
        <f>(BSPrice($B41,$J41-0.1, $K41, $C41, ($I41-$B$1)/365, $G41, $H41, $D41) - BSPrice($B41,$J41, $K41, $C41, ($I41-$B$1)/365, $G41, $H41, $D41)) * $F41</f>
        <v/>
      </c>
      <c r="AK41" s="78">
        <f>(BSPrice($B41,$J41-0.05,$K41,$C41,($I41-$B$1)/365,$G41,$H41,$D41)-BSPrice($B41,$J41,$K41,$C41,($I41-$B$1)/365,$G41,$H41,$D41))*$F41</f>
        <v/>
      </c>
      <c r="AL41" s="78">
        <f>(BSPrice($B41,$J41-0.02, $K41, $C41, ($I41-$B$1)/365, $G41, $H41, $D41) - BSPrice($B41,$J41, $K41, $C41, ($I41-$B$1)/365, $G41, $H41, $D41)) * $F41</f>
        <v/>
      </c>
      <c r="AM41" s="78">
        <f>(BSPrice($B41,$J41-0.01, $K41, $C41, ($I41-$B$1)/365, $G41, $H41, $D41) - BSPrice($B41,$J41, $K41, $C41, ($I41-$B$1)/365, $G41, $H41, $D41)) * $F41</f>
        <v/>
      </c>
      <c r="AN41" s="78">
        <f>(BSPrice($B41,$J41+0.01, $K41, $C41, ($I41-$B$1)/365, $G41, $H41, $D41) - BSPrice($B41,$J41, $K41, $C41, ($I41-$B$1)/365, $G41, $H41, $D41)) * $F41</f>
        <v/>
      </c>
      <c r="AO41" s="78">
        <f>(BSPrice($B41,$J41+0.02, $K41, $C41, ($I41-$B$1)/365, $G41, $H41, $D41) - BSPrice($B41,$J41, $K41, $C41, ($I41-$B$1)/365, $G41, $H41, $D41)) * $F41</f>
        <v/>
      </c>
      <c r="AP41" s="78">
        <f>(BSPrice($B41,$J41+0.05, $K41, $C41, ($I41-$B$1)/365, $G41, $H41, $D41) - BSPrice($B41,$J41, $K41, $C41, ($I41-$B$1)/365, $G41, $H41, $D41)) * $F41</f>
        <v/>
      </c>
      <c r="AQ41" s="78">
        <f>(BSPrice($B41,$J41+0.1, $K41, $C41, ($I41-$B$1)/365, $G41, $H41, $D41) - BSPrice($B41,$J41, $K41, $C41, ($I41-$B$1)/365, $G41, $H41, $D41)) * $F41</f>
        <v/>
      </c>
      <c r="AR41" s="60">
        <f>(BSPrice($B41*0.8,$J41+-0.05, $K41, $C41, ($I41-$B$1)/365, $G41, $H41, $D41) - BSPrice($B41,$J41, $K41, $C41, ($I41-$B$1)/365, $G41, $H41, $D41)) * $F41</f>
        <v/>
      </c>
      <c r="AS41" s="60">
        <f>(BSPrice($B41*0.8,$J41+-0.02, $K41, $C41, ($I41-$B$1)/365, $G41, $H41, $D41) - BSPrice($B41,$J41, $K41, $C41, ($I41-$B$1)/365, $G41, $H41, $D41)) * $F41</f>
        <v/>
      </c>
      <c r="AT41" s="60">
        <f>(BSPrice($B41*0.8,$J41+0, $K41, $C41, ($I41-$B$1)/365, $G41, $H41, $D41) - BSPrice($B41,$J41, $K41, $C41, ($I41-$B$1)/365, $G41, $H41, $D41)) * $F41</f>
        <v/>
      </c>
      <c r="AU41" s="60">
        <f>(BSPrice($B41*0.8,$J41+0.02, $K41, $C41, ($I41-$B$1)/365, $G41, $H41, $D41) - BSPrice($B41,$J41, $K41, $C41, ($I41-$B$1)/365, $G41, $H41, $D41)) * $F41</f>
        <v/>
      </c>
      <c r="AV41" s="60">
        <f>(BSPrice($B41*0.8,$J41+0.05, $K41, $C41, ($I41-$B$1)/365, $G41, $H41, $D41) - BSPrice($B41,$J41, $K41, $C41, ($I41-$B$1)/365, $G41, $H41, $D41)) * $F41</f>
        <v/>
      </c>
      <c r="AW41" s="60">
        <f>(BSPrice($B41*0.8,$J41+0.1, $K41, $C41, ($I41-$B$1)/365, $G41, $H41, $D41) - BSPrice($B41,$J41, $K41, $C41, ($I41-$B$1)/365, $G41, $H41, $D41)) * $F41</f>
        <v/>
      </c>
      <c r="AX41" s="60">
        <f>(BSPrice($B41*0.8,$J41+0.2, $K41, $C41, ($I41-$B$1)/365, $G41, $H41, $D41) - BSPrice($B41,$J41, $K41, $C41, ($I41-$B$1)/365, $G41, $H41, $D41)) * $F41</f>
        <v/>
      </c>
      <c r="AY41" s="60">
        <f>(BSPrice($B41*0.9,$J41+-0.05, $K41, $C41, ($I41-$B$1)/365, $G41, $H41, $D41) - BSPrice($B41,$J41, $K41, $C41, ($I41-$B$1)/365, $G41, $H41, $D41)) * $F41</f>
        <v/>
      </c>
      <c r="AZ41" s="60">
        <f>(BSPrice($B41*0.9,$J41+-0.02, $K41, $C41, ($I41-$B$1)/365, $G41, $H41, $D41) - BSPrice($B41,$J41, $K41, $C41, ($I41-$B$1)/365, $G41, $H41, $D41)) * $F41</f>
        <v/>
      </c>
      <c r="BA41" s="60">
        <f>(BSPrice($B41*0.9,$J41+0, $K41, $C41, ($I41-$B$1)/365, $G41, $H41, $D41) - BSPrice($B41,$J41, $K41, $C41, ($I41-$B$1)/365, $G41, $H41, $D41)) * $F41</f>
        <v/>
      </c>
      <c r="BB41" s="60">
        <f>(BSPrice($B41*0.9,$J41+0.02, $K41, $C41, ($I41-$B$1)/365, $G41, $H41, $D41) - BSPrice($B41,$J41, $K41, $C41, ($I41-$B$1)/365, $G41, $H41, $D41)) * $F41</f>
        <v/>
      </c>
      <c r="BC41" s="60">
        <f>(BSPrice($B41*0.9,$J41+0.05, $K41, $C41, ($I41-$B$1)/365, $G41, $H41, $D41) - BSPrice($B41,$J41, $K41, $C41, ($I41-$B$1)/365, $G41, $H41, $D41)) * $F41</f>
        <v/>
      </c>
      <c r="BD41" s="60">
        <f>(BSPrice($B41*0.9,$J41+0.1, $K41, $C41, ($I41-$B$1)/365, $G41, $H41, $D41) - BSPrice($B41,$J41, $K41, $C41, ($I41-$B$1)/365, $G41, $H41, $D41)) * $F41</f>
        <v/>
      </c>
      <c r="BE41" s="60">
        <f>(BSPrice($B41*0.9,$J41+0.2, $K41, $C41, ($I41-$B$1)/365, $G41, $H41, $D41) - BSPrice($B41,$J41, $K41, $C41, ($I41-$B$1)/365, $G41, $H41, $D41)) * $F41</f>
        <v/>
      </c>
      <c r="BF41" s="60">
        <f>(BSPrice($B41*0.95,$J41+-0.05, $K41, $C41, ($I41-$B$1)/365, $G41, $H41, $D41) - BSPrice($B41,$J41, $K41, $C41, ($I41-$B$1)/365, $G41, $H41, $D41)) * $F41</f>
        <v/>
      </c>
      <c r="BG41" s="60">
        <f>(BSPrice($B41*0.95,$J41+-0.02, $K41, $C41, ($I41-$B$1)/365, $G41, $H41, $D41) - BSPrice($B41,$J41, $K41, $C41, ($I41-$B$1)/365, $G41, $H41, $D41)) * $F41</f>
        <v/>
      </c>
      <c r="BH41" s="60">
        <f>(BSPrice($B41*0.95,$J41+0, $K41, $C41, ($I41-$B$1)/365, $G41, $H41, $D41) - BSPrice($B41,$J41, $K41, $C41, ($I41-$B$1)/365, $G41, $H41, $D41)) * $F41</f>
        <v/>
      </c>
      <c r="BI41" s="60">
        <f>(BSPrice($B41*0.95,$J41+0.02, $K41, $C41, ($I41-$B$1)/365, $G41, $H41, $D41) - BSPrice($B41,$J41, $K41, $C41, ($I41-$B$1)/365, $G41, $H41, $D41)) * $F41</f>
        <v/>
      </c>
      <c r="BJ41" s="60">
        <f>(BSPrice($B41*0.95,$J41+0.05, $K41, $C41, ($I41-$B$1)/365, $G41, $H41, $D41) - BSPrice($B41,$J41, $K41, $C41, ($I41-$B$1)/365, $G41, $H41, $D41)) * $F41</f>
        <v/>
      </c>
      <c r="BK41" s="60">
        <f>(BSPrice($B41*0.95,$J41+0.1, $K41, $C41, ($I41-$B$1)/365, $G41, $H41, $D41) - BSPrice($B41,$J41, $K41, $C41, ($I41-$B$1)/365, $G41, $H41, $D41)) * $F41</f>
        <v/>
      </c>
      <c r="BL41" s="60">
        <f>(BSPrice($B41*0.95,$J41+0.2, $K41, $C41, ($I41-$B$1)/365, $G41, $H41, $D41) - BSPrice($B41,$J41, $K41, $C41, ($I41-$B$1)/365, $G41, $H41, $D41)) * $F41</f>
        <v/>
      </c>
      <c r="BM41" s="60">
        <f>(BSPrice($B41*1,$J41+-0.05, $K41, $C41, ($I41-$B$1)/365, $G41, $H41, $D41) - BSPrice($B41,$J41, $K41, $C41, ($I41-$B$1)/365, $G41, $H41, $D41)) * $F41</f>
        <v/>
      </c>
      <c r="BN41" s="60">
        <f>(BSPrice($B41*1,$J41+-0.02, $K41, $C41, ($I41-$B$1)/365, $G41, $H41, $D41) - BSPrice($B41,$J41, $K41, $C41, ($I41-$B$1)/365, $G41, $H41, $D41)) * $F41</f>
        <v/>
      </c>
      <c r="BO41" s="60">
        <f>(BSPrice($B41*1,$J41+0, $K41, $C41, ($I41-$B$1)/365, $G41, $H41, $D41) - BSPrice($B41,$J41, $K41, $C41, ($I41-$B$1)/365, $G41, $H41, $D41)) * $F41</f>
        <v/>
      </c>
      <c r="BP41" s="60">
        <f>(BSPrice($B41*1,$J41+0.02, $K41, $C41, ($I41-$B$1)/365, $G41, $H41, $D41) - BSPrice($B41,$J41, $K41, $C41, ($I41-$B$1)/365, $G41, $H41, $D41)) * $F41</f>
        <v/>
      </c>
      <c r="BQ41" s="60">
        <f>(BSPrice($B41*1,$J41+0.05, $K41, $C41, ($I41-$B$1)/365, $G41, $H41, $D41) - BSPrice($B41,$J41, $K41, $C41, ($I41-$B$1)/365, $G41, $H41, $D41)) * $F41</f>
        <v/>
      </c>
      <c r="BR41" s="60">
        <f>(BSPrice($B41*1,$J41+0.1, $K41, $C41, ($I41-$B$1)/365, $G41, $H41, $D41) - BSPrice($B41,$J41, $K41, $C41, ($I41-$B$1)/365, $G41, $H41, $D41)) * $F41</f>
        <v/>
      </c>
      <c r="BS41" s="60">
        <f>(BSPrice($B41*1,$J41+0.2, $K41, $C41, ($I41-$B$1)/365, $G41, $H41, $D41) - BSPrice($B41,$J41, $K41, $C41, ($I41-$B$1)/365, $G41, $H41, $D41)) * $F41</f>
        <v/>
      </c>
      <c r="BT41" s="60">
        <f>(BSPrice($B41*1.05,$J41+-0.05, $K41, $C41, ($I41-$B$1)/365, $G41, $H41, $D41) - BSPrice($B41,$J41, $K41, $C41, ($I41-$B$1)/365, $G41, $H41, $D41)) * $F41</f>
        <v/>
      </c>
      <c r="BU41" s="60">
        <f>(BSPrice($B41*1.05,$J41+-0.02, $K41, $C41, ($I41-$B$1)/365, $G41, $H41, $D41) - BSPrice($B41,$J41, $K41, $C41, ($I41-$B$1)/365, $G41, $H41, $D41)) * $F41</f>
        <v/>
      </c>
      <c r="BV41" s="60">
        <f>(BSPrice($B41*1.05,$J41+0, $K41, $C41, ($I41-$B$1)/365, $G41, $H41, $D41) - BSPrice($B41,$J41, $K41, $C41, ($I41-$B$1)/365, $G41, $H41, $D41)) * $F41</f>
        <v/>
      </c>
      <c r="BW41" s="60">
        <f>(BSPrice($B41*1.05,$J41+0.02, $K41, $C41, ($I41-$B$1)/365, $G41, $H41, $D41) - BSPrice($B41,$J41, $K41, $C41, ($I41-$B$1)/365, $G41, $H41, $D41)) * $F41</f>
        <v/>
      </c>
      <c r="BX41" s="60">
        <f>(BSPrice($B41*1.05,$J41+0.05, $K41, $C41, ($I41-$B$1)/365, $G41, $H41, $D41) - BSPrice($B41,$J41, $K41, $C41, ($I41-$B$1)/365, $G41, $H41, $D41)) * $F41</f>
        <v/>
      </c>
      <c r="BY41" s="60">
        <f>(BSPrice($B41*1.05,$J41+0.1, $K41, $C41, ($I41-$B$1)/365, $G41, $H41, $D41) - BSPrice($B41,$J41, $K41, $C41, ($I41-$B$1)/365, $G41, $H41, $D41)) * $F41</f>
        <v/>
      </c>
      <c r="BZ41" s="60">
        <f>(BSPrice($B41*1.05,$J41+0.2, $K41, $C41, ($I41-$B$1)/365, $G41, $H41, $D41) - BSPrice($B41,$J41, $K41, $C41, ($I41-$B$1)/365, $G41, $H41, $D41)) * $F41</f>
        <v/>
      </c>
      <c r="CA41" s="60">
        <f>(BSPrice($B41*1.1,$J41+-0.05, $K41, $C41, ($I41-$B$1)/365, $G41, $H41, $D41) - BSPrice($B41,$J41, $K41, $C41, ($I41-$B$1)/365, $G41, $H41, $D41)) * $F41</f>
        <v/>
      </c>
      <c r="CB41" s="60">
        <f>(BSPrice($B41*1.1,$J41+-0.02, $K41, $C41, ($I41-$B$1)/365, $G41, $H41, $D41) - BSPrice($B41,$J41, $K41, $C41, ($I41-$B$1)/365, $G41, $H41, $D41)) * $F41</f>
        <v/>
      </c>
      <c r="CC41" s="60">
        <f>(BSPrice($B41*1.1,$J41+0, $K41, $C41, ($I41-$B$1)/365, $G41, $H41, $D41) - BSPrice($B41,$J41, $K41, $C41, ($I41-$B$1)/365, $G41, $H41, $D41)) * $F41</f>
        <v/>
      </c>
      <c r="CD41" s="60">
        <f>(BSPrice($B41*1.1,$J41+0.02, $K41, $C41, ($I41-$B$1)/365, $G41, $H41, $D41) - BSPrice($B41,$J41, $K41, $C41, ($I41-$B$1)/365, $G41, $H41, $D41)) * $F41</f>
        <v/>
      </c>
      <c r="CE41" s="60">
        <f>(BSPrice($B41*1.1,$J41+0.05, $K41, $C41, ($I41-$B$1)/365, $G41, $H41, $D41) - BSPrice($B41,$J41, $K41, $C41, ($I41-$B$1)/365, $G41, $H41, $D41)) * $F41</f>
        <v/>
      </c>
      <c r="CF41" s="60">
        <f>(BSPrice($B41*1.1,$J41+0.1, $K41, $C41, ($I41-$B$1)/365, $G41, $H41, $D41) - BSPrice($B41,$J41, $K41, $C41, ($I41-$B$1)/365, $G41, $H41, $D41)) * $F41</f>
        <v/>
      </c>
      <c r="CG41" s="60">
        <f>(BSPrice($B41*1.1,$J41+0.2, $K41, $C41, ($I41-$B$1)/365, $G41, $H41, $D41) - BSPrice($B41,$J41, $K41, $C41, ($I41-$B$1)/365, $G41, $H41, $D41)) * $F41</f>
        <v/>
      </c>
      <c r="CH41" s="60">
        <f>(BSPrice($B41*1.2,$J41+-0.05, $K41, $C41, ($I41-$B$1)/365, $G41, $H41, $D41) - BSPrice($B41,$J41, $K41, $C41, ($I41-$B$1)/365, $G41, $H41, $D41)) * $F41</f>
        <v/>
      </c>
      <c r="CI41" s="60">
        <f>(BSPrice($B41*1.2,$J41+-0.02, $K41, $C41, ($I41-$B$1)/365, $G41, $H41, $D41) - BSPrice($B41,$J41, $K41, $C41, ($I41-$B$1)/365, $G41, $H41, $D41)) * $F41</f>
        <v/>
      </c>
      <c r="CJ41" s="60">
        <f>(BSPrice($B41*1.2,$J41+0, $K41, $C41, ($I41-$B$1)/365, $G41, $H41, $D41) - BSPrice($B41,$J41, $K41, $C41, ($I41-$B$1)/365, $G41, $H41, $D41)) * $F41</f>
        <v/>
      </c>
      <c r="CK41" s="60">
        <f>(BSPrice($B41*1.2,$J41+0.02, $K41, $C41, ($I41-$B$1)/365, $G41, $H41, $D41) - BSPrice($B41,$J41, $K41, $C41, ($I41-$B$1)/365, $G41, $H41, $D41)) * $F41</f>
        <v/>
      </c>
      <c r="CL41" s="60">
        <f>(BSPrice($B41*1.2,$J41+0.05, $K41, $C41, ($I41-$B$1)/365, $G41, $H41, $D41) - BSPrice($B41,$J41, $K41, $C41, ($I41-$B$1)/365, $G41, $H41, $D41)) * $F41</f>
        <v/>
      </c>
      <c r="CM41" s="60">
        <f>(BSPrice($B41*1.2,$J41+0.1, $K41, $C41, ($I41-$B$1)/365, $G41, $H41, $D41) - BSPrice($B41,$J41, $K41, $C41, ($I41-$B$1)/365, $G41, $H41, $D41)) * $F41</f>
        <v/>
      </c>
      <c r="CN41" s="60">
        <f>(BSPrice($B41*1.2,$J41+0.2, $K41, $C41, ($I41-$B$1)/365, $G41, $H41, $D41) - BSPrice($B41,$J41, $K41, $C41, ($I41-$B$1)/365, $G41, $H41, $D41)) * $F41</f>
        <v/>
      </c>
    </row>
    <row r="42">
      <c r="A42" s="3" t="inlineStr">
        <is>
          <t>SX5E Index</t>
        </is>
      </c>
      <c r="B42" s="4">
        <f>VLOOKUP(A42,PriceData!$K$4:$L$6,2,FALSE)</f>
        <v/>
      </c>
      <c r="C42" s="46">
        <f>VLOOKUP(A42,PriceData!$K$4:$M$6,3,FALSE)</f>
        <v/>
      </c>
      <c r="D42" s="4" t="inlineStr">
        <is>
          <t>Option</t>
        </is>
      </c>
      <c r="E42" s="4" t="inlineStr">
        <is>
          <t>EUR</t>
        </is>
      </c>
      <c r="F42" s="4" t="n">
        <v>-10</v>
      </c>
      <c r="G42" s="4" t="n">
        <v>2556</v>
      </c>
      <c r="H42" s="4" t="inlineStr">
        <is>
          <t>Put</t>
        </is>
      </c>
      <c r="I42" s="5" t="n">
        <v>40256</v>
      </c>
      <c r="J42" s="46">
        <f>FindImpliedVol(A42, D42, G42, I42)</f>
        <v/>
      </c>
      <c r="K42" s="30">
        <f>VLOOKUP(I42,PriceData!$A$5:$D$7,MATCH($E42,PriceData!$A$4:$D$4,0),FALSE)</f>
        <v/>
      </c>
      <c r="L42" s="2">
        <f>BSPrice($B42,$J42, $K42, $C42, ($I42-$B$1)/365, $G42, $H42, $D42)</f>
        <v/>
      </c>
      <c r="M42" s="2">
        <f>F42*L42</f>
        <v/>
      </c>
      <c r="N42" s="4" t="inlineStr">
        <is>
          <t>UBS</t>
        </is>
      </c>
      <c r="P42" s="60">
        <f>BSDelta(B42, J42, K42, C42, (I42-$B$1)/365, G42, H42, D42)</f>
        <v/>
      </c>
      <c r="Q42" s="60">
        <f>BSGamma(B42, J42, K42, C42, (I42-$B$1)/365, G42, D42)</f>
        <v/>
      </c>
      <c r="R42" s="58">
        <f>BSVega(B42, J42, K42, C42, (I42-$B$1)/365,G42, D42)</f>
        <v/>
      </c>
      <c r="S42" s="58">
        <f>BSVolga(B42, J42, K42, C42, (I42-$B$1)/365,G42, D42)</f>
        <v/>
      </c>
      <c r="T42" s="58">
        <f>BSVanna(B42,J42,K42, C42, (I42-$B$1)/365, G42, D42)</f>
        <v/>
      </c>
      <c r="U42" s="2">
        <f>BSRho(B42, J42, K42, C42, (I42-$B$1)/365, G42, H42, D42)</f>
        <v/>
      </c>
      <c r="V42" s="65">
        <f>$F42*$P42</f>
        <v/>
      </c>
      <c r="W42" s="65">
        <f>$F42*$Q42</f>
        <v/>
      </c>
      <c r="X42" s="78">
        <f>$F42*R42</f>
        <v/>
      </c>
      <c r="Y42" s="78">
        <f>$F42*S42</f>
        <v/>
      </c>
      <c r="Z42" s="78">
        <f>$F42*T42</f>
        <v/>
      </c>
      <c r="AA42" s="78">
        <f>$F42*U42</f>
        <v/>
      </c>
      <c r="AB42" s="78">
        <f>(BSPrice($B42*0.8,$J42, $K42, $C42, ($I42-$B$1)/365, $G42, $H42, $D42) - BSPrice($B42,$J42, $K42, $C42, ($I42-$B$1)/365, $G42, $H42, $D42)) * $F42</f>
        <v/>
      </c>
      <c r="AC42" s="78">
        <f>(BSPrice($B42*0.9,$J42, $K42, $C42, ($I42-$B$1)/365, $G42, $H42, $D42) - BSPrice($B42,$J42, $K42, $C42, ($I42-$B$1)/365, $G42, $H42, $D42)) * $F42</f>
        <v/>
      </c>
      <c r="AD42" s="78">
        <f>(BSPrice($B42*0.95,$J42, $K42, $C42, ($I42-$B$1)/365, $G42, $H42, $D42) - BSPrice($B42,$J42, $K42, $C42, ($I42-$B$1)/365, $G42, $H42, $D42)) * $F42</f>
        <v/>
      </c>
      <c r="AE42" s="78">
        <f>(BSPrice($B42*0.98,$J42, $K42, $C42, ($I42-$B$1)/365, $G42, $H42, $D42) - BSPrice($B42,$J42, $K42, $C42, ($I42-$B$1)/365, $G42, $H42, $D42)) * $F42</f>
        <v/>
      </c>
      <c r="AF42" s="78">
        <f>(BSPrice($B42*1.02,$J42, $K42, $C42, ($I42-$B$1)/365, $G42, $H42, $D42) - BSPrice($B42,$J42, $K42, $C42, ($I42-$B$1)/365, $G42, $H42, $D42)) * $F42</f>
        <v/>
      </c>
      <c r="AG42" s="78">
        <f>(BSPrice($B42*1.05,$J42, $K42, $C42, ($I42-$B$1)/365, $G42, $H42, $D42) - BSPrice($B42,$J42, $K42, $C42, ($I42-$B$1)/365, $G42, $H42, $D42)) * $F42</f>
        <v/>
      </c>
      <c r="AH42" s="78">
        <f>(BSPrice($B42*1.1,$J42, $K42, $C42, ($I42-$B$1)/365, $G42, $H42, $D42) - BSPrice($B42,$J42, $K42, $C42, ($I42-$B$1)/365, $G42, $H42, $D42)) * $F42</f>
        <v/>
      </c>
      <c r="AI42" s="78">
        <f>(BSPrice($B42*1.2,$J42, $K42, $C42, ($I42-$B$1)/365, $G42, $H42, $D42) - BSPrice($B42,$J42, $K42, $C42, ($I42-$B$1)/365, $G42, $H42, $D42)) * $F42</f>
        <v/>
      </c>
      <c r="AJ42" s="78">
        <f>(BSPrice($B42,$J42-0.1, $K42, $C42, ($I42-$B$1)/365, $G42, $H42, $D42) - BSPrice($B42,$J42, $K42, $C42, ($I42-$B$1)/365, $G42, $H42, $D42)) * $F42</f>
        <v/>
      </c>
      <c r="AK42" s="78">
        <f>(BSPrice($B42,$J42-0.05,$K42,$C42,($I42-$B$1)/365,$G42,$H42,$D42)-BSPrice($B42,$J42,$K42,$C42,($I42-$B$1)/365,$G42,$H42,$D42))*$F42</f>
        <v/>
      </c>
      <c r="AL42" s="78">
        <f>(BSPrice($B42,$J42-0.02, $K42, $C42, ($I42-$B$1)/365, $G42, $H42, $D42) - BSPrice($B42,$J42, $K42, $C42, ($I42-$B$1)/365, $G42, $H42, $D42)) * $F42</f>
        <v/>
      </c>
      <c r="AM42" s="78">
        <f>(BSPrice($B42,$J42-0.01, $K42, $C42, ($I42-$B$1)/365, $G42, $H42, $D42) - BSPrice($B42,$J42, $K42, $C42, ($I42-$B$1)/365, $G42, $H42, $D42)) * $F42</f>
        <v/>
      </c>
      <c r="AN42" s="78">
        <f>(BSPrice($B42,$J42+0.01, $K42, $C42, ($I42-$B$1)/365, $G42, $H42, $D42) - BSPrice($B42,$J42, $K42, $C42, ($I42-$B$1)/365, $G42, $H42, $D42)) * $F42</f>
        <v/>
      </c>
      <c r="AO42" s="78">
        <f>(BSPrice($B42,$J42+0.02, $K42, $C42, ($I42-$B$1)/365, $G42, $H42, $D42) - BSPrice($B42,$J42, $K42, $C42, ($I42-$B$1)/365, $G42, $H42, $D42)) * $F42</f>
        <v/>
      </c>
      <c r="AP42" s="78">
        <f>(BSPrice($B42,$J42+0.05, $K42, $C42, ($I42-$B$1)/365, $G42, $H42, $D42) - BSPrice($B42,$J42, $K42, $C42, ($I42-$B$1)/365, $G42, $H42, $D42)) * $F42</f>
        <v/>
      </c>
      <c r="AQ42" s="78">
        <f>(BSPrice($B42,$J42+0.1, $K42, $C42, ($I42-$B$1)/365, $G42, $H42, $D42) - BSPrice($B42,$J42, $K42, $C42, ($I42-$B$1)/365, $G42, $H42, $D42)) * $F42</f>
        <v/>
      </c>
      <c r="AR42" s="60">
        <f>(BSPrice($B42*0.8,$J42+-0.05, $K42, $C42, ($I42-$B$1)/365, $G42, $H42, $D42) - BSPrice($B42,$J42, $K42, $C42, ($I42-$B$1)/365, $G42, $H42, $D42)) * $F42</f>
        <v/>
      </c>
      <c r="AS42" s="60">
        <f>(BSPrice($B42*0.8,$J42+-0.02, $K42, $C42, ($I42-$B$1)/365, $G42, $H42, $D42) - BSPrice($B42,$J42, $K42, $C42, ($I42-$B$1)/365, $G42, $H42, $D42)) * $F42</f>
        <v/>
      </c>
      <c r="AT42" s="60">
        <f>(BSPrice($B42*0.8,$J42+0, $K42, $C42, ($I42-$B$1)/365, $G42, $H42, $D42) - BSPrice($B42,$J42, $K42, $C42, ($I42-$B$1)/365, $G42, $H42, $D42)) * $F42</f>
        <v/>
      </c>
      <c r="AU42" s="60">
        <f>(BSPrice($B42*0.8,$J42+0.02, $K42, $C42, ($I42-$B$1)/365, $G42, $H42, $D42) - BSPrice($B42,$J42, $K42, $C42, ($I42-$B$1)/365, $G42, $H42, $D42)) * $F42</f>
        <v/>
      </c>
      <c r="AV42" s="60">
        <f>(BSPrice($B42*0.8,$J42+0.05, $K42, $C42, ($I42-$B$1)/365, $G42, $H42, $D42) - BSPrice($B42,$J42, $K42, $C42, ($I42-$B$1)/365, $G42, $H42, $D42)) * $F42</f>
        <v/>
      </c>
      <c r="AW42" s="60">
        <f>(BSPrice($B42*0.8,$J42+0.1, $K42, $C42, ($I42-$B$1)/365, $G42, $H42, $D42) - BSPrice($B42,$J42, $K42, $C42, ($I42-$B$1)/365, $G42, $H42, $D42)) * $F42</f>
        <v/>
      </c>
      <c r="AX42" s="60">
        <f>(BSPrice($B42*0.8,$J42+0.2, $K42, $C42, ($I42-$B$1)/365, $G42, $H42, $D42) - BSPrice($B42,$J42, $K42, $C42, ($I42-$B$1)/365, $G42, $H42, $D42)) * $F42</f>
        <v/>
      </c>
      <c r="AY42" s="60">
        <f>(BSPrice($B42*0.9,$J42+-0.05, $K42, $C42, ($I42-$B$1)/365, $G42, $H42, $D42) - BSPrice($B42,$J42, $K42, $C42, ($I42-$B$1)/365, $G42, $H42, $D42)) * $F42</f>
        <v/>
      </c>
      <c r="AZ42" s="60">
        <f>(BSPrice($B42*0.9,$J42+-0.02, $K42, $C42, ($I42-$B$1)/365, $G42, $H42, $D42) - BSPrice($B42,$J42, $K42, $C42, ($I42-$B$1)/365, $G42, $H42, $D42)) * $F42</f>
        <v/>
      </c>
      <c r="BA42" s="60">
        <f>(BSPrice($B42*0.9,$J42+0, $K42, $C42, ($I42-$B$1)/365, $G42, $H42, $D42) - BSPrice($B42,$J42, $K42, $C42, ($I42-$B$1)/365, $G42, $H42, $D42)) * $F42</f>
        <v/>
      </c>
      <c r="BB42" s="60">
        <f>(BSPrice($B42*0.9,$J42+0.02, $K42, $C42, ($I42-$B$1)/365, $G42, $H42, $D42) - BSPrice($B42,$J42, $K42, $C42, ($I42-$B$1)/365, $G42, $H42, $D42)) * $F42</f>
        <v/>
      </c>
      <c r="BC42" s="60">
        <f>(BSPrice($B42*0.9,$J42+0.05, $K42, $C42, ($I42-$B$1)/365, $G42, $H42, $D42) - BSPrice($B42,$J42, $K42, $C42, ($I42-$B$1)/365, $G42, $H42, $D42)) * $F42</f>
        <v/>
      </c>
      <c r="BD42" s="60">
        <f>(BSPrice($B42*0.9,$J42+0.1, $K42, $C42, ($I42-$B$1)/365, $G42, $H42, $D42) - BSPrice($B42,$J42, $K42, $C42, ($I42-$B$1)/365, $G42, $H42, $D42)) * $F42</f>
        <v/>
      </c>
      <c r="BE42" s="60">
        <f>(BSPrice($B42*0.9,$J42+0.2, $K42, $C42, ($I42-$B$1)/365, $G42, $H42, $D42) - BSPrice($B42,$J42, $K42, $C42, ($I42-$B$1)/365, $G42, $H42, $D42)) * $F42</f>
        <v/>
      </c>
      <c r="BF42" s="60">
        <f>(BSPrice($B42*0.95,$J42+-0.05, $K42, $C42, ($I42-$B$1)/365, $G42, $H42, $D42) - BSPrice($B42,$J42, $K42, $C42, ($I42-$B$1)/365, $G42, $H42, $D42)) * $F42</f>
        <v/>
      </c>
      <c r="BG42" s="60">
        <f>(BSPrice($B42*0.95,$J42+-0.02, $K42, $C42, ($I42-$B$1)/365, $G42, $H42, $D42) - BSPrice($B42,$J42, $K42, $C42, ($I42-$B$1)/365, $G42, $H42, $D42)) * $F42</f>
        <v/>
      </c>
      <c r="BH42" s="60">
        <f>(BSPrice($B42*0.95,$J42+0, $K42, $C42, ($I42-$B$1)/365, $G42, $H42, $D42) - BSPrice($B42,$J42, $K42, $C42, ($I42-$B$1)/365, $G42, $H42, $D42)) * $F42</f>
        <v/>
      </c>
      <c r="BI42" s="60">
        <f>(BSPrice($B42*0.95,$J42+0.02, $K42, $C42, ($I42-$B$1)/365, $G42, $H42, $D42) - BSPrice($B42,$J42, $K42, $C42, ($I42-$B$1)/365, $G42, $H42, $D42)) * $F42</f>
        <v/>
      </c>
      <c r="BJ42" s="60">
        <f>(BSPrice($B42*0.95,$J42+0.05, $K42, $C42, ($I42-$B$1)/365, $G42, $H42, $D42) - BSPrice($B42,$J42, $K42, $C42, ($I42-$B$1)/365, $G42, $H42, $D42)) * $F42</f>
        <v/>
      </c>
      <c r="BK42" s="60">
        <f>(BSPrice($B42*0.95,$J42+0.1, $K42, $C42, ($I42-$B$1)/365, $G42, $H42, $D42) - BSPrice($B42,$J42, $K42, $C42, ($I42-$B$1)/365, $G42, $H42, $D42)) * $F42</f>
        <v/>
      </c>
      <c r="BL42" s="60">
        <f>(BSPrice($B42*0.95,$J42+0.2, $K42, $C42, ($I42-$B$1)/365, $G42, $H42, $D42) - BSPrice($B42,$J42, $K42, $C42, ($I42-$B$1)/365, $G42, $H42, $D42)) * $F42</f>
        <v/>
      </c>
      <c r="BM42" s="60">
        <f>(BSPrice($B42*1,$J42+-0.05, $K42, $C42, ($I42-$B$1)/365, $G42, $H42, $D42) - BSPrice($B42,$J42, $K42, $C42, ($I42-$B$1)/365, $G42, $H42, $D42)) * $F42</f>
        <v/>
      </c>
      <c r="BN42" s="60">
        <f>(BSPrice($B42*1,$J42+-0.02, $K42, $C42, ($I42-$B$1)/365, $G42, $H42, $D42) - BSPrice($B42,$J42, $K42, $C42, ($I42-$B$1)/365, $G42, $H42, $D42)) * $F42</f>
        <v/>
      </c>
      <c r="BO42" s="60">
        <f>(BSPrice($B42*1,$J42+0, $K42, $C42, ($I42-$B$1)/365, $G42, $H42, $D42) - BSPrice($B42,$J42, $K42, $C42, ($I42-$B$1)/365, $G42, $H42, $D42)) * $F42</f>
        <v/>
      </c>
      <c r="BP42" s="60">
        <f>(BSPrice($B42*1,$J42+0.02, $K42, $C42, ($I42-$B$1)/365, $G42, $H42, $D42) - BSPrice($B42,$J42, $K42, $C42, ($I42-$B$1)/365, $G42, $H42, $D42)) * $F42</f>
        <v/>
      </c>
      <c r="BQ42" s="60">
        <f>(BSPrice($B42*1,$J42+0.05, $K42, $C42, ($I42-$B$1)/365, $G42, $H42, $D42) - BSPrice($B42,$J42, $K42, $C42, ($I42-$B$1)/365, $G42, $H42, $D42)) * $F42</f>
        <v/>
      </c>
      <c r="BR42" s="60">
        <f>(BSPrice($B42*1,$J42+0.1, $K42, $C42, ($I42-$B$1)/365, $G42, $H42, $D42) - BSPrice($B42,$J42, $K42, $C42, ($I42-$B$1)/365, $G42, $H42, $D42)) * $F42</f>
        <v/>
      </c>
      <c r="BS42" s="60">
        <f>(BSPrice($B42*1,$J42+0.2, $K42, $C42, ($I42-$B$1)/365, $G42, $H42, $D42) - BSPrice($B42,$J42, $K42, $C42, ($I42-$B$1)/365, $G42, $H42, $D42)) * $F42</f>
        <v/>
      </c>
      <c r="BT42" s="60">
        <f>(BSPrice($B42*1.05,$J42+-0.05, $K42, $C42, ($I42-$B$1)/365, $G42, $H42, $D42) - BSPrice($B42,$J42, $K42, $C42, ($I42-$B$1)/365, $G42, $H42, $D42)) * $F42</f>
        <v/>
      </c>
      <c r="BU42" s="60">
        <f>(BSPrice($B42*1.05,$J42+-0.02, $K42, $C42, ($I42-$B$1)/365, $G42, $H42, $D42) - BSPrice($B42,$J42, $K42, $C42, ($I42-$B$1)/365, $G42, $H42, $D42)) * $F42</f>
        <v/>
      </c>
      <c r="BV42" s="60">
        <f>(BSPrice($B42*1.05,$J42+0, $K42, $C42, ($I42-$B$1)/365, $G42, $H42, $D42) - BSPrice($B42,$J42, $K42, $C42, ($I42-$B$1)/365, $G42, $H42, $D42)) * $F42</f>
        <v/>
      </c>
      <c r="BW42" s="60">
        <f>(BSPrice($B42*1.05,$J42+0.02, $K42, $C42, ($I42-$B$1)/365, $G42, $H42, $D42) - BSPrice($B42,$J42, $K42, $C42, ($I42-$B$1)/365, $G42, $H42, $D42)) * $F42</f>
        <v/>
      </c>
      <c r="BX42" s="60">
        <f>(BSPrice($B42*1.05,$J42+0.05, $K42, $C42, ($I42-$B$1)/365, $G42, $H42, $D42) - BSPrice($B42,$J42, $K42, $C42, ($I42-$B$1)/365, $G42, $H42, $D42)) * $F42</f>
        <v/>
      </c>
      <c r="BY42" s="60">
        <f>(BSPrice($B42*1.05,$J42+0.1, $K42, $C42, ($I42-$B$1)/365, $G42, $H42, $D42) - BSPrice($B42,$J42, $K42, $C42, ($I42-$B$1)/365, $G42, $H42, $D42)) * $F42</f>
        <v/>
      </c>
      <c r="BZ42" s="60">
        <f>(BSPrice($B42*1.05,$J42+0.2, $K42, $C42, ($I42-$B$1)/365, $G42, $H42, $D42) - BSPrice($B42,$J42, $K42, $C42, ($I42-$B$1)/365, $G42, $H42, $D42)) * $F42</f>
        <v/>
      </c>
      <c r="CA42" s="60">
        <f>(BSPrice($B42*1.1,$J42+-0.05, $K42, $C42, ($I42-$B$1)/365, $G42, $H42, $D42) - BSPrice($B42,$J42, $K42, $C42, ($I42-$B$1)/365, $G42, $H42, $D42)) * $F42</f>
        <v/>
      </c>
      <c r="CB42" s="60">
        <f>(BSPrice($B42*1.1,$J42+-0.02, $K42, $C42, ($I42-$B$1)/365, $G42, $H42, $D42) - BSPrice($B42,$J42, $K42, $C42, ($I42-$B$1)/365, $G42, $H42, $D42)) * $F42</f>
        <v/>
      </c>
      <c r="CC42" s="60">
        <f>(BSPrice($B42*1.1,$J42+0, $K42, $C42, ($I42-$B$1)/365, $G42, $H42, $D42) - BSPrice($B42,$J42, $K42, $C42, ($I42-$B$1)/365, $G42, $H42, $D42)) * $F42</f>
        <v/>
      </c>
      <c r="CD42" s="60">
        <f>(BSPrice($B42*1.1,$J42+0.02, $K42, $C42, ($I42-$B$1)/365, $G42, $H42, $D42) - BSPrice($B42,$J42, $K42, $C42, ($I42-$B$1)/365, $G42, $H42, $D42)) * $F42</f>
        <v/>
      </c>
      <c r="CE42" s="60">
        <f>(BSPrice($B42*1.1,$J42+0.05, $K42, $C42, ($I42-$B$1)/365, $G42, $H42, $D42) - BSPrice($B42,$J42, $K42, $C42, ($I42-$B$1)/365, $G42, $H42, $D42)) * $F42</f>
        <v/>
      </c>
      <c r="CF42" s="60">
        <f>(BSPrice($B42*1.1,$J42+0.1, $K42, $C42, ($I42-$B$1)/365, $G42, $H42, $D42) - BSPrice($B42,$J42, $K42, $C42, ($I42-$B$1)/365, $G42, $H42, $D42)) * $F42</f>
        <v/>
      </c>
      <c r="CG42" s="60">
        <f>(BSPrice($B42*1.1,$J42+0.2, $K42, $C42, ($I42-$B$1)/365, $G42, $H42, $D42) - BSPrice($B42,$J42, $K42, $C42, ($I42-$B$1)/365, $G42, $H42, $D42)) * $F42</f>
        <v/>
      </c>
      <c r="CH42" s="60">
        <f>(BSPrice($B42*1.2,$J42+-0.05, $K42, $C42, ($I42-$B$1)/365, $G42, $H42, $D42) - BSPrice($B42,$J42, $K42, $C42, ($I42-$B$1)/365, $G42, $H42, $D42)) * $F42</f>
        <v/>
      </c>
      <c r="CI42" s="60">
        <f>(BSPrice($B42*1.2,$J42+-0.02, $K42, $C42, ($I42-$B$1)/365, $G42, $H42, $D42) - BSPrice($B42,$J42, $K42, $C42, ($I42-$B$1)/365, $G42, $H42, $D42)) * $F42</f>
        <v/>
      </c>
      <c r="CJ42" s="60">
        <f>(BSPrice($B42*1.2,$J42+0, $K42, $C42, ($I42-$B$1)/365, $G42, $H42, $D42) - BSPrice($B42,$J42, $K42, $C42, ($I42-$B$1)/365, $G42, $H42, $D42)) * $F42</f>
        <v/>
      </c>
      <c r="CK42" s="60">
        <f>(BSPrice($B42*1.2,$J42+0.02, $K42, $C42, ($I42-$B$1)/365, $G42, $H42, $D42) - BSPrice($B42,$J42, $K42, $C42, ($I42-$B$1)/365, $G42, $H42, $D42)) * $F42</f>
        <v/>
      </c>
      <c r="CL42" s="60">
        <f>(BSPrice($B42*1.2,$J42+0.05, $K42, $C42, ($I42-$B$1)/365, $G42, $H42, $D42) - BSPrice($B42,$J42, $K42, $C42, ($I42-$B$1)/365, $G42, $H42, $D42)) * $F42</f>
        <v/>
      </c>
      <c r="CM42" s="60">
        <f>(BSPrice($B42*1.2,$J42+0.1, $K42, $C42, ($I42-$B$1)/365, $G42, $H42, $D42) - BSPrice($B42,$J42, $K42, $C42, ($I42-$B$1)/365, $G42, $H42, $D42)) * $F42</f>
        <v/>
      </c>
      <c r="CN42" s="60">
        <f>(BSPrice($B42*1.2,$J42+0.2, $K42, $C42, ($I42-$B$1)/365, $G42, $H42, $D42) - BSPrice($B42,$J42, $K42, $C42, ($I42-$B$1)/365, $G42, $H42, $D42)) * $F42</f>
        <v/>
      </c>
    </row>
    <row r="43">
      <c r="A43" s="3" t="inlineStr">
        <is>
          <t>SX5E Index</t>
        </is>
      </c>
      <c r="B43" s="4">
        <f>VLOOKUP(A43,PriceData!$K$4:$L$6,2,FALSE)</f>
        <v/>
      </c>
      <c r="C43" s="46">
        <f>VLOOKUP(A43,PriceData!$K$4:$M$6,3,FALSE)</f>
        <v/>
      </c>
      <c r="D43" s="4" t="inlineStr">
        <is>
          <t>Option</t>
        </is>
      </c>
      <c r="E43" s="4" t="inlineStr">
        <is>
          <t>EUR</t>
        </is>
      </c>
      <c r="F43" s="4" t="n">
        <v>-10</v>
      </c>
      <c r="G43" s="4" t="n">
        <v>3079</v>
      </c>
      <c r="H43" s="4" t="inlineStr">
        <is>
          <t>Call</t>
        </is>
      </c>
      <c r="I43" s="5" t="n">
        <v>40256</v>
      </c>
      <c r="J43" s="46">
        <f>FindImpliedVol(A43, D43, G43, I43)</f>
        <v/>
      </c>
      <c r="K43" s="30">
        <f>VLOOKUP(I43,PriceData!$A$5:$D$7,MATCH($E43,PriceData!$A$4:$D$4,0),FALSE)</f>
        <v/>
      </c>
      <c r="L43" s="2">
        <f>BSPrice($B43,$J43, $K43, $C43, ($I43-$B$1)/365, $G43, $H43, $D43)</f>
        <v/>
      </c>
      <c r="M43" s="2">
        <f>F43*L43</f>
        <v/>
      </c>
      <c r="N43" s="4" t="inlineStr">
        <is>
          <t>Exch</t>
        </is>
      </c>
      <c r="P43" s="60">
        <f>BSDelta(B43, J43, K43, C43, (I43-$B$1)/365, G43, H43, D43)</f>
        <v/>
      </c>
      <c r="Q43" s="60">
        <f>BSGamma(B43, J43, K43, C43, (I43-$B$1)/365, G43, D43)</f>
        <v/>
      </c>
      <c r="R43" s="58">
        <f>BSVega(B43, J43, K43, C43, (I43-$B$1)/365,G43, D43)</f>
        <v/>
      </c>
      <c r="S43" s="58">
        <f>BSVolga(B43, J43, K43, C43, (I43-$B$1)/365,G43, D43)</f>
        <v/>
      </c>
      <c r="T43" s="58">
        <f>BSVanna(B43,J43,K43, C43, (I43-$B$1)/365, G43, D43)</f>
        <v/>
      </c>
      <c r="U43" s="2">
        <f>BSRho(B43, J43, K43, C43, (I43-$B$1)/365, G43, H43, D43)</f>
        <v/>
      </c>
      <c r="V43" s="65">
        <f>$F43*$P43</f>
        <v/>
      </c>
      <c r="W43" s="65">
        <f>$F43*$Q43</f>
        <v/>
      </c>
      <c r="X43" s="78">
        <f>$F43*R43</f>
        <v/>
      </c>
      <c r="Y43" s="78">
        <f>$F43*S43</f>
        <v/>
      </c>
      <c r="Z43" s="78">
        <f>$F43*T43</f>
        <v/>
      </c>
      <c r="AA43" s="78">
        <f>$F43*U43</f>
        <v/>
      </c>
      <c r="AB43" s="78">
        <f>(BSPrice($B43*0.8,$J43, $K43, $C43, ($I43-$B$1)/365, $G43, $H43, $D43) - BSPrice($B43,$J43, $K43, $C43, ($I43-$B$1)/365, $G43, $H43, $D43)) * $F43</f>
        <v/>
      </c>
      <c r="AC43" s="78">
        <f>(BSPrice($B43*0.9,$J43, $K43, $C43, ($I43-$B$1)/365, $G43, $H43, $D43) - BSPrice($B43,$J43, $K43, $C43, ($I43-$B$1)/365, $G43, $H43, $D43)) * $F43</f>
        <v/>
      </c>
      <c r="AD43" s="78">
        <f>(BSPrice($B43*0.95,$J43, $K43, $C43, ($I43-$B$1)/365, $G43, $H43, $D43) - BSPrice($B43,$J43, $K43, $C43, ($I43-$B$1)/365, $G43, $H43, $D43)) * $F43</f>
        <v/>
      </c>
      <c r="AE43" s="78">
        <f>(BSPrice($B43*0.98,$J43, $K43, $C43, ($I43-$B$1)/365, $G43, $H43, $D43) - BSPrice($B43,$J43, $K43, $C43, ($I43-$B$1)/365, $G43, $H43, $D43)) * $F43</f>
        <v/>
      </c>
      <c r="AF43" s="78">
        <f>(BSPrice($B43*1.02,$J43, $K43, $C43, ($I43-$B$1)/365, $G43, $H43, $D43) - BSPrice($B43,$J43, $K43, $C43, ($I43-$B$1)/365, $G43, $H43, $D43)) * $F43</f>
        <v/>
      </c>
      <c r="AG43" s="78">
        <f>(BSPrice($B43*1.05,$J43, $K43, $C43, ($I43-$B$1)/365, $G43, $H43, $D43) - BSPrice($B43,$J43, $K43, $C43, ($I43-$B$1)/365, $G43, $H43, $D43)) * $F43</f>
        <v/>
      </c>
      <c r="AH43" s="78">
        <f>(BSPrice($B43*1.1,$J43, $K43, $C43, ($I43-$B$1)/365, $G43, $H43, $D43) - BSPrice($B43,$J43, $K43, $C43, ($I43-$B$1)/365, $G43, $H43, $D43)) * $F43</f>
        <v/>
      </c>
      <c r="AI43" s="78">
        <f>(BSPrice($B43*1.2,$J43, $K43, $C43, ($I43-$B$1)/365, $G43, $H43, $D43) - BSPrice($B43,$J43, $K43, $C43, ($I43-$B$1)/365, $G43, $H43, $D43)) * $F43</f>
        <v/>
      </c>
      <c r="AJ43" s="78">
        <f>(BSPrice($B43,$J43-0.1, $K43, $C43, ($I43-$B$1)/365, $G43, $H43, $D43) - BSPrice($B43,$J43, $K43, $C43, ($I43-$B$1)/365, $G43, $H43, $D43)) * $F43</f>
        <v/>
      </c>
      <c r="AK43" s="78">
        <f>(BSPrice($B43,$J43-0.05,$K43,$C43,($I43-$B$1)/365,$G43,$H43,$D43)-BSPrice($B43,$J43,$K43,$C43,($I43-$B$1)/365,$G43,$H43,$D43))*$F43</f>
        <v/>
      </c>
      <c r="AL43" s="78">
        <f>(BSPrice($B43,$J43-0.02, $K43, $C43, ($I43-$B$1)/365, $G43, $H43, $D43) - BSPrice($B43,$J43, $K43, $C43, ($I43-$B$1)/365, $G43, $H43, $D43)) * $F43</f>
        <v/>
      </c>
      <c r="AM43" s="78">
        <f>(BSPrice($B43,$J43-0.01, $K43, $C43, ($I43-$B$1)/365, $G43, $H43, $D43) - BSPrice($B43,$J43, $K43, $C43, ($I43-$B$1)/365, $G43, $H43, $D43)) * $F43</f>
        <v/>
      </c>
      <c r="AN43" s="78">
        <f>(BSPrice($B43,$J43+0.01, $K43, $C43, ($I43-$B$1)/365, $G43, $H43, $D43) - BSPrice($B43,$J43, $K43, $C43, ($I43-$B$1)/365, $G43, $H43, $D43)) * $F43</f>
        <v/>
      </c>
      <c r="AO43" s="78">
        <f>(BSPrice($B43,$J43+0.02, $K43, $C43, ($I43-$B$1)/365, $G43, $H43, $D43) - BSPrice($B43,$J43, $K43, $C43, ($I43-$B$1)/365, $G43, $H43, $D43)) * $F43</f>
        <v/>
      </c>
      <c r="AP43" s="78">
        <f>(BSPrice($B43,$J43+0.05, $K43, $C43, ($I43-$B$1)/365, $G43, $H43, $D43) - BSPrice($B43,$J43, $K43, $C43, ($I43-$B$1)/365, $G43, $H43, $D43)) * $F43</f>
        <v/>
      </c>
      <c r="AQ43" s="78">
        <f>(BSPrice($B43,$J43+0.1, $K43, $C43, ($I43-$B$1)/365, $G43, $H43, $D43) - BSPrice($B43,$J43, $K43, $C43, ($I43-$B$1)/365, $G43, $H43, $D43)) * $F43</f>
        <v/>
      </c>
      <c r="AR43" s="60">
        <f>(BSPrice($B43*0.8,$J43+-0.05, $K43, $C43, ($I43-$B$1)/365, $G43, $H43, $D43) - BSPrice($B43,$J43, $K43, $C43, ($I43-$B$1)/365, $G43, $H43, $D43)) * $F43</f>
        <v/>
      </c>
      <c r="AS43" s="60">
        <f>(BSPrice($B43*0.8,$J43+-0.02, $K43, $C43, ($I43-$B$1)/365, $G43, $H43, $D43) - BSPrice($B43,$J43, $K43, $C43, ($I43-$B$1)/365, $G43, $H43, $D43)) * $F43</f>
        <v/>
      </c>
      <c r="AT43" s="60">
        <f>(BSPrice($B43*0.8,$J43+0, $K43, $C43, ($I43-$B$1)/365, $G43, $H43, $D43) - BSPrice($B43,$J43, $K43, $C43, ($I43-$B$1)/365, $G43, $H43, $D43)) * $F43</f>
        <v/>
      </c>
      <c r="AU43" s="60">
        <f>(BSPrice($B43*0.8,$J43+0.02, $K43, $C43, ($I43-$B$1)/365, $G43, $H43, $D43) - BSPrice($B43,$J43, $K43, $C43, ($I43-$B$1)/365, $G43, $H43, $D43)) * $F43</f>
        <v/>
      </c>
      <c r="AV43" s="60">
        <f>(BSPrice($B43*0.8,$J43+0.05, $K43, $C43, ($I43-$B$1)/365, $G43, $H43, $D43) - BSPrice($B43,$J43, $K43, $C43, ($I43-$B$1)/365, $G43, $H43, $D43)) * $F43</f>
        <v/>
      </c>
      <c r="AW43" s="60">
        <f>(BSPrice($B43*0.8,$J43+0.1, $K43, $C43, ($I43-$B$1)/365, $G43, $H43, $D43) - BSPrice($B43,$J43, $K43, $C43, ($I43-$B$1)/365, $G43, $H43, $D43)) * $F43</f>
        <v/>
      </c>
      <c r="AX43" s="60">
        <f>(BSPrice($B43*0.8,$J43+0.2, $K43, $C43, ($I43-$B$1)/365, $G43, $H43, $D43) - BSPrice($B43,$J43, $K43, $C43, ($I43-$B$1)/365, $G43, $H43, $D43)) * $F43</f>
        <v/>
      </c>
      <c r="AY43" s="60">
        <f>(BSPrice($B43*0.9,$J43+-0.05, $K43, $C43, ($I43-$B$1)/365, $G43, $H43, $D43) - BSPrice($B43,$J43, $K43, $C43, ($I43-$B$1)/365, $G43, $H43, $D43)) * $F43</f>
        <v/>
      </c>
      <c r="AZ43" s="60">
        <f>(BSPrice($B43*0.9,$J43+-0.02, $K43, $C43, ($I43-$B$1)/365, $G43, $H43, $D43) - BSPrice($B43,$J43, $K43, $C43, ($I43-$B$1)/365, $G43, $H43, $D43)) * $F43</f>
        <v/>
      </c>
      <c r="BA43" s="60">
        <f>(BSPrice($B43*0.9,$J43+0, $K43, $C43, ($I43-$B$1)/365, $G43, $H43, $D43) - BSPrice($B43,$J43, $K43, $C43, ($I43-$B$1)/365, $G43, $H43, $D43)) * $F43</f>
        <v/>
      </c>
      <c r="BB43" s="60">
        <f>(BSPrice($B43*0.9,$J43+0.02, $K43, $C43, ($I43-$B$1)/365, $G43, $H43, $D43) - BSPrice($B43,$J43, $K43, $C43, ($I43-$B$1)/365, $G43, $H43, $D43)) * $F43</f>
        <v/>
      </c>
      <c r="BC43" s="60">
        <f>(BSPrice($B43*0.9,$J43+0.05, $K43, $C43, ($I43-$B$1)/365, $G43, $H43, $D43) - BSPrice($B43,$J43, $K43, $C43, ($I43-$B$1)/365, $G43, $H43, $D43)) * $F43</f>
        <v/>
      </c>
      <c r="BD43" s="60">
        <f>(BSPrice($B43*0.9,$J43+0.1, $K43, $C43, ($I43-$B$1)/365, $G43, $H43, $D43) - BSPrice($B43,$J43, $K43, $C43, ($I43-$B$1)/365, $G43, $H43, $D43)) * $F43</f>
        <v/>
      </c>
      <c r="BE43" s="60">
        <f>(BSPrice($B43*0.9,$J43+0.2, $K43, $C43, ($I43-$B$1)/365, $G43, $H43, $D43) - BSPrice($B43,$J43, $K43, $C43, ($I43-$B$1)/365, $G43, $H43, $D43)) * $F43</f>
        <v/>
      </c>
      <c r="BF43" s="60">
        <f>(BSPrice($B43*0.95,$J43+-0.05, $K43, $C43, ($I43-$B$1)/365, $G43, $H43, $D43) - BSPrice($B43,$J43, $K43, $C43, ($I43-$B$1)/365, $G43, $H43, $D43)) * $F43</f>
        <v/>
      </c>
      <c r="BG43" s="60">
        <f>(BSPrice($B43*0.95,$J43+-0.02, $K43, $C43, ($I43-$B$1)/365, $G43, $H43, $D43) - BSPrice($B43,$J43, $K43, $C43, ($I43-$B$1)/365, $G43, $H43, $D43)) * $F43</f>
        <v/>
      </c>
      <c r="BH43" s="60">
        <f>(BSPrice($B43*0.95,$J43+0, $K43, $C43, ($I43-$B$1)/365, $G43, $H43, $D43) - BSPrice($B43,$J43, $K43, $C43, ($I43-$B$1)/365, $G43, $H43, $D43)) * $F43</f>
        <v/>
      </c>
      <c r="BI43" s="60">
        <f>(BSPrice($B43*0.95,$J43+0.02, $K43, $C43, ($I43-$B$1)/365, $G43, $H43, $D43) - BSPrice($B43,$J43, $K43, $C43, ($I43-$B$1)/365, $G43, $H43, $D43)) * $F43</f>
        <v/>
      </c>
      <c r="BJ43" s="60">
        <f>(BSPrice($B43*0.95,$J43+0.05, $K43, $C43, ($I43-$B$1)/365, $G43, $H43, $D43) - BSPrice($B43,$J43, $K43, $C43, ($I43-$B$1)/365, $G43, $H43, $D43)) * $F43</f>
        <v/>
      </c>
      <c r="BK43" s="60">
        <f>(BSPrice($B43*0.95,$J43+0.1, $K43, $C43, ($I43-$B$1)/365, $G43, $H43, $D43) - BSPrice($B43,$J43, $K43, $C43, ($I43-$B$1)/365, $G43, $H43, $D43)) * $F43</f>
        <v/>
      </c>
      <c r="BL43" s="60">
        <f>(BSPrice($B43*0.95,$J43+0.2, $K43, $C43, ($I43-$B$1)/365, $G43, $H43, $D43) - BSPrice($B43,$J43, $K43, $C43, ($I43-$B$1)/365, $G43, $H43, $D43)) * $F43</f>
        <v/>
      </c>
      <c r="BM43" s="60">
        <f>(BSPrice($B43*1,$J43+-0.05, $K43, $C43, ($I43-$B$1)/365, $G43, $H43, $D43) - BSPrice($B43,$J43, $K43, $C43, ($I43-$B$1)/365, $G43, $H43, $D43)) * $F43</f>
        <v/>
      </c>
      <c r="BN43" s="60">
        <f>(BSPrice($B43*1,$J43+-0.02, $K43, $C43, ($I43-$B$1)/365, $G43, $H43, $D43) - BSPrice($B43,$J43, $K43, $C43, ($I43-$B$1)/365, $G43, $H43, $D43)) * $F43</f>
        <v/>
      </c>
      <c r="BO43" s="60">
        <f>(BSPrice($B43*1,$J43+0, $K43, $C43, ($I43-$B$1)/365, $G43, $H43, $D43) - BSPrice($B43,$J43, $K43, $C43, ($I43-$B$1)/365, $G43, $H43, $D43)) * $F43</f>
        <v/>
      </c>
      <c r="BP43" s="60">
        <f>(BSPrice($B43*1,$J43+0.02, $K43, $C43, ($I43-$B$1)/365, $G43, $H43, $D43) - BSPrice($B43,$J43, $K43, $C43, ($I43-$B$1)/365, $G43, $H43, $D43)) * $F43</f>
        <v/>
      </c>
      <c r="BQ43" s="60">
        <f>(BSPrice($B43*1,$J43+0.05, $K43, $C43, ($I43-$B$1)/365, $G43, $H43, $D43) - BSPrice($B43,$J43, $K43, $C43, ($I43-$B$1)/365, $G43, $H43, $D43)) * $F43</f>
        <v/>
      </c>
      <c r="BR43" s="60">
        <f>(BSPrice($B43*1,$J43+0.1, $K43, $C43, ($I43-$B$1)/365, $G43, $H43, $D43) - BSPrice($B43,$J43, $K43, $C43, ($I43-$B$1)/365, $G43, $H43, $D43)) * $F43</f>
        <v/>
      </c>
      <c r="BS43" s="60">
        <f>(BSPrice($B43*1,$J43+0.2, $K43, $C43, ($I43-$B$1)/365, $G43, $H43, $D43) - BSPrice($B43,$J43, $K43, $C43, ($I43-$B$1)/365, $G43, $H43, $D43)) * $F43</f>
        <v/>
      </c>
      <c r="BT43" s="60">
        <f>(BSPrice($B43*1.05,$J43+-0.05, $K43, $C43, ($I43-$B$1)/365, $G43, $H43, $D43) - BSPrice($B43,$J43, $K43, $C43, ($I43-$B$1)/365, $G43, $H43, $D43)) * $F43</f>
        <v/>
      </c>
      <c r="BU43" s="60">
        <f>(BSPrice($B43*1.05,$J43+-0.02, $K43, $C43, ($I43-$B$1)/365, $G43, $H43, $D43) - BSPrice($B43,$J43, $K43, $C43, ($I43-$B$1)/365, $G43, $H43, $D43)) * $F43</f>
        <v/>
      </c>
      <c r="BV43" s="60">
        <f>(BSPrice($B43*1.05,$J43+0, $K43, $C43, ($I43-$B$1)/365, $G43, $H43, $D43) - BSPrice($B43,$J43, $K43, $C43, ($I43-$B$1)/365, $G43, $H43, $D43)) * $F43</f>
        <v/>
      </c>
      <c r="BW43" s="60">
        <f>(BSPrice($B43*1.05,$J43+0.02, $K43, $C43, ($I43-$B$1)/365, $G43, $H43, $D43) - BSPrice($B43,$J43, $K43, $C43, ($I43-$B$1)/365, $G43, $H43, $D43)) * $F43</f>
        <v/>
      </c>
      <c r="BX43" s="60">
        <f>(BSPrice($B43*1.05,$J43+0.05, $K43, $C43, ($I43-$B$1)/365, $G43, $H43, $D43) - BSPrice($B43,$J43, $K43, $C43, ($I43-$B$1)/365, $G43, $H43, $D43)) * $F43</f>
        <v/>
      </c>
      <c r="BY43" s="60">
        <f>(BSPrice($B43*1.05,$J43+0.1, $K43, $C43, ($I43-$B$1)/365, $G43, $H43, $D43) - BSPrice($B43,$J43, $K43, $C43, ($I43-$B$1)/365, $G43, $H43, $D43)) * $F43</f>
        <v/>
      </c>
      <c r="BZ43" s="60">
        <f>(BSPrice($B43*1.05,$J43+0.2, $K43, $C43, ($I43-$B$1)/365, $G43, $H43, $D43) - BSPrice($B43,$J43, $K43, $C43, ($I43-$B$1)/365, $G43, $H43, $D43)) * $F43</f>
        <v/>
      </c>
      <c r="CA43" s="60">
        <f>(BSPrice($B43*1.1,$J43+-0.05, $K43, $C43, ($I43-$B$1)/365, $G43, $H43, $D43) - BSPrice($B43,$J43, $K43, $C43, ($I43-$B$1)/365, $G43, $H43, $D43)) * $F43</f>
        <v/>
      </c>
      <c r="CB43" s="60">
        <f>(BSPrice($B43*1.1,$J43+-0.02, $K43, $C43, ($I43-$B$1)/365, $G43, $H43, $D43) - BSPrice($B43,$J43, $K43, $C43, ($I43-$B$1)/365, $G43, $H43, $D43)) * $F43</f>
        <v/>
      </c>
      <c r="CC43" s="60">
        <f>(BSPrice($B43*1.1,$J43+0, $K43, $C43, ($I43-$B$1)/365, $G43, $H43, $D43) - BSPrice($B43,$J43, $K43, $C43, ($I43-$B$1)/365, $G43, $H43, $D43)) * $F43</f>
        <v/>
      </c>
      <c r="CD43" s="60">
        <f>(BSPrice($B43*1.1,$J43+0.02, $K43, $C43, ($I43-$B$1)/365, $G43, $H43, $D43) - BSPrice($B43,$J43, $K43, $C43, ($I43-$B$1)/365, $G43, $H43, $D43)) * $F43</f>
        <v/>
      </c>
      <c r="CE43" s="60">
        <f>(BSPrice($B43*1.1,$J43+0.05, $K43, $C43, ($I43-$B$1)/365, $G43, $H43, $D43) - BSPrice($B43,$J43, $K43, $C43, ($I43-$B$1)/365, $G43, $H43, $D43)) * $F43</f>
        <v/>
      </c>
      <c r="CF43" s="60">
        <f>(BSPrice($B43*1.1,$J43+0.1, $K43, $C43, ($I43-$B$1)/365, $G43, $H43, $D43) - BSPrice($B43,$J43, $K43, $C43, ($I43-$B$1)/365, $G43, $H43, $D43)) * $F43</f>
        <v/>
      </c>
      <c r="CG43" s="60">
        <f>(BSPrice($B43*1.1,$J43+0.2, $K43, $C43, ($I43-$B$1)/365, $G43, $H43, $D43) - BSPrice($B43,$J43, $K43, $C43, ($I43-$B$1)/365, $G43, $H43, $D43)) * $F43</f>
        <v/>
      </c>
      <c r="CH43" s="60">
        <f>(BSPrice($B43*1.2,$J43+-0.05, $K43, $C43, ($I43-$B$1)/365, $G43, $H43, $D43) - BSPrice($B43,$J43, $K43, $C43, ($I43-$B$1)/365, $G43, $H43, $D43)) * $F43</f>
        <v/>
      </c>
      <c r="CI43" s="60">
        <f>(BSPrice($B43*1.2,$J43+-0.02, $K43, $C43, ($I43-$B$1)/365, $G43, $H43, $D43) - BSPrice($B43,$J43, $K43, $C43, ($I43-$B$1)/365, $G43, $H43, $D43)) * $F43</f>
        <v/>
      </c>
      <c r="CJ43" s="60">
        <f>(BSPrice($B43*1.2,$J43+0, $K43, $C43, ($I43-$B$1)/365, $G43, $H43, $D43) - BSPrice($B43,$J43, $K43, $C43, ($I43-$B$1)/365, $G43, $H43, $D43)) * $F43</f>
        <v/>
      </c>
      <c r="CK43" s="60">
        <f>(BSPrice($B43*1.2,$J43+0.02, $K43, $C43, ($I43-$B$1)/365, $G43, $H43, $D43) - BSPrice($B43,$J43, $K43, $C43, ($I43-$B$1)/365, $G43, $H43, $D43)) * $F43</f>
        <v/>
      </c>
      <c r="CL43" s="60">
        <f>(BSPrice($B43*1.2,$J43+0.05, $K43, $C43, ($I43-$B$1)/365, $G43, $H43, $D43) - BSPrice($B43,$J43, $K43, $C43, ($I43-$B$1)/365, $G43, $H43, $D43)) * $F43</f>
        <v/>
      </c>
      <c r="CM43" s="60">
        <f>(BSPrice($B43*1.2,$J43+0.1, $K43, $C43, ($I43-$B$1)/365, $G43, $H43, $D43) - BSPrice($B43,$J43, $K43, $C43, ($I43-$B$1)/365, $G43, $H43, $D43)) * $F43</f>
        <v/>
      </c>
      <c r="CN43" s="60">
        <f>(BSPrice($B43*1.2,$J43+0.2, $K43, $C43, ($I43-$B$1)/365, $G43, $H43, $D43) - BSPrice($B43,$J43, $K43, $C43, ($I43-$B$1)/365, $G43, $H43, $D43)) * $F43</f>
        <v/>
      </c>
    </row>
    <row r="44">
      <c r="A44" s="3" t="inlineStr">
        <is>
          <t>SX5E Index</t>
        </is>
      </c>
      <c r="B44" s="4">
        <f>VLOOKUP(A44,PriceData!$K$4:$L$6,2,FALSE)</f>
        <v/>
      </c>
      <c r="C44" s="46">
        <f>VLOOKUP(A44,PriceData!$K$4:$M$6,3,FALSE)</f>
        <v/>
      </c>
      <c r="D44" s="4" t="inlineStr">
        <is>
          <t>Option</t>
        </is>
      </c>
      <c r="E44" s="4" t="inlineStr">
        <is>
          <t>EUR</t>
        </is>
      </c>
      <c r="F44" s="4" t="n">
        <v>-25</v>
      </c>
      <c r="G44" s="4" t="n">
        <v>3166</v>
      </c>
      <c r="H44" s="4" t="inlineStr">
        <is>
          <t>Call</t>
        </is>
      </c>
      <c r="I44" s="5" t="n">
        <v>40256</v>
      </c>
      <c r="J44" s="46">
        <f>FindImpliedVol(A44, D44, G44, I44)</f>
        <v/>
      </c>
      <c r="K44" s="30">
        <f>VLOOKUP(I44,PriceData!$A$5:$D$7,MATCH($E44,PriceData!$A$4:$D$4,0),FALSE)</f>
        <v/>
      </c>
      <c r="L44" s="2">
        <f>BSPrice($B44,$J44, $K44, $C44, ($I44-$B$1)/365, $G44, $H44, $D44)</f>
        <v/>
      </c>
      <c r="M44" s="2">
        <f>F44*L44</f>
        <v/>
      </c>
      <c r="N44" s="4" t="inlineStr">
        <is>
          <t>Exch</t>
        </is>
      </c>
      <c r="P44" s="60">
        <f>BSDelta(B44, J44, K44, C44, (I44-$B$1)/365, G44, H44, D44)</f>
        <v/>
      </c>
      <c r="Q44" s="60">
        <f>BSGamma(B44, J44, K44, C44, (I44-$B$1)/365, G44, D44)</f>
        <v/>
      </c>
      <c r="R44" s="58">
        <f>BSVega(B44, J44, K44, C44, (I44-$B$1)/365,G44, D44)</f>
        <v/>
      </c>
      <c r="S44" s="58">
        <f>BSVolga(B44, J44, K44, C44, (I44-$B$1)/365,G44, D44)</f>
        <v/>
      </c>
      <c r="T44" s="58">
        <f>BSVanna(B44,J44,K44, C44, (I44-$B$1)/365, G44, D44)</f>
        <v/>
      </c>
      <c r="U44" s="2">
        <f>BSRho(B44, J44, K44, C44, (I44-$B$1)/365, G44, H44, D44)</f>
        <v/>
      </c>
      <c r="V44" s="65">
        <f>$F44*$P44</f>
        <v/>
      </c>
      <c r="W44" s="65">
        <f>$F44*$Q44</f>
        <v/>
      </c>
      <c r="X44" s="78">
        <f>$F44*R44</f>
        <v/>
      </c>
      <c r="Y44" s="78">
        <f>$F44*S44</f>
        <v/>
      </c>
      <c r="Z44" s="78">
        <f>$F44*T44</f>
        <v/>
      </c>
      <c r="AA44" s="78">
        <f>$F44*U44</f>
        <v/>
      </c>
      <c r="AB44" s="78">
        <f>(BSPrice($B44*0.8,$J44, $K44, $C44, ($I44-$B$1)/365, $G44, $H44, $D44) - BSPrice($B44,$J44, $K44, $C44, ($I44-$B$1)/365, $G44, $H44, $D44)) * $F44</f>
        <v/>
      </c>
      <c r="AC44" s="78">
        <f>(BSPrice($B44*0.9,$J44, $K44, $C44, ($I44-$B$1)/365, $G44, $H44, $D44) - BSPrice($B44,$J44, $K44, $C44, ($I44-$B$1)/365, $G44, $H44, $D44)) * $F44</f>
        <v/>
      </c>
      <c r="AD44" s="78">
        <f>(BSPrice($B44*0.95,$J44, $K44, $C44, ($I44-$B$1)/365, $G44, $H44, $D44) - BSPrice($B44,$J44, $K44, $C44, ($I44-$B$1)/365, $G44, $H44, $D44)) * $F44</f>
        <v/>
      </c>
      <c r="AE44" s="78">
        <f>(BSPrice($B44*0.98,$J44, $K44, $C44, ($I44-$B$1)/365, $G44, $H44, $D44) - BSPrice($B44,$J44, $K44, $C44, ($I44-$B$1)/365, $G44, $H44, $D44)) * $F44</f>
        <v/>
      </c>
      <c r="AF44" s="78">
        <f>(BSPrice($B44*1.02,$J44, $K44, $C44, ($I44-$B$1)/365, $G44, $H44, $D44) - BSPrice($B44,$J44, $K44, $C44, ($I44-$B$1)/365, $G44, $H44, $D44)) * $F44</f>
        <v/>
      </c>
      <c r="AG44" s="78">
        <f>(BSPrice($B44*1.05,$J44, $K44, $C44, ($I44-$B$1)/365, $G44, $H44, $D44) - BSPrice($B44,$J44, $K44, $C44, ($I44-$B$1)/365, $G44, $H44, $D44)) * $F44</f>
        <v/>
      </c>
      <c r="AH44" s="78">
        <f>(BSPrice($B44*1.1,$J44, $K44, $C44, ($I44-$B$1)/365, $G44, $H44, $D44) - BSPrice($B44,$J44, $K44, $C44, ($I44-$B$1)/365, $G44, $H44, $D44)) * $F44</f>
        <v/>
      </c>
      <c r="AI44" s="78">
        <f>(BSPrice($B44*1.2,$J44, $K44, $C44, ($I44-$B$1)/365, $G44, $H44, $D44) - BSPrice($B44,$J44, $K44, $C44, ($I44-$B$1)/365, $G44, $H44, $D44)) * $F44</f>
        <v/>
      </c>
      <c r="AJ44" s="78">
        <f>(BSPrice($B44,$J44-0.1, $K44, $C44, ($I44-$B$1)/365, $G44, $H44, $D44) - BSPrice($B44,$J44, $K44, $C44, ($I44-$B$1)/365, $G44, $H44, $D44)) * $F44</f>
        <v/>
      </c>
      <c r="AK44" s="78">
        <f>(BSPrice($B44,$J44-0.05,$K44,$C44,($I44-$B$1)/365,$G44,$H44,$D44)-BSPrice($B44,$J44,$K44,$C44,($I44-$B$1)/365,$G44,$H44,$D44))*$F44</f>
        <v/>
      </c>
      <c r="AL44" s="78">
        <f>(BSPrice($B44,$J44-0.02, $K44, $C44, ($I44-$B$1)/365, $G44, $H44, $D44) - BSPrice($B44,$J44, $K44, $C44, ($I44-$B$1)/365, $G44, $H44, $D44)) * $F44</f>
        <v/>
      </c>
      <c r="AM44" s="78">
        <f>(BSPrice($B44,$J44-0.01, $K44, $C44, ($I44-$B$1)/365, $G44, $H44, $D44) - BSPrice($B44,$J44, $K44, $C44, ($I44-$B$1)/365, $G44, $H44, $D44)) * $F44</f>
        <v/>
      </c>
      <c r="AN44" s="78">
        <f>(BSPrice($B44,$J44+0.01, $K44, $C44, ($I44-$B$1)/365, $G44, $H44, $D44) - BSPrice($B44,$J44, $K44, $C44, ($I44-$B$1)/365, $G44, $H44, $D44)) * $F44</f>
        <v/>
      </c>
      <c r="AO44" s="78">
        <f>(BSPrice($B44,$J44+0.02, $K44, $C44, ($I44-$B$1)/365, $G44, $H44, $D44) - BSPrice($B44,$J44, $K44, $C44, ($I44-$B$1)/365, $G44, $H44, $D44)) * $F44</f>
        <v/>
      </c>
      <c r="AP44" s="78">
        <f>(BSPrice($B44,$J44+0.05, $K44, $C44, ($I44-$B$1)/365, $G44, $H44, $D44) - BSPrice($B44,$J44, $K44, $C44, ($I44-$B$1)/365, $G44, $H44, $D44)) * $F44</f>
        <v/>
      </c>
      <c r="AQ44" s="78">
        <f>(BSPrice($B44,$J44+0.1, $K44, $C44, ($I44-$B$1)/365, $G44, $H44, $D44) - BSPrice($B44,$J44, $K44, $C44, ($I44-$B$1)/365, $G44, $H44, $D44)) * $F44</f>
        <v/>
      </c>
      <c r="AR44" s="60">
        <f>(BSPrice($B44*0.8,$J44+-0.05, $K44, $C44, ($I44-$B$1)/365, $G44, $H44, $D44) - BSPrice($B44,$J44, $K44, $C44, ($I44-$B$1)/365, $G44, $H44, $D44)) * $F44</f>
        <v/>
      </c>
      <c r="AS44" s="60">
        <f>(BSPrice($B44*0.8,$J44+-0.02, $K44, $C44, ($I44-$B$1)/365, $G44, $H44, $D44) - BSPrice($B44,$J44, $K44, $C44, ($I44-$B$1)/365, $G44, $H44, $D44)) * $F44</f>
        <v/>
      </c>
      <c r="AT44" s="60">
        <f>(BSPrice($B44*0.8,$J44+0, $K44, $C44, ($I44-$B$1)/365, $G44, $H44, $D44) - BSPrice($B44,$J44, $K44, $C44, ($I44-$B$1)/365, $G44, $H44, $D44)) * $F44</f>
        <v/>
      </c>
      <c r="AU44" s="60">
        <f>(BSPrice($B44*0.8,$J44+0.02, $K44, $C44, ($I44-$B$1)/365, $G44, $H44, $D44) - BSPrice($B44,$J44, $K44, $C44, ($I44-$B$1)/365, $G44, $H44, $D44)) * $F44</f>
        <v/>
      </c>
      <c r="AV44" s="60">
        <f>(BSPrice($B44*0.8,$J44+0.05, $K44, $C44, ($I44-$B$1)/365, $G44, $H44, $D44) - BSPrice($B44,$J44, $K44, $C44, ($I44-$B$1)/365, $G44, $H44, $D44)) * $F44</f>
        <v/>
      </c>
      <c r="AW44" s="60">
        <f>(BSPrice($B44*0.8,$J44+0.1, $K44, $C44, ($I44-$B$1)/365, $G44, $H44, $D44) - BSPrice($B44,$J44, $K44, $C44, ($I44-$B$1)/365, $G44, $H44, $D44)) * $F44</f>
        <v/>
      </c>
      <c r="AX44" s="60">
        <f>(BSPrice($B44*0.8,$J44+0.2, $K44, $C44, ($I44-$B$1)/365, $G44, $H44, $D44) - BSPrice($B44,$J44, $K44, $C44, ($I44-$B$1)/365, $G44, $H44, $D44)) * $F44</f>
        <v/>
      </c>
      <c r="AY44" s="60">
        <f>(BSPrice($B44*0.9,$J44+-0.05, $K44, $C44, ($I44-$B$1)/365, $G44, $H44, $D44) - BSPrice($B44,$J44, $K44, $C44, ($I44-$B$1)/365, $G44, $H44, $D44)) * $F44</f>
        <v/>
      </c>
      <c r="AZ44" s="60">
        <f>(BSPrice($B44*0.9,$J44+-0.02, $K44, $C44, ($I44-$B$1)/365, $G44, $H44, $D44) - BSPrice($B44,$J44, $K44, $C44, ($I44-$B$1)/365, $G44, $H44, $D44)) * $F44</f>
        <v/>
      </c>
      <c r="BA44" s="60">
        <f>(BSPrice($B44*0.9,$J44+0, $K44, $C44, ($I44-$B$1)/365, $G44, $H44, $D44) - BSPrice($B44,$J44, $K44, $C44, ($I44-$B$1)/365, $G44, $H44, $D44)) * $F44</f>
        <v/>
      </c>
      <c r="BB44" s="60">
        <f>(BSPrice($B44*0.9,$J44+0.02, $K44, $C44, ($I44-$B$1)/365, $G44, $H44, $D44) - BSPrice($B44,$J44, $K44, $C44, ($I44-$B$1)/365, $G44, $H44, $D44)) * $F44</f>
        <v/>
      </c>
      <c r="BC44" s="60">
        <f>(BSPrice($B44*0.9,$J44+0.05, $K44, $C44, ($I44-$B$1)/365, $G44, $H44, $D44) - BSPrice($B44,$J44, $K44, $C44, ($I44-$B$1)/365, $G44, $H44, $D44)) * $F44</f>
        <v/>
      </c>
      <c r="BD44" s="60">
        <f>(BSPrice($B44*0.9,$J44+0.1, $K44, $C44, ($I44-$B$1)/365, $G44, $H44, $D44) - BSPrice($B44,$J44, $K44, $C44, ($I44-$B$1)/365, $G44, $H44, $D44)) * $F44</f>
        <v/>
      </c>
      <c r="BE44" s="60">
        <f>(BSPrice($B44*0.9,$J44+0.2, $K44, $C44, ($I44-$B$1)/365, $G44, $H44, $D44) - BSPrice($B44,$J44, $K44, $C44, ($I44-$B$1)/365, $G44, $H44, $D44)) * $F44</f>
        <v/>
      </c>
      <c r="BF44" s="60">
        <f>(BSPrice($B44*0.95,$J44+-0.05, $K44, $C44, ($I44-$B$1)/365, $G44, $H44, $D44) - BSPrice($B44,$J44, $K44, $C44, ($I44-$B$1)/365, $G44, $H44, $D44)) * $F44</f>
        <v/>
      </c>
      <c r="BG44" s="60">
        <f>(BSPrice($B44*0.95,$J44+-0.02, $K44, $C44, ($I44-$B$1)/365, $G44, $H44, $D44) - BSPrice($B44,$J44, $K44, $C44, ($I44-$B$1)/365, $G44, $H44, $D44)) * $F44</f>
        <v/>
      </c>
      <c r="BH44" s="60">
        <f>(BSPrice($B44*0.95,$J44+0, $K44, $C44, ($I44-$B$1)/365, $G44, $H44, $D44) - BSPrice($B44,$J44, $K44, $C44, ($I44-$B$1)/365, $G44, $H44, $D44)) * $F44</f>
        <v/>
      </c>
      <c r="BI44" s="60">
        <f>(BSPrice($B44*0.95,$J44+0.02, $K44, $C44, ($I44-$B$1)/365, $G44, $H44, $D44) - BSPrice($B44,$J44, $K44, $C44, ($I44-$B$1)/365, $G44, $H44, $D44)) * $F44</f>
        <v/>
      </c>
      <c r="BJ44" s="60">
        <f>(BSPrice($B44*0.95,$J44+0.05, $K44, $C44, ($I44-$B$1)/365, $G44, $H44, $D44) - BSPrice($B44,$J44, $K44, $C44, ($I44-$B$1)/365, $G44, $H44, $D44)) * $F44</f>
        <v/>
      </c>
      <c r="BK44" s="60">
        <f>(BSPrice($B44*0.95,$J44+0.1, $K44, $C44, ($I44-$B$1)/365, $G44, $H44, $D44) - BSPrice($B44,$J44, $K44, $C44, ($I44-$B$1)/365, $G44, $H44, $D44)) * $F44</f>
        <v/>
      </c>
      <c r="BL44" s="60">
        <f>(BSPrice($B44*0.95,$J44+0.2, $K44, $C44, ($I44-$B$1)/365, $G44, $H44, $D44) - BSPrice($B44,$J44, $K44, $C44, ($I44-$B$1)/365, $G44, $H44, $D44)) * $F44</f>
        <v/>
      </c>
      <c r="BM44" s="60">
        <f>(BSPrice($B44*1,$J44+-0.05, $K44, $C44, ($I44-$B$1)/365, $G44, $H44, $D44) - BSPrice($B44,$J44, $K44, $C44, ($I44-$B$1)/365, $G44, $H44, $D44)) * $F44</f>
        <v/>
      </c>
      <c r="BN44" s="60">
        <f>(BSPrice($B44*1,$J44+-0.02, $K44, $C44, ($I44-$B$1)/365, $G44, $H44, $D44) - BSPrice($B44,$J44, $K44, $C44, ($I44-$B$1)/365, $G44, $H44, $D44)) * $F44</f>
        <v/>
      </c>
      <c r="BO44" s="60">
        <f>(BSPrice($B44*1,$J44+0, $K44, $C44, ($I44-$B$1)/365, $G44, $H44, $D44) - BSPrice($B44,$J44, $K44, $C44, ($I44-$B$1)/365, $G44, $H44, $D44)) * $F44</f>
        <v/>
      </c>
      <c r="BP44" s="60">
        <f>(BSPrice($B44*1,$J44+0.02, $K44, $C44, ($I44-$B$1)/365, $G44, $H44, $D44) - BSPrice($B44,$J44, $K44, $C44, ($I44-$B$1)/365, $G44, $H44, $D44)) * $F44</f>
        <v/>
      </c>
      <c r="BQ44" s="60">
        <f>(BSPrice($B44*1,$J44+0.05, $K44, $C44, ($I44-$B$1)/365, $G44, $H44, $D44) - BSPrice($B44,$J44, $K44, $C44, ($I44-$B$1)/365, $G44, $H44, $D44)) * $F44</f>
        <v/>
      </c>
      <c r="BR44" s="60">
        <f>(BSPrice($B44*1,$J44+0.1, $K44, $C44, ($I44-$B$1)/365, $G44, $H44, $D44) - BSPrice($B44,$J44, $K44, $C44, ($I44-$B$1)/365, $G44, $H44, $D44)) * $F44</f>
        <v/>
      </c>
      <c r="BS44" s="60">
        <f>(BSPrice($B44*1,$J44+0.2, $K44, $C44, ($I44-$B$1)/365, $G44, $H44, $D44) - BSPrice($B44,$J44, $K44, $C44, ($I44-$B$1)/365, $G44, $H44, $D44)) * $F44</f>
        <v/>
      </c>
      <c r="BT44" s="60">
        <f>(BSPrice($B44*1.05,$J44+-0.05, $K44, $C44, ($I44-$B$1)/365, $G44, $H44, $D44) - BSPrice($B44,$J44, $K44, $C44, ($I44-$B$1)/365, $G44, $H44, $D44)) * $F44</f>
        <v/>
      </c>
      <c r="BU44" s="60">
        <f>(BSPrice($B44*1.05,$J44+-0.02, $K44, $C44, ($I44-$B$1)/365, $G44, $H44, $D44) - BSPrice($B44,$J44, $K44, $C44, ($I44-$B$1)/365, $G44, $H44, $D44)) * $F44</f>
        <v/>
      </c>
      <c r="BV44" s="60">
        <f>(BSPrice($B44*1.05,$J44+0, $K44, $C44, ($I44-$B$1)/365, $G44, $H44, $D44) - BSPrice($B44,$J44, $K44, $C44, ($I44-$B$1)/365, $G44, $H44, $D44)) * $F44</f>
        <v/>
      </c>
      <c r="BW44" s="60">
        <f>(BSPrice($B44*1.05,$J44+0.02, $K44, $C44, ($I44-$B$1)/365, $G44, $H44, $D44) - BSPrice($B44,$J44, $K44, $C44, ($I44-$B$1)/365, $G44, $H44, $D44)) * $F44</f>
        <v/>
      </c>
      <c r="BX44" s="60">
        <f>(BSPrice($B44*1.05,$J44+0.05, $K44, $C44, ($I44-$B$1)/365, $G44, $H44, $D44) - BSPrice($B44,$J44, $K44, $C44, ($I44-$B$1)/365, $G44, $H44, $D44)) * $F44</f>
        <v/>
      </c>
      <c r="BY44" s="60">
        <f>(BSPrice($B44*1.05,$J44+0.1, $K44, $C44, ($I44-$B$1)/365, $G44, $H44, $D44) - BSPrice($B44,$J44, $K44, $C44, ($I44-$B$1)/365, $G44, $H44, $D44)) * $F44</f>
        <v/>
      </c>
      <c r="BZ44" s="60">
        <f>(BSPrice($B44*1.05,$J44+0.2, $K44, $C44, ($I44-$B$1)/365, $G44, $H44, $D44) - BSPrice($B44,$J44, $K44, $C44, ($I44-$B$1)/365, $G44, $H44, $D44)) * $F44</f>
        <v/>
      </c>
      <c r="CA44" s="60">
        <f>(BSPrice($B44*1.1,$J44+-0.05, $K44, $C44, ($I44-$B$1)/365, $G44, $H44, $D44) - BSPrice($B44,$J44, $K44, $C44, ($I44-$B$1)/365, $G44, $H44, $D44)) * $F44</f>
        <v/>
      </c>
      <c r="CB44" s="60">
        <f>(BSPrice($B44*1.1,$J44+-0.02, $K44, $C44, ($I44-$B$1)/365, $G44, $H44, $D44) - BSPrice($B44,$J44, $K44, $C44, ($I44-$B$1)/365, $G44, $H44, $D44)) * $F44</f>
        <v/>
      </c>
      <c r="CC44" s="60">
        <f>(BSPrice($B44*1.1,$J44+0, $K44, $C44, ($I44-$B$1)/365, $G44, $H44, $D44) - BSPrice($B44,$J44, $K44, $C44, ($I44-$B$1)/365, $G44, $H44, $D44)) * $F44</f>
        <v/>
      </c>
      <c r="CD44" s="60">
        <f>(BSPrice($B44*1.1,$J44+0.02, $K44, $C44, ($I44-$B$1)/365, $G44, $H44, $D44) - BSPrice($B44,$J44, $K44, $C44, ($I44-$B$1)/365, $G44, $H44, $D44)) * $F44</f>
        <v/>
      </c>
      <c r="CE44" s="60">
        <f>(BSPrice($B44*1.1,$J44+0.05, $K44, $C44, ($I44-$B$1)/365, $G44, $H44, $D44) - BSPrice($B44,$J44, $K44, $C44, ($I44-$B$1)/365, $G44, $H44, $D44)) * $F44</f>
        <v/>
      </c>
      <c r="CF44" s="60">
        <f>(BSPrice($B44*1.1,$J44+0.1, $K44, $C44, ($I44-$B$1)/365, $G44, $H44, $D44) - BSPrice($B44,$J44, $K44, $C44, ($I44-$B$1)/365, $G44, $H44, $D44)) * $F44</f>
        <v/>
      </c>
      <c r="CG44" s="60">
        <f>(BSPrice($B44*1.1,$J44+0.2, $K44, $C44, ($I44-$B$1)/365, $G44, $H44, $D44) - BSPrice($B44,$J44, $K44, $C44, ($I44-$B$1)/365, $G44, $H44, $D44)) * $F44</f>
        <v/>
      </c>
      <c r="CH44" s="60">
        <f>(BSPrice($B44*1.2,$J44+-0.05, $K44, $C44, ($I44-$B$1)/365, $G44, $H44, $D44) - BSPrice($B44,$J44, $K44, $C44, ($I44-$B$1)/365, $G44, $H44, $D44)) * $F44</f>
        <v/>
      </c>
      <c r="CI44" s="60">
        <f>(BSPrice($B44*1.2,$J44+-0.02, $K44, $C44, ($I44-$B$1)/365, $G44, $H44, $D44) - BSPrice($B44,$J44, $K44, $C44, ($I44-$B$1)/365, $G44, $H44, $D44)) * $F44</f>
        <v/>
      </c>
      <c r="CJ44" s="60">
        <f>(BSPrice($B44*1.2,$J44+0, $K44, $C44, ($I44-$B$1)/365, $G44, $H44, $D44) - BSPrice($B44,$J44, $K44, $C44, ($I44-$B$1)/365, $G44, $H44, $D44)) * $F44</f>
        <v/>
      </c>
      <c r="CK44" s="60">
        <f>(BSPrice($B44*1.2,$J44+0.02, $K44, $C44, ($I44-$B$1)/365, $G44, $H44, $D44) - BSPrice($B44,$J44, $K44, $C44, ($I44-$B$1)/365, $G44, $H44, $D44)) * $F44</f>
        <v/>
      </c>
      <c r="CL44" s="60">
        <f>(BSPrice($B44*1.2,$J44+0.05, $K44, $C44, ($I44-$B$1)/365, $G44, $H44, $D44) - BSPrice($B44,$J44, $K44, $C44, ($I44-$B$1)/365, $G44, $H44, $D44)) * $F44</f>
        <v/>
      </c>
      <c r="CM44" s="60">
        <f>(BSPrice($B44*1.2,$J44+0.1, $K44, $C44, ($I44-$B$1)/365, $G44, $H44, $D44) - BSPrice($B44,$J44, $K44, $C44, ($I44-$B$1)/365, $G44, $H44, $D44)) * $F44</f>
        <v/>
      </c>
      <c r="CN44" s="60">
        <f>(BSPrice($B44*1.2,$J44+0.2, $K44, $C44, ($I44-$B$1)/365, $G44, $H44, $D44) - BSPrice($B44,$J44, $K44, $C44, ($I44-$B$1)/365, $G44, $H44, $D44)) * $F44</f>
        <v/>
      </c>
    </row>
    <row r="45">
      <c r="A45" s="3" t="inlineStr">
        <is>
          <t>SX5E Index</t>
        </is>
      </c>
      <c r="B45" s="4">
        <f>VLOOKUP(A45,PriceData!$K$4:$L$6,2,FALSE)</f>
        <v/>
      </c>
      <c r="C45" s="46">
        <f>VLOOKUP(A45,PriceData!$K$4:$M$6,3,FALSE)</f>
        <v/>
      </c>
      <c r="D45" s="4" t="inlineStr">
        <is>
          <t>Option</t>
        </is>
      </c>
      <c r="E45" s="4" t="inlineStr">
        <is>
          <t>EUR</t>
        </is>
      </c>
      <c r="F45" s="4" t="n">
        <v>50</v>
      </c>
      <c r="G45" s="4" t="n">
        <v>3254</v>
      </c>
      <c r="H45" s="4" t="inlineStr">
        <is>
          <t>Call</t>
        </is>
      </c>
      <c r="I45" s="5" t="n">
        <v>40256</v>
      </c>
      <c r="J45" s="46">
        <f>FindImpliedVol(A45, D45, G45, I45)</f>
        <v/>
      </c>
      <c r="K45" s="30">
        <f>VLOOKUP(I45,PriceData!$A$5:$D$7,MATCH($E45,PriceData!$A$4:$D$4,0),FALSE)</f>
        <v/>
      </c>
      <c r="L45" s="2">
        <f>BSPrice($B45,$J45, $K45, $C45, ($I45-$B$1)/365, $G45, $H45, $D45)</f>
        <v/>
      </c>
      <c r="M45" s="2">
        <f>F45*L45</f>
        <v/>
      </c>
      <c r="N45" s="4" t="inlineStr">
        <is>
          <t>JP Horgan</t>
        </is>
      </c>
      <c r="P45" s="60">
        <f>BSDelta(B45, J45, K45, C45, (I45-$B$1)/365, G45, H45, D45)</f>
        <v/>
      </c>
      <c r="Q45" s="60">
        <f>BSGamma(B45, J45, K45, C45, (I45-$B$1)/365, G45, D45)</f>
        <v/>
      </c>
      <c r="R45" s="58">
        <f>BSVega(B45, J45, K45, C45, (I45-$B$1)/365,G45, D45)</f>
        <v/>
      </c>
      <c r="S45" s="58">
        <f>BSVolga(B45, J45, K45, C45, (I45-$B$1)/365,G45, D45)</f>
        <v/>
      </c>
      <c r="T45" s="58">
        <f>BSVanna(B45,J45,K45, C45, (I45-$B$1)/365, G45, D45)</f>
        <v/>
      </c>
      <c r="U45" s="2">
        <f>BSRho(B45, J45, K45, C45, (I45-$B$1)/365, G45, H45, D45)</f>
        <v/>
      </c>
      <c r="V45" s="65">
        <f>$F45*$P45</f>
        <v/>
      </c>
      <c r="W45" s="65">
        <f>$F45*$Q45</f>
        <v/>
      </c>
      <c r="X45" s="78">
        <f>$F45*R45</f>
        <v/>
      </c>
      <c r="Y45" s="78">
        <f>$F45*S45</f>
        <v/>
      </c>
      <c r="Z45" s="78">
        <f>$F45*T45</f>
        <v/>
      </c>
      <c r="AA45" s="78">
        <f>$F45*U45</f>
        <v/>
      </c>
      <c r="AB45" s="78">
        <f>(BSPrice($B45*0.8,$J45, $K45, $C45, ($I45-$B$1)/365, $G45, $H45, $D45) - BSPrice($B45,$J45, $K45, $C45, ($I45-$B$1)/365, $G45, $H45, $D45)) * $F45</f>
        <v/>
      </c>
      <c r="AC45" s="78">
        <f>(BSPrice($B45*0.9,$J45, $K45, $C45, ($I45-$B$1)/365, $G45, $H45, $D45) - BSPrice($B45,$J45, $K45, $C45, ($I45-$B$1)/365, $G45, $H45, $D45)) * $F45</f>
        <v/>
      </c>
      <c r="AD45" s="78">
        <f>(BSPrice($B45*0.95,$J45, $K45, $C45, ($I45-$B$1)/365, $G45, $H45, $D45) - BSPrice($B45,$J45, $K45, $C45, ($I45-$B$1)/365, $G45, $H45, $D45)) * $F45</f>
        <v/>
      </c>
      <c r="AE45" s="78">
        <f>(BSPrice($B45*0.98,$J45, $K45, $C45, ($I45-$B$1)/365, $G45, $H45, $D45) - BSPrice($B45,$J45, $K45, $C45, ($I45-$B$1)/365, $G45, $H45, $D45)) * $F45</f>
        <v/>
      </c>
      <c r="AF45" s="78">
        <f>(BSPrice($B45*1.02,$J45, $K45, $C45, ($I45-$B$1)/365, $G45, $H45, $D45) - BSPrice($B45,$J45, $K45, $C45, ($I45-$B$1)/365, $G45, $H45, $D45)) * $F45</f>
        <v/>
      </c>
      <c r="AG45" s="78">
        <f>(BSPrice($B45*1.05,$J45, $K45, $C45, ($I45-$B$1)/365, $G45, $H45, $D45) - BSPrice($B45,$J45, $K45, $C45, ($I45-$B$1)/365, $G45, $H45, $D45)) * $F45</f>
        <v/>
      </c>
      <c r="AH45" s="78">
        <f>(BSPrice($B45*1.1,$J45, $K45, $C45, ($I45-$B$1)/365, $G45, $H45, $D45) - BSPrice($B45,$J45, $K45, $C45, ($I45-$B$1)/365, $G45, $H45, $D45)) * $F45</f>
        <v/>
      </c>
      <c r="AI45" s="78">
        <f>(BSPrice($B45*1.2,$J45, $K45, $C45, ($I45-$B$1)/365, $G45, $H45, $D45) - BSPrice($B45,$J45, $K45, $C45, ($I45-$B$1)/365, $G45, $H45, $D45)) * $F45</f>
        <v/>
      </c>
      <c r="AJ45" s="78">
        <f>(BSPrice($B45,$J45-0.1, $K45, $C45, ($I45-$B$1)/365, $G45, $H45, $D45) - BSPrice($B45,$J45, $K45, $C45, ($I45-$B$1)/365, $G45, $H45, $D45)) * $F45</f>
        <v/>
      </c>
      <c r="AK45" s="78">
        <f>(BSPrice($B45,$J45-0.05,$K45,$C45,($I45-$B$1)/365,$G45,$H45,$D45)-BSPrice($B45,$J45,$K45,$C45,($I45-$B$1)/365,$G45,$H45,$D45))*$F45</f>
        <v/>
      </c>
      <c r="AL45" s="78">
        <f>(BSPrice($B45,$J45-0.02, $K45, $C45, ($I45-$B$1)/365, $G45, $H45, $D45) - BSPrice($B45,$J45, $K45, $C45, ($I45-$B$1)/365, $G45, $H45, $D45)) * $F45</f>
        <v/>
      </c>
      <c r="AM45" s="78">
        <f>(BSPrice($B45,$J45-0.01, $K45, $C45, ($I45-$B$1)/365, $G45, $H45, $D45) - BSPrice($B45,$J45, $K45, $C45, ($I45-$B$1)/365, $G45, $H45, $D45)) * $F45</f>
        <v/>
      </c>
      <c r="AN45" s="78">
        <f>(BSPrice($B45,$J45+0.01, $K45, $C45, ($I45-$B$1)/365, $G45, $H45, $D45) - BSPrice($B45,$J45, $K45, $C45, ($I45-$B$1)/365, $G45, $H45, $D45)) * $F45</f>
        <v/>
      </c>
      <c r="AO45" s="78">
        <f>(BSPrice($B45,$J45+0.02, $K45, $C45, ($I45-$B$1)/365, $G45, $H45, $D45) - BSPrice($B45,$J45, $K45, $C45, ($I45-$B$1)/365, $G45, $H45, $D45)) * $F45</f>
        <v/>
      </c>
      <c r="AP45" s="78">
        <f>(BSPrice($B45,$J45+0.05, $K45, $C45, ($I45-$B$1)/365, $G45, $H45, $D45) - BSPrice($B45,$J45, $K45, $C45, ($I45-$B$1)/365, $G45, $H45, $D45)) * $F45</f>
        <v/>
      </c>
      <c r="AQ45" s="78">
        <f>(BSPrice($B45,$J45+0.1, $K45, $C45, ($I45-$B$1)/365, $G45, $H45, $D45) - BSPrice($B45,$J45, $K45, $C45, ($I45-$B$1)/365, $G45, $H45, $D45)) * $F45</f>
        <v/>
      </c>
      <c r="AR45" s="60">
        <f>(BSPrice($B45*0.8,$J45+-0.05, $K45, $C45, ($I45-$B$1)/365, $G45, $H45, $D45) - BSPrice($B45,$J45, $K45, $C45, ($I45-$B$1)/365, $G45, $H45, $D45)) * $F45</f>
        <v/>
      </c>
      <c r="AS45" s="60">
        <f>(BSPrice($B45*0.8,$J45+-0.02, $K45, $C45, ($I45-$B$1)/365, $G45, $H45, $D45) - BSPrice($B45,$J45, $K45, $C45, ($I45-$B$1)/365, $G45, $H45, $D45)) * $F45</f>
        <v/>
      </c>
      <c r="AT45" s="60">
        <f>(BSPrice($B45*0.8,$J45+0, $K45, $C45, ($I45-$B$1)/365, $G45, $H45, $D45) - BSPrice($B45,$J45, $K45, $C45, ($I45-$B$1)/365, $G45, $H45, $D45)) * $F45</f>
        <v/>
      </c>
      <c r="AU45" s="60">
        <f>(BSPrice($B45*0.8,$J45+0.02, $K45, $C45, ($I45-$B$1)/365, $G45, $H45, $D45) - BSPrice($B45,$J45, $K45, $C45, ($I45-$B$1)/365, $G45, $H45, $D45)) * $F45</f>
        <v/>
      </c>
      <c r="AV45" s="60">
        <f>(BSPrice($B45*0.8,$J45+0.05, $K45, $C45, ($I45-$B$1)/365, $G45, $H45, $D45) - BSPrice($B45,$J45, $K45, $C45, ($I45-$B$1)/365, $G45, $H45, $D45)) * $F45</f>
        <v/>
      </c>
      <c r="AW45" s="60">
        <f>(BSPrice($B45*0.8,$J45+0.1, $K45, $C45, ($I45-$B$1)/365, $G45, $H45, $D45) - BSPrice($B45,$J45, $K45, $C45, ($I45-$B$1)/365, $G45, $H45, $D45)) * $F45</f>
        <v/>
      </c>
      <c r="AX45" s="60">
        <f>(BSPrice($B45*0.8,$J45+0.2, $K45, $C45, ($I45-$B$1)/365, $G45, $H45, $D45) - BSPrice($B45,$J45, $K45, $C45, ($I45-$B$1)/365, $G45, $H45, $D45)) * $F45</f>
        <v/>
      </c>
      <c r="AY45" s="60">
        <f>(BSPrice($B45*0.9,$J45+-0.05, $K45, $C45, ($I45-$B$1)/365, $G45, $H45, $D45) - BSPrice($B45,$J45, $K45, $C45, ($I45-$B$1)/365, $G45, $H45, $D45)) * $F45</f>
        <v/>
      </c>
      <c r="AZ45" s="60">
        <f>(BSPrice($B45*0.9,$J45+-0.02, $K45, $C45, ($I45-$B$1)/365, $G45, $H45, $D45) - BSPrice($B45,$J45, $K45, $C45, ($I45-$B$1)/365, $G45, $H45, $D45)) * $F45</f>
        <v/>
      </c>
      <c r="BA45" s="60">
        <f>(BSPrice($B45*0.9,$J45+0, $K45, $C45, ($I45-$B$1)/365, $G45, $H45, $D45) - BSPrice($B45,$J45, $K45, $C45, ($I45-$B$1)/365, $G45, $H45, $D45)) * $F45</f>
        <v/>
      </c>
      <c r="BB45" s="60">
        <f>(BSPrice($B45*0.9,$J45+0.02, $K45, $C45, ($I45-$B$1)/365, $G45, $H45, $D45) - BSPrice($B45,$J45, $K45, $C45, ($I45-$B$1)/365, $G45, $H45, $D45)) * $F45</f>
        <v/>
      </c>
      <c r="BC45" s="60">
        <f>(BSPrice($B45*0.9,$J45+0.05, $K45, $C45, ($I45-$B$1)/365, $G45, $H45, $D45) - BSPrice($B45,$J45, $K45, $C45, ($I45-$B$1)/365, $G45, $H45, $D45)) * $F45</f>
        <v/>
      </c>
      <c r="BD45" s="60">
        <f>(BSPrice($B45*0.9,$J45+0.1, $K45, $C45, ($I45-$B$1)/365, $G45, $H45, $D45) - BSPrice($B45,$J45, $K45, $C45, ($I45-$B$1)/365, $G45, $H45, $D45)) * $F45</f>
        <v/>
      </c>
      <c r="BE45" s="60">
        <f>(BSPrice($B45*0.9,$J45+0.2, $K45, $C45, ($I45-$B$1)/365, $G45, $H45, $D45) - BSPrice($B45,$J45, $K45, $C45, ($I45-$B$1)/365, $G45, $H45, $D45)) * $F45</f>
        <v/>
      </c>
      <c r="BF45" s="60">
        <f>(BSPrice($B45*0.95,$J45+-0.05, $K45, $C45, ($I45-$B$1)/365, $G45, $H45, $D45) - BSPrice($B45,$J45, $K45, $C45, ($I45-$B$1)/365, $G45, $H45, $D45)) * $F45</f>
        <v/>
      </c>
      <c r="BG45" s="60">
        <f>(BSPrice($B45*0.95,$J45+-0.02, $K45, $C45, ($I45-$B$1)/365, $G45, $H45, $D45) - BSPrice($B45,$J45, $K45, $C45, ($I45-$B$1)/365, $G45, $H45, $D45)) * $F45</f>
        <v/>
      </c>
      <c r="BH45" s="60">
        <f>(BSPrice($B45*0.95,$J45+0, $K45, $C45, ($I45-$B$1)/365, $G45, $H45, $D45) - BSPrice($B45,$J45, $K45, $C45, ($I45-$B$1)/365, $G45, $H45, $D45)) * $F45</f>
        <v/>
      </c>
      <c r="BI45" s="60">
        <f>(BSPrice($B45*0.95,$J45+0.02, $K45, $C45, ($I45-$B$1)/365, $G45, $H45, $D45) - BSPrice($B45,$J45, $K45, $C45, ($I45-$B$1)/365, $G45, $H45, $D45)) * $F45</f>
        <v/>
      </c>
      <c r="BJ45" s="60">
        <f>(BSPrice($B45*0.95,$J45+0.05, $K45, $C45, ($I45-$B$1)/365, $G45, $H45, $D45) - BSPrice($B45,$J45, $K45, $C45, ($I45-$B$1)/365, $G45, $H45, $D45)) * $F45</f>
        <v/>
      </c>
      <c r="BK45" s="60">
        <f>(BSPrice($B45*0.95,$J45+0.1, $K45, $C45, ($I45-$B$1)/365, $G45, $H45, $D45) - BSPrice($B45,$J45, $K45, $C45, ($I45-$B$1)/365, $G45, $H45, $D45)) * $F45</f>
        <v/>
      </c>
      <c r="BL45" s="60">
        <f>(BSPrice($B45*0.95,$J45+0.2, $K45, $C45, ($I45-$B$1)/365, $G45, $H45, $D45) - BSPrice($B45,$J45, $K45, $C45, ($I45-$B$1)/365, $G45, $H45, $D45)) * $F45</f>
        <v/>
      </c>
      <c r="BM45" s="60">
        <f>(BSPrice($B45*1,$J45+-0.05, $K45, $C45, ($I45-$B$1)/365, $G45, $H45, $D45) - BSPrice($B45,$J45, $K45, $C45, ($I45-$B$1)/365, $G45, $H45, $D45)) * $F45</f>
        <v/>
      </c>
      <c r="BN45" s="60">
        <f>(BSPrice($B45*1,$J45+-0.02, $K45, $C45, ($I45-$B$1)/365, $G45, $H45, $D45) - BSPrice($B45,$J45, $K45, $C45, ($I45-$B$1)/365, $G45, $H45, $D45)) * $F45</f>
        <v/>
      </c>
      <c r="BO45" s="60">
        <f>(BSPrice($B45*1,$J45+0, $K45, $C45, ($I45-$B$1)/365, $G45, $H45, $D45) - BSPrice($B45,$J45, $K45, $C45, ($I45-$B$1)/365, $G45, $H45, $D45)) * $F45</f>
        <v/>
      </c>
      <c r="BP45" s="60">
        <f>(BSPrice($B45*1,$J45+0.02, $K45, $C45, ($I45-$B$1)/365, $G45, $H45, $D45) - BSPrice($B45,$J45, $K45, $C45, ($I45-$B$1)/365, $G45, $H45, $D45)) * $F45</f>
        <v/>
      </c>
      <c r="BQ45" s="60">
        <f>(BSPrice($B45*1,$J45+0.05, $K45, $C45, ($I45-$B$1)/365, $G45, $H45, $D45) - BSPrice($B45,$J45, $K45, $C45, ($I45-$B$1)/365, $G45, $H45, $D45)) * $F45</f>
        <v/>
      </c>
      <c r="BR45" s="60">
        <f>(BSPrice($B45*1,$J45+0.1, $K45, $C45, ($I45-$B$1)/365, $G45, $H45, $D45) - BSPrice($B45,$J45, $K45, $C45, ($I45-$B$1)/365, $G45, $H45, $D45)) * $F45</f>
        <v/>
      </c>
      <c r="BS45" s="60">
        <f>(BSPrice($B45*1,$J45+0.2, $K45, $C45, ($I45-$B$1)/365, $G45, $H45, $D45) - BSPrice($B45,$J45, $K45, $C45, ($I45-$B$1)/365, $G45, $H45, $D45)) * $F45</f>
        <v/>
      </c>
      <c r="BT45" s="60">
        <f>(BSPrice($B45*1.05,$J45+-0.05, $K45, $C45, ($I45-$B$1)/365, $G45, $H45, $D45) - BSPrice($B45,$J45, $K45, $C45, ($I45-$B$1)/365, $G45, $H45, $D45)) * $F45</f>
        <v/>
      </c>
      <c r="BU45" s="60">
        <f>(BSPrice($B45*1.05,$J45+-0.02, $K45, $C45, ($I45-$B$1)/365, $G45, $H45, $D45) - BSPrice($B45,$J45, $K45, $C45, ($I45-$B$1)/365, $G45, $H45, $D45)) * $F45</f>
        <v/>
      </c>
      <c r="BV45" s="60">
        <f>(BSPrice($B45*1.05,$J45+0, $K45, $C45, ($I45-$B$1)/365, $G45, $H45, $D45) - BSPrice($B45,$J45, $K45, $C45, ($I45-$B$1)/365, $G45, $H45, $D45)) * $F45</f>
        <v/>
      </c>
      <c r="BW45" s="60">
        <f>(BSPrice($B45*1.05,$J45+0.02, $K45, $C45, ($I45-$B$1)/365, $G45, $H45, $D45) - BSPrice($B45,$J45, $K45, $C45, ($I45-$B$1)/365, $G45, $H45, $D45)) * $F45</f>
        <v/>
      </c>
      <c r="BX45" s="60">
        <f>(BSPrice($B45*1.05,$J45+0.05, $K45, $C45, ($I45-$B$1)/365, $G45, $H45, $D45) - BSPrice($B45,$J45, $K45, $C45, ($I45-$B$1)/365, $G45, $H45, $D45)) * $F45</f>
        <v/>
      </c>
      <c r="BY45" s="60">
        <f>(BSPrice($B45*1.05,$J45+0.1, $K45, $C45, ($I45-$B$1)/365, $G45, $H45, $D45) - BSPrice($B45,$J45, $K45, $C45, ($I45-$B$1)/365, $G45, $H45, $D45)) * $F45</f>
        <v/>
      </c>
      <c r="BZ45" s="60">
        <f>(BSPrice($B45*1.05,$J45+0.2, $K45, $C45, ($I45-$B$1)/365, $G45, $H45, $D45) - BSPrice($B45,$J45, $K45, $C45, ($I45-$B$1)/365, $G45, $H45, $D45)) * $F45</f>
        <v/>
      </c>
      <c r="CA45" s="60">
        <f>(BSPrice($B45*1.1,$J45+-0.05, $K45, $C45, ($I45-$B$1)/365, $G45, $H45, $D45) - BSPrice($B45,$J45, $K45, $C45, ($I45-$B$1)/365, $G45, $H45, $D45)) * $F45</f>
        <v/>
      </c>
      <c r="CB45" s="60">
        <f>(BSPrice($B45*1.1,$J45+-0.02, $K45, $C45, ($I45-$B$1)/365, $G45, $H45, $D45) - BSPrice($B45,$J45, $K45, $C45, ($I45-$B$1)/365, $G45, $H45, $D45)) * $F45</f>
        <v/>
      </c>
      <c r="CC45" s="60">
        <f>(BSPrice($B45*1.1,$J45+0, $K45, $C45, ($I45-$B$1)/365, $G45, $H45, $D45) - BSPrice($B45,$J45, $K45, $C45, ($I45-$B$1)/365, $G45, $H45, $D45)) * $F45</f>
        <v/>
      </c>
      <c r="CD45" s="60">
        <f>(BSPrice($B45*1.1,$J45+0.02, $K45, $C45, ($I45-$B$1)/365, $G45, $H45, $D45) - BSPrice($B45,$J45, $K45, $C45, ($I45-$B$1)/365, $G45, $H45, $D45)) * $F45</f>
        <v/>
      </c>
      <c r="CE45" s="60">
        <f>(BSPrice($B45*1.1,$J45+0.05, $K45, $C45, ($I45-$B$1)/365, $G45, $H45, $D45) - BSPrice($B45,$J45, $K45, $C45, ($I45-$B$1)/365, $G45, $H45, $D45)) * $F45</f>
        <v/>
      </c>
      <c r="CF45" s="60">
        <f>(BSPrice($B45*1.1,$J45+0.1, $K45, $C45, ($I45-$B$1)/365, $G45, $H45, $D45) - BSPrice($B45,$J45, $K45, $C45, ($I45-$B$1)/365, $G45, $H45, $D45)) * $F45</f>
        <v/>
      </c>
      <c r="CG45" s="60">
        <f>(BSPrice($B45*1.1,$J45+0.2, $K45, $C45, ($I45-$B$1)/365, $G45, $H45, $D45) - BSPrice($B45,$J45, $K45, $C45, ($I45-$B$1)/365, $G45, $H45, $D45)) * $F45</f>
        <v/>
      </c>
      <c r="CH45" s="60">
        <f>(BSPrice($B45*1.2,$J45+-0.05, $K45, $C45, ($I45-$B$1)/365, $G45, $H45, $D45) - BSPrice($B45,$J45, $K45, $C45, ($I45-$B$1)/365, $G45, $H45, $D45)) * $F45</f>
        <v/>
      </c>
      <c r="CI45" s="60">
        <f>(BSPrice($B45*1.2,$J45+-0.02, $K45, $C45, ($I45-$B$1)/365, $G45, $H45, $D45) - BSPrice($B45,$J45, $K45, $C45, ($I45-$B$1)/365, $G45, $H45, $D45)) * $F45</f>
        <v/>
      </c>
      <c r="CJ45" s="60">
        <f>(BSPrice($B45*1.2,$J45+0, $K45, $C45, ($I45-$B$1)/365, $G45, $H45, $D45) - BSPrice($B45,$J45, $K45, $C45, ($I45-$B$1)/365, $G45, $H45, $D45)) * $F45</f>
        <v/>
      </c>
      <c r="CK45" s="60">
        <f>(BSPrice($B45*1.2,$J45+0.02, $K45, $C45, ($I45-$B$1)/365, $G45, $H45, $D45) - BSPrice($B45,$J45, $K45, $C45, ($I45-$B$1)/365, $G45, $H45, $D45)) * $F45</f>
        <v/>
      </c>
      <c r="CL45" s="60">
        <f>(BSPrice($B45*1.2,$J45+0.05, $K45, $C45, ($I45-$B$1)/365, $G45, $H45, $D45) - BSPrice($B45,$J45, $K45, $C45, ($I45-$B$1)/365, $G45, $H45, $D45)) * $F45</f>
        <v/>
      </c>
      <c r="CM45" s="60">
        <f>(BSPrice($B45*1.2,$J45+0.1, $K45, $C45, ($I45-$B$1)/365, $G45, $H45, $D45) - BSPrice($B45,$J45, $K45, $C45, ($I45-$B$1)/365, $G45, $H45, $D45)) * $F45</f>
        <v/>
      </c>
      <c r="CN45" s="60">
        <f>(BSPrice($B45*1.2,$J45+0.2, $K45, $C45, ($I45-$B$1)/365, $G45, $H45, $D45) - BSPrice($B45,$J45, $K45, $C45, ($I45-$B$1)/365, $G45, $H45, $D45)) * $F45</f>
        <v/>
      </c>
    </row>
    <row r="46">
      <c r="A46" s="3" t="inlineStr">
        <is>
          <t>SX5E Index</t>
        </is>
      </c>
      <c r="B46" s="4">
        <f>VLOOKUP(A46,PriceData!$K$4:$L$6,2,FALSE)</f>
        <v/>
      </c>
      <c r="C46" s="46">
        <f>VLOOKUP(A46,PriceData!$K$4:$M$6,3,FALSE)</f>
        <v/>
      </c>
      <c r="D46" s="4" t="inlineStr">
        <is>
          <t>Option</t>
        </is>
      </c>
      <c r="E46" s="4" t="inlineStr">
        <is>
          <t>EUR</t>
        </is>
      </c>
      <c r="F46" s="4" t="n">
        <v>-20</v>
      </c>
      <c r="G46" s="4" t="n">
        <v>3079</v>
      </c>
      <c r="H46" s="4" t="inlineStr">
        <is>
          <t>Put</t>
        </is>
      </c>
      <c r="I46" s="5" t="n">
        <v>40256</v>
      </c>
      <c r="J46" s="46">
        <f>FindImpliedVol(A46, D46, G46, I46)</f>
        <v/>
      </c>
      <c r="K46" s="30">
        <f>VLOOKUP(I46,PriceData!$A$5:$D$7,MATCH($E46,PriceData!$A$4:$D$4,0),FALSE)</f>
        <v/>
      </c>
      <c r="L46" s="2">
        <f>BSPrice($B46,$J46, $K46, $C46, ($I46-$B$1)/365, $G46, $H46, $D46)</f>
        <v/>
      </c>
      <c r="M46" s="2">
        <f>F46*L46</f>
        <v/>
      </c>
      <c r="N46" s="4" t="inlineStr">
        <is>
          <t>Exch</t>
        </is>
      </c>
      <c r="P46" s="60">
        <f>BSDelta(B46, J46, K46, C46, (I46-$B$1)/365, G46, H46, D46)</f>
        <v/>
      </c>
      <c r="Q46" s="60">
        <f>BSGamma(B46, J46, K46, C46, (I46-$B$1)/365, G46, D46)</f>
        <v/>
      </c>
      <c r="R46" s="58">
        <f>BSVega(B46, J46, K46, C46, (I46-$B$1)/365,G46, D46)</f>
        <v/>
      </c>
      <c r="S46" s="58">
        <f>BSVolga(B46, J46, K46, C46, (I46-$B$1)/365,G46, D46)</f>
        <v/>
      </c>
      <c r="T46" s="58">
        <f>BSVanna(B46,J46,K46, C46, (I46-$B$1)/365, G46, D46)</f>
        <v/>
      </c>
      <c r="U46" s="2">
        <f>BSRho(B46, J46, K46, C46, (I46-$B$1)/365, G46, H46, D46)</f>
        <v/>
      </c>
      <c r="V46" s="65">
        <f>$F46*$P46</f>
        <v/>
      </c>
      <c r="W46" s="65">
        <f>$F46*$Q46</f>
        <v/>
      </c>
      <c r="X46" s="78">
        <f>$F46*R46</f>
        <v/>
      </c>
      <c r="Y46" s="78">
        <f>$F46*S46</f>
        <v/>
      </c>
      <c r="Z46" s="78">
        <f>$F46*T46</f>
        <v/>
      </c>
      <c r="AA46" s="78">
        <f>$F46*U46</f>
        <v/>
      </c>
      <c r="AB46" s="78">
        <f>(BSPrice($B46*0.8,$J46, $K46, $C46, ($I46-$B$1)/365, $G46, $H46, $D46) - BSPrice($B46,$J46, $K46, $C46, ($I46-$B$1)/365, $G46, $H46, $D46)) * $F46</f>
        <v/>
      </c>
      <c r="AC46" s="78">
        <f>(BSPrice($B46*0.9,$J46, $K46, $C46, ($I46-$B$1)/365, $G46, $H46, $D46) - BSPrice($B46,$J46, $K46, $C46, ($I46-$B$1)/365, $G46, $H46, $D46)) * $F46</f>
        <v/>
      </c>
      <c r="AD46" s="78">
        <f>(BSPrice($B46*0.95,$J46, $K46, $C46, ($I46-$B$1)/365, $G46, $H46, $D46) - BSPrice($B46,$J46, $K46, $C46, ($I46-$B$1)/365, $G46, $H46, $D46)) * $F46</f>
        <v/>
      </c>
      <c r="AE46" s="78">
        <f>(BSPrice($B46*0.98,$J46, $K46, $C46, ($I46-$B$1)/365, $G46, $H46, $D46) - BSPrice($B46,$J46, $K46, $C46, ($I46-$B$1)/365, $G46, $H46, $D46)) * $F46</f>
        <v/>
      </c>
      <c r="AF46" s="78">
        <f>(BSPrice($B46*1.02,$J46, $K46, $C46, ($I46-$B$1)/365, $G46, $H46, $D46) - BSPrice($B46,$J46, $K46, $C46, ($I46-$B$1)/365, $G46, $H46, $D46)) * $F46</f>
        <v/>
      </c>
      <c r="AG46" s="78">
        <f>(BSPrice($B46*1.05,$J46, $K46, $C46, ($I46-$B$1)/365, $G46, $H46, $D46) - BSPrice($B46,$J46, $K46, $C46, ($I46-$B$1)/365, $G46, $H46, $D46)) * $F46</f>
        <v/>
      </c>
      <c r="AH46" s="78">
        <f>(BSPrice($B46*1.1,$J46, $K46, $C46, ($I46-$B$1)/365, $G46, $H46, $D46) - BSPrice($B46,$J46, $K46, $C46, ($I46-$B$1)/365, $G46, $H46, $D46)) * $F46</f>
        <v/>
      </c>
      <c r="AI46" s="78">
        <f>(BSPrice($B46*1.2,$J46, $K46, $C46, ($I46-$B$1)/365, $G46, $H46, $D46) - BSPrice($B46,$J46, $K46, $C46, ($I46-$B$1)/365, $G46, $H46, $D46)) * $F46</f>
        <v/>
      </c>
      <c r="AJ46" s="78">
        <f>(BSPrice($B46,$J46-0.1, $K46, $C46, ($I46-$B$1)/365, $G46, $H46, $D46) - BSPrice($B46,$J46, $K46, $C46, ($I46-$B$1)/365, $G46, $H46, $D46)) * $F46</f>
        <v/>
      </c>
      <c r="AK46" s="78">
        <f>(BSPrice($B46,$J46-0.05,$K46,$C46,($I46-$B$1)/365,$G46,$H46,$D46)-BSPrice($B46,$J46,$K46,$C46,($I46-$B$1)/365,$G46,$H46,$D46))*$F46</f>
        <v/>
      </c>
      <c r="AL46" s="78">
        <f>(BSPrice($B46,$J46-0.02, $K46, $C46, ($I46-$B$1)/365, $G46, $H46, $D46) - BSPrice($B46,$J46, $K46, $C46, ($I46-$B$1)/365, $G46, $H46, $D46)) * $F46</f>
        <v/>
      </c>
      <c r="AM46" s="78">
        <f>(BSPrice($B46,$J46-0.01, $K46, $C46, ($I46-$B$1)/365, $G46, $H46, $D46) - BSPrice($B46,$J46, $K46, $C46, ($I46-$B$1)/365, $G46, $H46, $D46)) * $F46</f>
        <v/>
      </c>
      <c r="AN46" s="78">
        <f>(BSPrice($B46,$J46+0.01, $K46, $C46, ($I46-$B$1)/365, $G46, $H46, $D46) - BSPrice($B46,$J46, $K46, $C46, ($I46-$B$1)/365, $G46, $H46, $D46)) * $F46</f>
        <v/>
      </c>
      <c r="AO46" s="78">
        <f>(BSPrice($B46,$J46+0.02, $K46, $C46, ($I46-$B$1)/365, $G46, $H46, $D46) - BSPrice($B46,$J46, $K46, $C46, ($I46-$B$1)/365, $G46, $H46, $D46)) * $F46</f>
        <v/>
      </c>
      <c r="AP46" s="78">
        <f>(BSPrice($B46,$J46+0.05, $K46, $C46, ($I46-$B$1)/365, $G46, $H46, $D46) - BSPrice($B46,$J46, $K46, $C46, ($I46-$B$1)/365, $G46, $H46, $D46)) * $F46</f>
        <v/>
      </c>
      <c r="AQ46" s="78">
        <f>(BSPrice($B46,$J46+0.1, $K46, $C46, ($I46-$B$1)/365, $G46, $H46, $D46) - BSPrice($B46,$J46, $K46, $C46, ($I46-$B$1)/365, $G46, $H46, $D46)) * $F46</f>
        <v/>
      </c>
      <c r="AR46" s="60">
        <f>(BSPrice($B46*0.8,$J46+-0.05, $K46, $C46, ($I46-$B$1)/365, $G46, $H46, $D46) - BSPrice($B46,$J46, $K46, $C46, ($I46-$B$1)/365, $G46, $H46, $D46)) * $F46</f>
        <v/>
      </c>
      <c r="AS46" s="60">
        <f>(BSPrice($B46*0.8,$J46+-0.02, $K46, $C46, ($I46-$B$1)/365, $G46, $H46, $D46) - BSPrice($B46,$J46, $K46, $C46, ($I46-$B$1)/365, $G46, $H46, $D46)) * $F46</f>
        <v/>
      </c>
      <c r="AT46" s="60">
        <f>(BSPrice($B46*0.8,$J46+0, $K46, $C46, ($I46-$B$1)/365, $G46, $H46, $D46) - BSPrice($B46,$J46, $K46, $C46, ($I46-$B$1)/365, $G46, $H46, $D46)) * $F46</f>
        <v/>
      </c>
      <c r="AU46" s="60">
        <f>(BSPrice($B46*0.8,$J46+0.02, $K46, $C46, ($I46-$B$1)/365, $G46, $H46, $D46) - BSPrice($B46,$J46, $K46, $C46, ($I46-$B$1)/365, $G46, $H46, $D46)) * $F46</f>
        <v/>
      </c>
      <c r="AV46" s="60">
        <f>(BSPrice($B46*0.8,$J46+0.05, $K46, $C46, ($I46-$B$1)/365, $G46, $H46, $D46) - BSPrice($B46,$J46, $K46, $C46, ($I46-$B$1)/365, $G46, $H46, $D46)) * $F46</f>
        <v/>
      </c>
      <c r="AW46" s="60">
        <f>(BSPrice($B46*0.8,$J46+0.1, $K46, $C46, ($I46-$B$1)/365, $G46, $H46, $D46) - BSPrice($B46,$J46, $K46, $C46, ($I46-$B$1)/365, $G46, $H46, $D46)) * $F46</f>
        <v/>
      </c>
      <c r="AX46" s="60">
        <f>(BSPrice($B46*0.8,$J46+0.2, $K46, $C46, ($I46-$B$1)/365, $G46, $H46, $D46) - BSPrice($B46,$J46, $K46, $C46, ($I46-$B$1)/365, $G46, $H46, $D46)) * $F46</f>
        <v/>
      </c>
      <c r="AY46" s="60">
        <f>(BSPrice($B46*0.9,$J46+-0.05, $K46, $C46, ($I46-$B$1)/365, $G46, $H46, $D46) - BSPrice($B46,$J46, $K46, $C46, ($I46-$B$1)/365, $G46, $H46, $D46)) * $F46</f>
        <v/>
      </c>
      <c r="AZ46" s="60">
        <f>(BSPrice($B46*0.9,$J46+-0.02, $K46, $C46, ($I46-$B$1)/365, $G46, $H46, $D46) - BSPrice($B46,$J46, $K46, $C46, ($I46-$B$1)/365, $G46, $H46, $D46)) * $F46</f>
        <v/>
      </c>
      <c r="BA46" s="60">
        <f>(BSPrice($B46*0.9,$J46+0, $K46, $C46, ($I46-$B$1)/365, $G46, $H46, $D46) - BSPrice($B46,$J46, $K46, $C46, ($I46-$B$1)/365, $G46, $H46, $D46)) * $F46</f>
        <v/>
      </c>
      <c r="BB46" s="60">
        <f>(BSPrice($B46*0.9,$J46+0.02, $K46, $C46, ($I46-$B$1)/365, $G46, $H46, $D46) - BSPrice($B46,$J46, $K46, $C46, ($I46-$B$1)/365, $G46, $H46, $D46)) * $F46</f>
        <v/>
      </c>
      <c r="BC46" s="60">
        <f>(BSPrice($B46*0.9,$J46+0.05, $K46, $C46, ($I46-$B$1)/365, $G46, $H46, $D46) - BSPrice($B46,$J46, $K46, $C46, ($I46-$B$1)/365, $G46, $H46, $D46)) * $F46</f>
        <v/>
      </c>
      <c r="BD46" s="60">
        <f>(BSPrice($B46*0.9,$J46+0.1, $K46, $C46, ($I46-$B$1)/365, $G46, $H46, $D46) - BSPrice($B46,$J46, $K46, $C46, ($I46-$B$1)/365, $G46, $H46, $D46)) * $F46</f>
        <v/>
      </c>
      <c r="BE46" s="60">
        <f>(BSPrice($B46*0.9,$J46+0.2, $K46, $C46, ($I46-$B$1)/365, $G46, $H46, $D46) - BSPrice($B46,$J46, $K46, $C46, ($I46-$B$1)/365, $G46, $H46, $D46)) * $F46</f>
        <v/>
      </c>
      <c r="BF46" s="60">
        <f>(BSPrice($B46*0.95,$J46+-0.05, $K46, $C46, ($I46-$B$1)/365, $G46, $H46, $D46) - BSPrice($B46,$J46, $K46, $C46, ($I46-$B$1)/365, $G46, $H46, $D46)) * $F46</f>
        <v/>
      </c>
      <c r="BG46" s="60">
        <f>(BSPrice($B46*0.95,$J46+-0.02, $K46, $C46, ($I46-$B$1)/365, $G46, $H46, $D46) - BSPrice($B46,$J46, $K46, $C46, ($I46-$B$1)/365, $G46, $H46, $D46)) * $F46</f>
        <v/>
      </c>
      <c r="BH46" s="60">
        <f>(BSPrice($B46*0.95,$J46+0, $K46, $C46, ($I46-$B$1)/365, $G46, $H46, $D46) - BSPrice($B46,$J46, $K46, $C46, ($I46-$B$1)/365, $G46, $H46, $D46)) * $F46</f>
        <v/>
      </c>
      <c r="BI46" s="60">
        <f>(BSPrice($B46*0.95,$J46+0.02, $K46, $C46, ($I46-$B$1)/365, $G46, $H46, $D46) - BSPrice($B46,$J46, $K46, $C46, ($I46-$B$1)/365, $G46, $H46, $D46)) * $F46</f>
        <v/>
      </c>
      <c r="BJ46" s="60">
        <f>(BSPrice($B46*0.95,$J46+0.05, $K46, $C46, ($I46-$B$1)/365, $G46, $H46, $D46) - BSPrice($B46,$J46, $K46, $C46, ($I46-$B$1)/365, $G46, $H46, $D46)) * $F46</f>
        <v/>
      </c>
      <c r="BK46" s="60">
        <f>(BSPrice($B46*0.95,$J46+0.1, $K46, $C46, ($I46-$B$1)/365, $G46, $H46, $D46) - BSPrice($B46,$J46, $K46, $C46, ($I46-$B$1)/365, $G46, $H46, $D46)) * $F46</f>
        <v/>
      </c>
      <c r="BL46" s="60">
        <f>(BSPrice($B46*0.95,$J46+0.2, $K46, $C46, ($I46-$B$1)/365, $G46, $H46, $D46) - BSPrice($B46,$J46, $K46, $C46, ($I46-$B$1)/365, $G46, $H46, $D46)) * $F46</f>
        <v/>
      </c>
      <c r="BM46" s="60">
        <f>(BSPrice($B46*1,$J46+-0.05, $K46, $C46, ($I46-$B$1)/365, $G46, $H46, $D46) - BSPrice($B46,$J46, $K46, $C46, ($I46-$B$1)/365, $G46, $H46, $D46)) * $F46</f>
        <v/>
      </c>
      <c r="BN46" s="60">
        <f>(BSPrice($B46*1,$J46+-0.02, $K46, $C46, ($I46-$B$1)/365, $G46, $H46, $D46) - BSPrice($B46,$J46, $K46, $C46, ($I46-$B$1)/365, $G46, $H46, $D46)) * $F46</f>
        <v/>
      </c>
      <c r="BO46" s="60">
        <f>(BSPrice($B46*1,$J46+0, $K46, $C46, ($I46-$B$1)/365, $G46, $H46, $D46) - BSPrice($B46,$J46, $K46, $C46, ($I46-$B$1)/365, $G46, $H46, $D46)) * $F46</f>
        <v/>
      </c>
      <c r="BP46" s="60">
        <f>(BSPrice($B46*1,$J46+0.02, $K46, $C46, ($I46-$B$1)/365, $G46, $H46, $D46) - BSPrice($B46,$J46, $K46, $C46, ($I46-$B$1)/365, $G46, $H46, $D46)) * $F46</f>
        <v/>
      </c>
      <c r="BQ46" s="60">
        <f>(BSPrice($B46*1,$J46+0.05, $K46, $C46, ($I46-$B$1)/365, $G46, $H46, $D46) - BSPrice($B46,$J46, $K46, $C46, ($I46-$B$1)/365, $G46, $H46, $D46)) * $F46</f>
        <v/>
      </c>
      <c r="BR46" s="60">
        <f>(BSPrice($B46*1,$J46+0.1, $K46, $C46, ($I46-$B$1)/365, $G46, $H46, $D46) - BSPrice($B46,$J46, $K46, $C46, ($I46-$B$1)/365, $G46, $H46, $D46)) * $F46</f>
        <v/>
      </c>
      <c r="BS46" s="60">
        <f>(BSPrice($B46*1,$J46+0.2, $K46, $C46, ($I46-$B$1)/365, $G46, $H46, $D46) - BSPrice($B46,$J46, $K46, $C46, ($I46-$B$1)/365, $G46, $H46, $D46)) * $F46</f>
        <v/>
      </c>
      <c r="BT46" s="60">
        <f>(BSPrice($B46*1.05,$J46+-0.05, $K46, $C46, ($I46-$B$1)/365, $G46, $H46, $D46) - BSPrice($B46,$J46, $K46, $C46, ($I46-$B$1)/365, $G46, $H46, $D46)) * $F46</f>
        <v/>
      </c>
      <c r="BU46" s="60">
        <f>(BSPrice($B46*1.05,$J46+-0.02, $K46, $C46, ($I46-$B$1)/365, $G46, $H46, $D46) - BSPrice($B46,$J46, $K46, $C46, ($I46-$B$1)/365, $G46, $H46, $D46)) * $F46</f>
        <v/>
      </c>
      <c r="BV46" s="60">
        <f>(BSPrice($B46*1.05,$J46+0, $K46, $C46, ($I46-$B$1)/365, $G46, $H46, $D46) - BSPrice($B46,$J46, $K46, $C46, ($I46-$B$1)/365, $G46, $H46, $D46)) * $F46</f>
        <v/>
      </c>
      <c r="BW46" s="60">
        <f>(BSPrice($B46*1.05,$J46+0.02, $K46, $C46, ($I46-$B$1)/365, $G46, $H46, $D46) - BSPrice($B46,$J46, $K46, $C46, ($I46-$B$1)/365, $G46, $H46, $D46)) * $F46</f>
        <v/>
      </c>
      <c r="BX46" s="60">
        <f>(BSPrice($B46*1.05,$J46+0.05, $K46, $C46, ($I46-$B$1)/365, $G46, $H46, $D46) - BSPrice($B46,$J46, $K46, $C46, ($I46-$B$1)/365, $G46, $H46, $D46)) * $F46</f>
        <v/>
      </c>
      <c r="BY46" s="60">
        <f>(BSPrice($B46*1.05,$J46+0.1, $K46, $C46, ($I46-$B$1)/365, $G46, $H46, $D46) - BSPrice($B46,$J46, $K46, $C46, ($I46-$B$1)/365, $G46, $H46, $D46)) * $F46</f>
        <v/>
      </c>
      <c r="BZ46" s="60">
        <f>(BSPrice($B46*1.05,$J46+0.2, $K46, $C46, ($I46-$B$1)/365, $G46, $H46, $D46) - BSPrice($B46,$J46, $K46, $C46, ($I46-$B$1)/365, $G46, $H46, $D46)) * $F46</f>
        <v/>
      </c>
      <c r="CA46" s="60">
        <f>(BSPrice($B46*1.1,$J46+-0.05, $K46, $C46, ($I46-$B$1)/365, $G46, $H46, $D46) - BSPrice($B46,$J46, $K46, $C46, ($I46-$B$1)/365, $G46, $H46, $D46)) * $F46</f>
        <v/>
      </c>
      <c r="CB46" s="60">
        <f>(BSPrice($B46*1.1,$J46+-0.02, $K46, $C46, ($I46-$B$1)/365, $G46, $H46, $D46) - BSPrice($B46,$J46, $K46, $C46, ($I46-$B$1)/365, $G46, $H46, $D46)) * $F46</f>
        <v/>
      </c>
      <c r="CC46" s="60">
        <f>(BSPrice($B46*1.1,$J46+0, $K46, $C46, ($I46-$B$1)/365, $G46, $H46, $D46) - BSPrice($B46,$J46, $K46, $C46, ($I46-$B$1)/365, $G46, $H46, $D46)) * $F46</f>
        <v/>
      </c>
      <c r="CD46" s="60">
        <f>(BSPrice($B46*1.1,$J46+0.02, $K46, $C46, ($I46-$B$1)/365, $G46, $H46, $D46) - BSPrice($B46,$J46, $K46, $C46, ($I46-$B$1)/365, $G46, $H46, $D46)) * $F46</f>
        <v/>
      </c>
      <c r="CE46" s="60">
        <f>(BSPrice($B46*1.1,$J46+0.05, $K46, $C46, ($I46-$B$1)/365, $G46, $H46, $D46) - BSPrice($B46,$J46, $K46, $C46, ($I46-$B$1)/365, $G46, $H46, $D46)) * $F46</f>
        <v/>
      </c>
      <c r="CF46" s="60">
        <f>(BSPrice($B46*1.1,$J46+0.1, $K46, $C46, ($I46-$B$1)/365, $G46, $H46, $D46) - BSPrice($B46,$J46, $K46, $C46, ($I46-$B$1)/365, $G46, $H46, $D46)) * $F46</f>
        <v/>
      </c>
      <c r="CG46" s="60">
        <f>(BSPrice($B46*1.1,$J46+0.2, $K46, $C46, ($I46-$B$1)/365, $G46, $H46, $D46) - BSPrice($B46,$J46, $K46, $C46, ($I46-$B$1)/365, $G46, $H46, $D46)) * $F46</f>
        <v/>
      </c>
      <c r="CH46" s="60">
        <f>(BSPrice($B46*1.2,$J46+-0.05, $K46, $C46, ($I46-$B$1)/365, $G46, $H46, $D46) - BSPrice($B46,$J46, $K46, $C46, ($I46-$B$1)/365, $G46, $H46, $D46)) * $F46</f>
        <v/>
      </c>
      <c r="CI46" s="60">
        <f>(BSPrice($B46*1.2,$J46+-0.02, $K46, $C46, ($I46-$B$1)/365, $G46, $H46, $D46) - BSPrice($B46,$J46, $K46, $C46, ($I46-$B$1)/365, $G46, $H46, $D46)) * $F46</f>
        <v/>
      </c>
      <c r="CJ46" s="60">
        <f>(BSPrice($B46*1.2,$J46+0, $K46, $C46, ($I46-$B$1)/365, $G46, $H46, $D46) - BSPrice($B46,$J46, $K46, $C46, ($I46-$B$1)/365, $G46, $H46, $D46)) * $F46</f>
        <v/>
      </c>
      <c r="CK46" s="60">
        <f>(BSPrice($B46*1.2,$J46+0.02, $K46, $C46, ($I46-$B$1)/365, $G46, $H46, $D46) - BSPrice($B46,$J46, $K46, $C46, ($I46-$B$1)/365, $G46, $H46, $D46)) * $F46</f>
        <v/>
      </c>
      <c r="CL46" s="60">
        <f>(BSPrice($B46*1.2,$J46+0.05, $K46, $C46, ($I46-$B$1)/365, $G46, $H46, $D46) - BSPrice($B46,$J46, $K46, $C46, ($I46-$B$1)/365, $G46, $H46, $D46)) * $F46</f>
        <v/>
      </c>
      <c r="CM46" s="60">
        <f>(BSPrice($B46*1.2,$J46+0.1, $K46, $C46, ($I46-$B$1)/365, $G46, $H46, $D46) - BSPrice($B46,$J46, $K46, $C46, ($I46-$B$1)/365, $G46, $H46, $D46)) * $F46</f>
        <v/>
      </c>
      <c r="CN46" s="60">
        <f>(BSPrice($B46*1.2,$J46+0.2, $K46, $C46, ($I46-$B$1)/365, $G46, $H46, $D46) - BSPrice($B46,$J46, $K46, $C46, ($I46-$B$1)/365, $G46, $H46, $D46)) * $F46</f>
        <v/>
      </c>
    </row>
    <row r="47">
      <c r="A47" s="3" t="inlineStr">
        <is>
          <t>SX5E Index</t>
        </is>
      </c>
      <c r="B47" s="4">
        <f>VLOOKUP(A47,PriceData!$K$4:$L$6,2,FALSE)</f>
        <v/>
      </c>
      <c r="C47" s="46">
        <f>VLOOKUP(A47,PriceData!$K$4:$M$6,3,FALSE)</f>
        <v/>
      </c>
      <c r="D47" s="4" t="inlineStr">
        <is>
          <t>Option</t>
        </is>
      </c>
      <c r="E47" s="4" t="inlineStr">
        <is>
          <t>EUR</t>
        </is>
      </c>
      <c r="F47" s="4" t="n">
        <v>50</v>
      </c>
      <c r="G47" s="4" t="n">
        <v>2469</v>
      </c>
      <c r="H47" s="4" t="inlineStr">
        <is>
          <t>Put</t>
        </is>
      </c>
      <c r="I47" s="5" t="n">
        <v>40256</v>
      </c>
      <c r="J47" s="46">
        <f>FindImpliedVol(A47, D47, G47, I47)</f>
        <v/>
      </c>
      <c r="K47" s="30">
        <f>VLOOKUP(I47,PriceData!$A$5:$D$7,MATCH($E47,PriceData!$A$4:$D$4,0),FALSE)</f>
        <v/>
      </c>
      <c r="L47" s="2">
        <f>BSPrice($B47,$J47, $K47, $C47, ($I47-$B$1)/365, $G47, $H47, $D47)</f>
        <v/>
      </c>
      <c r="M47" s="2">
        <f>F47*L47</f>
        <v/>
      </c>
      <c r="N47" s="4" t="inlineStr">
        <is>
          <t>Exch</t>
        </is>
      </c>
      <c r="P47" s="60">
        <f>BSDelta(B47, J47, K47, C47, (I47-$B$1)/365, G47, H47, D47)</f>
        <v/>
      </c>
      <c r="Q47" s="60">
        <f>BSGamma(B47, J47, K47, C47, (I47-$B$1)/365, G47, D47)</f>
        <v/>
      </c>
      <c r="R47" s="58">
        <f>BSVega(B47, J47, K47, C47, (I47-$B$1)/365,G47, D47)</f>
        <v/>
      </c>
      <c r="S47" s="58">
        <f>BSVolga(B47, J47, K47, C47, (I47-$B$1)/365,G47, D47)</f>
        <v/>
      </c>
      <c r="T47" s="58">
        <f>BSVanna(B47,J47,K47, C47, (I47-$B$1)/365, G47, D47)</f>
        <v/>
      </c>
      <c r="U47" s="2">
        <f>BSRho(B47, J47, K47, C47, (I47-$B$1)/365, G47, H47, D47)</f>
        <v/>
      </c>
      <c r="V47" s="65">
        <f>$F47*$P47</f>
        <v/>
      </c>
      <c r="W47" s="65">
        <f>$F47*$Q47</f>
        <v/>
      </c>
      <c r="X47" s="78">
        <f>$F47*R47</f>
        <v/>
      </c>
      <c r="Y47" s="78">
        <f>$F47*S47</f>
        <v/>
      </c>
      <c r="Z47" s="78">
        <f>$F47*T47</f>
        <v/>
      </c>
      <c r="AA47" s="78">
        <f>$F47*U47</f>
        <v/>
      </c>
      <c r="AB47" s="78">
        <f>(BSPrice($B47*0.8,$J47, $K47, $C47, ($I47-$B$1)/365, $G47, $H47, $D47) - BSPrice($B47,$J47, $K47, $C47, ($I47-$B$1)/365, $G47, $H47, $D47)) * $F47</f>
        <v/>
      </c>
      <c r="AC47" s="78">
        <f>(BSPrice($B47*0.9,$J47, $K47, $C47, ($I47-$B$1)/365, $G47, $H47, $D47) - BSPrice($B47,$J47, $K47, $C47, ($I47-$B$1)/365, $G47, $H47, $D47)) * $F47</f>
        <v/>
      </c>
      <c r="AD47" s="78">
        <f>(BSPrice($B47*0.95,$J47, $K47, $C47, ($I47-$B$1)/365, $G47, $H47, $D47) - BSPrice($B47,$J47, $K47, $C47, ($I47-$B$1)/365, $G47, $H47, $D47)) * $F47</f>
        <v/>
      </c>
      <c r="AE47" s="78">
        <f>(BSPrice($B47*0.98,$J47, $K47, $C47, ($I47-$B$1)/365, $G47, $H47, $D47) - BSPrice($B47,$J47, $K47, $C47, ($I47-$B$1)/365, $G47, $H47, $D47)) * $F47</f>
        <v/>
      </c>
      <c r="AF47" s="78">
        <f>(BSPrice($B47*1.02,$J47, $K47, $C47, ($I47-$B$1)/365, $G47, $H47, $D47) - BSPrice($B47,$J47, $K47, $C47, ($I47-$B$1)/365, $G47, $H47, $D47)) * $F47</f>
        <v/>
      </c>
      <c r="AG47" s="78">
        <f>(BSPrice($B47*1.05,$J47, $K47, $C47, ($I47-$B$1)/365, $G47, $H47, $D47) - BSPrice($B47,$J47, $K47, $C47, ($I47-$B$1)/365, $G47, $H47, $D47)) * $F47</f>
        <v/>
      </c>
      <c r="AH47" s="78">
        <f>(BSPrice($B47*1.1,$J47, $K47, $C47, ($I47-$B$1)/365, $G47, $H47, $D47) - BSPrice($B47,$J47, $K47, $C47, ($I47-$B$1)/365, $G47, $H47, $D47)) * $F47</f>
        <v/>
      </c>
      <c r="AI47" s="78">
        <f>(BSPrice($B47*1.2,$J47, $K47, $C47, ($I47-$B$1)/365, $G47, $H47, $D47) - BSPrice($B47,$J47, $K47, $C47, ($I47-$B$1)/365, $G47, $H47, $D47)) * $F47</f>
        <v/>
      </c>
      <c r="AJ47" s="78">
        <f>(BSPrice($B47,$J47-0.1, $K47, $C47, ($I47-$B$1)/365, $G47, $H47, $D47) - BSPrice($B47,$J47, $K47, $C47, ($I47-$B$1)/365, $G47, $H47, $D47)) * $F47</f>
        <v/>
      </c>
      <c r="AK47" s="78">
        <f>(BSPrice($B47,$J47-0.05,$K47,$C47,($I47-$B$1)/365,$G47,$H47,$D47)-BSPrice($B47,$J47,$K47,$C47,($I47-$B$1)/365,$G47,$H47,$D47))*$F47</f>
        <v/>
      </c>
      <c r="AL47" s="78">
        <f>(BSPrice($B47,$J47-0.02, $K47, $C47, ($I47-$B$1)/365, $G47, $H47, $D47) - BSPrice($B47,$J47, $K47, $C47, ($I47-$B$1)/365, $G47, $H47, $D47)) * $F47</f>
        <v/>
      </c>
      <c r="AM47" s="78">
        <f>(BSPrice($B47,$J47-0.01, $K47, $C47, ($I47-$B$1)/365, $G47, $H47, $D47) - BSPrice($B47,$J47, $K47, $C47, ($I47-$B$1)/365, $G47, $H47, $D47)) * $F47</f>
        <v/>
      </c>
      <c r="AN47" s="78">
        <f>(BSPrice($B47,$J47+0.01, $K47, $C47, ($I47-$B$1)/365, $G47, $H47, $D47) - BSPrice($B47,$J47, $K47, $C47, ($I47-$B$1)/365, $G47, $H47, $D47)) * $F47</f>
        <v/>
      </c>
      <c r="AO47" s="78">
        <f>(BSPrice($B47,$J47+0.02, $K47, $C47, ($I47-$B$1)/365, $G47, $H47, $D47) - BSPrice($B47,$J47, $K47, $C47, ($I47-$B$1)/365, $G47, $H47, $D47)) * $F47</f>
        <v/>
      </c>
      <c r="AP47" s="78">
        <f>(BSPrice($B47,$J47+0.05, $K47, $C47, ($I47-$B$1)/365, $G47, $H47, $D47) - BSPrice($B47,$J47, $K47, $C47, ($I47-$B$1)/365, $G47, $H47, $D47)) * $F47</f>
        <v/>
      </c>
      <c r="AQ47" s="78">
        <f>(BSPrice($B47,$J47+0.1, $K47, $C47, ($I47-$B$1)/365, $G47, $H47, $D47) - BSPrice($B47,$J47, $K47, $C47, ($I47-$B$1)/365, $G47, $H47, $D47)) * $F47</f>
        <v/>
      </c>
      <c r="AR47" s="60">
        <f>(BSPrice($B47*0.8,$J47+-0.05, $K47, $C47, ($I47-$B$1)/365, $G47, $H47, $D47) - BSPrice($B47,$J47, $K47, $C47, ($I47-$B$1)/365, $G47, $H47, $D47)) * $F47</f>
        <v/>
      </c>
      <c r="AS47" s="60">
        <f>(BSPrice($B47*0.8,$J47+-0.02, $K47, $C47, ($I47-$B$1)/365, $G47, $H47, $D47) - BSPrice($B47,$J47, $K47, $C47, ($I47-$B$1)/365, $G47, $H47, $D47)) * $F47</f>
        <v/>
      </c>
      <c r="AT47" s="60">
        <f>(BSPrice($B47*0.8,$J47+0, $K47, $C47, ($I47-$B$1)/365, $G47, $H47, $D47) - BSPrice($B47,$J47, $K47, $C47, ($I47-$B$1)/365, $G47, $H47, $D47)) * $F47</f>
        <v/>
      </c>
      <c r="AU47" s="60">
        <f>(BSPrice($B47*0.8,$J47+0.02, $K47, $C47, ($I47-$B$1)/365, $G47, $H47, $D47) - BSPrice($B47,$J47, $K47, $C47, ($I47-$B$1)/365, $G47, $H47, $D47)) * $F47</f>
        <v/>
      </c>
      <c r="AV47" s="60">
        <f>(BSPrice($B47*0.8,$J47+0.05, $K47, $C47, ($I47-$B$1)/365, $G47, $H47, $D47) - BSPrice($B47,$J47, $K47, $C47, ($I47-$B$1)/365, $G47, $H47, $D47)) * $F47</f>
        <v/>
      </c>
      <c r="AW47" s="60">
        <f>(BSPrice($B47*0.8,$J47+0.1, $K47, $C47, ($I47-$B$1)/365, $G47, $H47, $D47) - BSPrice($B47,$J47, $K47, $C47, ($I47-$B$1)/365, $G47, $H47, $D47)) * $F47</f>
        <v/>
      </c>
      <c r="AX47" s="60">
        <f>(BSPrice($B47*0.8,$J47+0.2, $K47, $C47, ($I47-$B$1)/365, $G47, $H47, $D47) - BSPrice($B47,$J47, $K47, $C47, ($I47-$B$1)/365, $G47, $H47, $D47)) * $F47</f>
        <v/>
      </c>
      <c r="AY47" s="60">
        <f>(BSPrice($B47*0.9,$J47+-0.05, $K47, $C47, ($I47-$B$1)/365, $G47, $H47, $D47) - BSPrice($B47,$J47, $K47, $C47, ($I47-$B$1)/365, $G47, $H47, $D47)) * $F47</f>
        <v/>
      </c>
      <c r="AZ47" s="60">
        <f>(BSPrice($B47*0.9,$J47+-0.02, $K47, $C47, ($I47-$B$1)/365, $G47, $H47, $D47) - BSPrice($B47,$J47, $K47, $C47, ($I47-$B$1)/365, $G47, $H47, $D47)) * $F47</f>
        <v/>
      </c>
      <c r="BA47" s="60">
        <f>(BSPrice($B47*0.9,$J47+0, $K47, $C47, ($I47-$B$1)/365, $G47, $H47, $D47) - BSPrice($B47,$J47, $K47, $C47, ($I47-$B$1)/365, $G47, $H47, $D47)) * $F47</f>
        <v/>
      </c>
      <c r="BB47" s="60">
        <f>(BSPrice($B47*0.9,$J47+0.02, $K47, $C47, ($I47-$B$1)/365, $G47, $H47, $D47) - BSPrice($B47,$J47, $K47, $C47, ($I47-$B$1)/365, $G47, $H47, $D47)) * $F47</f>
        <v/>
      </c>
      <c r="BC47" s="60">
        <f>(BSPrice($B47*0.9,$J47+0.05, $K47, $C47, ($I47-$B$1)/365, $G47, $H47, $D47) - BSPrice($B47,$J47, $K47, $C47, ($I47-$B$1)/365, $G47, $H47, $D47)) * $F47</f>
        <v/>
      </c>
      <c r="BD47" s="60">
        <f>(BSPrice($B47*0.9,$J47+0.1, $K47, $C47, ($I47-$B$1)/365, $G47, $H47, $D47) - BSPrice($B47,$J47, $K47, $C47, ($I47-$B$1)/365, $G47, $H47, $D47)) * $F47</f>
        <v/>
      </c>
      <c r="BE47" s="60">
        <f>(BSPrice($B47*0.9,$J47+0.2, $K47, $C47, ($I47-$B$1)/365, $G47, $H47, $D47) - BSPrice($B47,$J47, $K47, $C47, ($I47-$B$1)/365, $G47, $H47, $D47)) * $F47</f>
        <v/>
      </c>
      <c r="BF47" s="60">
        <f>(BSPrice($B47*0.95,$J47+-0.05, $K47, $C47, ($I47-$B$1)/365, $G47, $H47, $D47) - BSPrice($B47,$J47, $K47, $C47, ($I47-$B$1)/365, $G47, $H47, $D47)) * $F47</f>
        <v/>
      </c>
      <c r="BG47" s="60">
        <f>(BSPrice($B47*0.95,$J47+-0.02, $K47, $C47, ($I47-$B$1)/365, $G47, $H47, $D47) - BSPrice($B47,$J47, $K47, $C47, ($I47-$B$1)/365, $G47, $H47, $D47)) * $F47</f>
        <v/>
      </c>
      <c r="BH47" s="60">
        <f>(BSPrice($B47*0.95,$J47+0, $K47, $C47, ($I47-$B$1)/365, $G47, $H47, $D47) - BSPrice($B47,$J47, $K47, $C47, ($I47-$B$1)/365, $G47, $H47, $D47)) * $F47</f>
        <v/>
      </c>
      <c r="BI47" s="60">
        <f>(BSPrice($B47*0.95,$J47+0.02, $K47, $C47, ($I47-$B$1)/365, $G47, $H47, $D47) - BSPrice($B47,$J47, $K47, $C47, ($I47-$B$1)/365, $G47, $H47, $D47)) * $F47</f>
        <v/>
      </c>
      <c r="BJ47" s="60">
        <f>(BSPrice($B47*0.95,$J47+0.05, $K47, $C47, ($I47-$B$1)/365, $G47, $H47, $D47) - BSPrice($B47,$J47, $K47, $C47, ($I47-$B$1)/365, $G47, $H47, $D47)) * $F47</f>
        <v/>
      </c>
      <c r="BK47" s="60">
        <f>(BSPrice($B47*0.95,$J47+0.1, $K47, $C47, ($I47-$B$1)/365, $G47, $H47, $D47) - BSPrice($B47,$J47, $K47, $C47, ($I47-$B$1)/365, $G47, $H47, $D47)) * $F47</f>
        <v/>
      </c>
      <c r="BL47" s="60">
        <f>(BSPrice($B47*0.95,$J47+0.2, $K47, $C47, ($I47-$B$1)/365, $G47, $H47, $D47) - BSPrice($B47,$J47, $K47, $C47, ($I47-$B$1)/365, $G47, $H47, $D47)) * $F47</f>
        <v/>
      </c>
      <c r="BM47" s="60">
        <f>(BSPrice($B47*1,$J47+-0.05, $K47, $C47, ($I47-$B$1)/365, $G47, $H47, $D47) - BSPrice($B47,$J47, $K47, $C47, ($I47-$B$1)/365, $G47, $H47, $D47)) * $F47</f>
        <v/>
      </c>
      <c r="BN47" s="60">
        <f>(BSPrice($B47*1,$J47+-0.02, $K47, $C47, ($I47-$B$1)/365, $G47, $H47, $D47) - BSPrice($B47,$J47, $K47, $C47, ($I47-$B$1)/365, $G47, $H47, $D47)) * $F47</f>
        <v/>
      </c>
      <c r="BO47" s="60">
        <f>(BSPrice($B47*1,$J47+0, $K47, $C47, ($I47-$B$1)/365, $G47, $H47, $D47) - BSPrice($B47,$J47, $K47, $C47, ($I47-$B$1)/365, $G47, $H47, $D47)) * $F47</f>
        <v/>
      </c>
      <c r="BP47" s="60">
        <f>(BSPrice($B47*1,$J47+0.02, $K47, $C47, ($I47-$B$1)/365, $G47, $H47, $D47) - BSPrice($B47,$J47, $K47, $C47, ($I47-$B$1)/365, $G47, $H47, $D47)) * $F47</f>
        <v/>
      </c>
      <c r="BQ47" s="60">
        <f>(BSPrice($B47*1,$J47+0.05, $K47, $C47, ($I47-$B$1)/365, $G47, $H47, $D47) - BSPrice($B47,$J47, $K47, $C47, ($I47-$B$1)/365, $G47, $H47, $D47)) * $F47</f>
        <v/>
      </c>
      <c r="BR47" s="60">
        <f>(BSPrice($B47*1,$J47+0.1, $K47, $C47, ($I47-$B$1)/365, $G47, $H47, $D47) - BSPrice($B47,$J47, $K47, $C47, ($I47-$B$1)/365, $G47, $H47, $D47)) * $F47</f>
        <v/>
      </c>
      <c r="BS47" s="60">
        <f>(BSPrice($B47*1,$J47+0.2, $K47, $C47, ($I47-$B$1)/365, $G47, $H47, $D47) - BSPrice($B47,$J47, $K47, $C47, ($I47-$B$1)/365, $G47, $H47, $D47)) * $F47</f>
        <v/>
      </c>
      <c r="BT47" s="60">
        <f>(BSPrice($B47*1.05,$J47+-0.05, $K47, $C47, ($I47-$B$1)/365, $G47, $H47, $D47) - BSPrice($B47,$J47, $K47, $C47, ($I47-$B$1)/365, $G47, $H47, $D47)) * $F47</f>
        <v/>
      </c>
      <c r="BU47" s="60">
        <f>(BSPrice($B47*1.05,$J47+-0.02, $K47, $C47, ($I47-$B$1)/365, $G47, $H47, $D47) - BSPrice($B47,$J47, $K47, $C47, ($I47-$B$1)/365, $G47, $H47, $D47)) * $F47</f>
        <v/>
      </c>
      <c r="BV47" s="60">
        <f>(BSPrice($B47*1.05,$J47+0, $K47, $C47, ($I47-$B$1)/365, $G47, $H47, $D47) - BSPrice($B47,$J47, $K47, $C47, ($I47-$B$1)/365, $G47, $H47, $D47)) * $F47</f>
        <v/>
      </c>
      <c r="BW47" s="60">
        <f>(BSPrice($B47*1.05,$J47+0.02, $K47, $C47, ($I47-$B$1)/365, $G47, $H47, $D47) - BSPrice($B47,$J47, $K47, $C47, ($I47-$B$1)/365, $G47, $H47, $D47)) * $F47</f>
        <v/>
      </c>
      <c r="BX47" s="60">
        <f>(BSPrice($B47*1.05,$J47+0.05, $K47, $C47, ($I47-$B$1)/365, $G47, $H47, $D47) - BSPrice($B47,$J47, $K47, $C47, ($I47-$B$1)/365, $G47, $H47, $D47)) * $F47</f>
        <v/>
      </c>
      <c r="BY47" s="60">
        <f>(BSPrice($B47*1.05,$J47+0.1, $K47, $C47, ($I47-$B$1)/365, $G47, $H47, $D47) - BSPrice($B47,$J47, $K47, $C47, ($I47-$B$1)/365, $G47, $H47, $D47)) * $F47</f>
        <v/>
      </c>
      <c r="BZ47" s="60">
        <f>(BSPrice($B47*1.05,$J47+0.2, $K47, $C47, ($I47-$B$1)/365, $G47, $H47, $D47) - BSPrice($B47,$J47, $K47, $C47, ($I47-$B$1)/365, $G47, $H47, $D47)) * $F47</f>
        <v/>
      </c>
      <c r="CA47" s="60">
        <f>(BSPrice($B47*1.1,$J47+-0.05, $K47, $C47, ($I47-$B$1)/365, $G47, $H47, $D47) - BSPrice($B47,$J47, $K47, $C47, ($I47-$B$1)/365, $G47, $H47, $D47)) * $F47</f>
        <v/>
      </c>
      <c r="CB47" s="60">
        <f>(BSPrice($B47*1.1,$J47+-0.02, $K47, $C47, ($I47-$B$1)/365, $G47, $H47, $D47) - BSPrice($B47,$J47, $K47, $C47, ($I47-$B$1)/365, $G47, $H47, $D47)) * $F47</f>
        <v/>
      </c>
      <c r="CC47" s="60">
        <f>(BSPrice($B47*1.1,$J47+0, $K47, $C47, ($I47-$B$1)/365, $G47, $H47, $D47) - BSPrice($B47,$J47, $K47, $C47, ($I47-$B$1)/365, $G47, $H47, $D47)) * $F47</f>
        <v/>
      </c>
      <c r="CD47" s="60">
        <f>(BSPrice($B47*1.1,$J47+0.02, $K47, $C47, ($I47-$B$1)/365, $G47, $H47, $D47) - BSPrice($B47,$J47, $K47, $C47, ($I47-$B$1)/365, $G47, $H47, $D47)) * $F47</f>
        <v/>
      </c>
      <c r="CE47" s="60">
        <f>(BSPrice($B47*1.1,$J47+0.05, $K47, $C47, ($I47-$B$1)/365, $G47, $H47, $D47) - BSPrice($B47,$J47, $K47, $C47, ($I47-$B$1)/365, $G47, $H47, $D47)) * $F47</f>
        <v/>
      </c>
      <c r="CF47" s="60">
        <f>(BSPrice($B47*1.1,$J47+0.1, $K47, $C47, ($I47-$B$1)/365, $G47, $H47, $D47) - BSPrice($B47,$J47, $K47, $C47, ($I47-$B$1)/365, $G47, $H47, $D47)) * $F47</f>
        <v/>
      </c>
      <c r="CG47" s="60">
        <f>(BSPrice($B47*1.1,$J47+0.2, $K47, $C47, ($I47-$B$1)/365, $G47, $H47, $D47) - BSPrice($B47,$J47, $K47, $C47, ($I47-$B$1)/365, $G47, $H47, $D47)) * $F47</f>
        <v/>
      </c>
      <c r="CH47" s="60">
        <f>(BSPrice($B47*1.2,$J47+-0.05, $K47, $C47, ($I47-$B$1)/365, $G47, $H47, $D47) - BSPrice($B47,$J47, $K47, $C47, ($I47-$B$1)/365, $G47, $H47, $D47)) * $F47</f>
        <v/>
      </c>
      <c r="CI47" s="60">
        <f>(BSPrice($B47*1.2,$J47+-0.02, $K47, $C47, ($I47-$B$1)/365, $G47, $H47, $D47) - BSPrice($B47,$J47, $K47, $C47, ($I47-$B$1)/365, $G47, $H47, $D47)) * $F47</f>
        <v/>
      </c>
      <c r="CJ47" s="60">
        <f>(BSPrice($B47*1.2,$J47+0, $K47, $C47, ($I47-$B$1)/365, $G47, $H47, $D47) - BSPrice($B47,$J47, $K47, $C47, ($I47-$B$1)/365, $G47, $H47, $D47)) * $F47</f>
        <v/>
      </c>
      <c r="CK47" s="60">
        <f>(BSPrice($B47*1.2,$J47+0.02, $K47, $C47, ($I47-$B$1)/365, $G47, $H47, $D47) - BSPrice($B47,$J47, $K47, $C47, ($I47-$B$1)/365, $G47, $H47, $D47)) * $F47</f>
        <v/>
      </c>
      <c r="CL47" s="60">
        <f>(BSPrice($B47*1.2,$J47+0.05, $K47, $C47, ($I47-$B$1)/365, $G47, $H47, $D47) - BSPrice($B47,$J47, $K47, $C47, ($I47-$B$1)/365, $G47, $H47, $D47)) * $F47</f>
        <v/>
      </c>
      <c r="CM47" s="60">
        <f>(BSPrice($B47*1.2,$J47+0.1, $K47, $C47, ($I47-$B$1)/365, $G47, $H47, $D47) - BSPrice($B47,$J47, $K47, $C47, ($I47-$B$1)/365, $G47, $H47, $D47)) * $F47</f>
        <v/>
      </c>
      <c r="CN47" s="60">
        <f>(BSPrice($B47*1.2,$J47+0.2, $K47, $C47, ($I47-$B$1)/365, $G47, $H47, $D47) - BSPrice($B47,$J47, $K47, $C47, ($I47-$B$1)/365, $G47, $H47, $D47)) * $F47</f>
        <v/>
      </c>
    </row>
    <row r="48">
      <c r="A48" s="3" t="inlineStr">
        <is>
          <t>SX5E Index</t>
        </is>
      </c>
      <c r="B48" s="4">
        <f>VLOOKUP(A48,PriceData!$K$4:$L$6,2,FALSE)</f>
        <v/>
      </c>
      <c r="C48" s="46">
        <f>VLOOKUP(A48,PriceData!$K$4:$M$6,3,FALSE)</f>
        <v/>
      </c>
      <c r="D48" s="4" t="inlineStr">
        <is>
          <t>Option</t>
        </is>
      </c>
      <c r="E48" s="4" t="inlineStr">
        <is>
          <t>EUR</t>
        </is>
      </c>
      <c r="F48" s="4" t="n">
        <v>10</v>
      </c>
      <c r="G48" s="4" t="n">
        <v>2469</v>
      </c>
      <c r="H48" s="4" t="inlineStr">
        <is>
          <t>Put</t>
        </is>
      </c>
      <c r="I48" s="5" t="n">
        <v>40347</v>
      </c>
      <c r="J48" s="46">
        <f>FindImpliedVol(A48, D48, G48, I48)</f>
        <v/>
      </c>
      <c r="K48" s="30">
        <f>VLOOKUP(I48,PriceData!$A$5:$D$7,MATCH($E48,PriceData!$A$4:$D$4,0),FALSE)</f>
        <v/>
      </c>
      <c r="L48" s="2">
        <f>BSPrice($B48,$J48, $K48, $C48, ($I48-$B$1)/365, $G48, $H48, $D48)</f>
        <v/>
      </c>
      <c r="M48" s="2">
        <f>F48*L48</f>
        <v/>
      </c>
      <c r="N48" s="4" t="inlineStr">
        <is>
          <t>GoldMine Sacks</t>
        </is>
      </c>
      <c r="P48" s="60">
        <f>BSDelta(B48, J48, K48, C48, (I48-$B$1)/365, G48, H48, D48)</f>
        <v/>
      </c>
      <c r="Q48" s="60">
        <f>BSGamma(B48, J48, K48, C48, (I48-$B$1)/365, G48, D48)</f>
        <v/>
      </c>
      <c r="R48" s="58">
        <f>BSVega(B48, J48, K48, C48, (I48-$B$1)/365,G48, D48)</f>
        <v/>
      </c>
      <c r="S48" s="58">
        <f>BSVolga(B48, J48, K48, C48, (I48-$B$1)/365,G48, D48)</f>
        <v/>
      </c>
      <c r="T48" s="58">
        <f>BSVanna(B48,J48,K48, C48, (I48-$B$1)/365, G48, D48)</f>
        <v/>
      </c>
      <c r="U48" s="2">
        <f>BSRho(B48, J48, K48, C48, (I48-$B$1)/365, G48, H48, D48)</f>
        <v/>
      </c>
      <c r="V48" s="65">
        <f>$F48*$P48</f>
        <v/>
      </c>
      <c r="W48" s="65">
        <f>$F48*$Q48</f>
        <v/>
      </c>
      <c r="X48" s="78">
        <f>$F48*R48</f>
        <v/>
      </c>
      <c r="Y48" s="78">
        <f>$F48*S48</f>
        <v/>
      </c>
      <c r="Z48" s="78">
        <f>$F48*T48</f>
        <v/>
      </c>
      <c r="AA48" s="78">
        <f>$F48*U48</f>
        <v/>
      </c>
      <c r="AB48" s="78">
        <f>(BSPrice($B48*0.8,$J48, $K48, $C48, ($I48-$B$1)/365, $G48, $H48, $D48) - BSPrice($B48,$J48, $K48, $C48, ($I48-$B$1)/365, $G48, $H48, $D48)) * $F48</f>
        <v/>
      </c>
      <c r="AC48" s="78">
        <f>(BSPrice($B48*0.9,$J48, $K48, $C48, ($I48-$B$1)/365, $G48, $H48, $D48) - BSPrice($B48,$J48, $K48, $C48, ($I48-$B$1)/365, $G48, $H48, $D48)) * $F48</f>
        <v/>
      </c>
      <c r="AD48" s="78">
        <f>(BSPrice($B48*0.95,$J48, $K48, $C48, ($I48-$B$1)/365, $G48, $H48, $D48) - BSPrice($B48,$J48, $K48, $C48, ($I48-$B$1)/365, $G48, $H48, $D48)) * $F48</f>
        <v/>
      </c>
      <c r="AE48" s="78">
        <f>(BSPrice($B48*0.98,$J48, $K48, $C48, ($I48-$B$1)/365, $G48, $H48, $D48) - BSPrice($B48,$J48, $K48, $C48, ($I48-$B$1)/365, $G48, $H48, $D48)) * $F48</f>
        <v/>
      </c>
      <c r="AF48" s="78">
        <f>(BSPrice($B48*1.02,$J48, $K48, $C48, ($I48-$B$1)/365, $G48, $H48, $D48) - BSPrice($B48,$J48, $K48, $C48, ($I48-$B$1)/365, $G48, $H48, $D48)) * $F48</f>
        <v/>
      </c>
      <c r="AG48" s="78">
        <f>(BSPrice($B48*1.05,$J48, $K48, $C48, ($I48-$B$1)/365, $G48, $H48, $D48) - BSPrice($B48,$J48, $K48, $C48, ($I48-$B$1)/365, $G48, $H48, $D48)) * $F48</f>
        <v/>
      </c>
      <c r="AH48" s="78">
        <f>(BSPrice($B48*1.1,$J48, $K48, $C48, ($I48-$B$1)/365, $G48, $H48, $D48) - BSPrice($B48,$J48, $K48, $C48, ($I48-$B$1)/365, $G48, $H48, $D48)) * $F48</f>
        <v/>
      </c>
      <c r="AI48" s="78">
        <f>(BSPrice($B48*1.2,$J48, $K48, $C48, ($I48-$B$1)/365, $G48, $H48, $D48) - BSPrice($B48,$J48, $K48, $C48, ($I48-$B$1)/365, $G48, $H48, $D48)) * $F48</f>
        <v/>
      </c>
      <c r="AJ48" s="78">
        <f>(BSPrice($B48,$J48-0.1, $K48, $C48, ($I48-$B$1)/365, $G48, $H48, $D48) - BSPrice($B48,$J48, $K48, $C48, ($I48-$B$1)/365, $G48, $H48, $D48)) * $F48</f>
        <v/>
      </c>
      <c r="AK48" s="78">
        <f>(BSPrice($B48,$J48-0.05,$K48,$C48,($I48-$B$1)/365,$G48,$H48,$D48)-BSPrice($B48,$J48,$K48,$C48,($I48-$B$1)/365,$G48,$H48,$D48))*$F48</f>
        <v/>
      </c>
      <c r="AL48" s="78">
        <f>(BSPrice($B48,$J48-0.02, $K48, $C48, ($I48-$B$1)/365, $G48, $H48, $D48) - BSPrice($B48,$J48, $K48, $C48, ($I48-$B$1)/365, $G48, $H48, $D48)) * $F48</f>
        <v/>
      </c>
      <c r="AM48" s="78">
        <f>(BSPrice($B48,$J48-0.01, $K48, $C48, ($I48-$B$1)/365, $G48, $H48, $D48) - BSPrice($B48,$J48, $K48, $C48, ($I48-$B$1)/365, $G48, $H48, $D48)) * $F48</f>
        <v/>
      </c>
      <c r="AN48" s="78">
        <f>(BSPrice($B48,$J48+0.01, $K48, $C48, ($I48-$B$1)/365, $G48, $H48, $D48) - BSPrice($B48,$J48, $K48, $C48, ($I48-$B$1)/365, $G48, $H48, $D48)) * $F48</f>
        <v/>
      </c>
      <c r="AO48" s="78">
        <f>(BSPrice($B48,$J48+0.02, $K48, $C48, ($I48-$B$1)/365, $G48, $H48, $D48) - BSPrice($B48,$J48, $K48, $C48, ($I48-$B$1)/365, $G48, $H48, $D48)) * $F48</f>
        <v/>
      </c>
      <c r="AP48" s="78">
        <f>(BSPrice($B48,$J48+0.05, $K48, $C48, ($I48-$B$1)/365, $G48, $H48, $D48) - BSPrice($B48,$J48, $K48, $C48, ($I48-$B$1)/365, $G48, $H48, $D48)) * $F48</f>
        <v/>
      </c>
      <c r="AQ48" s="78">
        <f>(BSPrice($B48,$J48+0.1, $K48, $C48, ($I48-$B$1)/365, $G48, $H48, $D48) - BSPrice($B48,$J48, $K48, $C48, ($I48-$B$1)/365, $G48, $H48, $D48)) * $F48</f>
        <v/>
      </c>
      <c r="AR48" s="60">
        <f>(BSPrice($B48*0.8,$J48+-0.05, $K48, $C48, ($I48-$B$1)/365, $G48, $H48, $D48) - BSPrice($B48,$J48, $K48, $C48, ($I48-$B$1)/365, $G48, $H48, $D48)) * $F48</f>
        <v/>
      </c>
      <c r="AS48" s="60">
        <f>(BSPrice($B48*0.8,$J48+-0.02, $K48, $C48, ($I48-$B$1)/365, $G48, $H48, $D48) - BSPrice($B48,$J48, $K48, $C48, ($I48-$B$1)/365, $G48, $H48, $D48)) * $F48</f>
        <v/>
      </c>
      <c r="AT48" s="60">
        <f>(BSPrice($B48*0.8,$J48+0, $K48, $C48, ($I48-$B$1)/365, $G48, $H48, $D48) - BSPrice($B48,$J48, $K48, $C48, ($I48-$B$1)/365, $G48, $H48, $D48)) * $F48</f>
        <v/>
      </c>
      <c r="AU48" s="60">
        <f>(BSPrice($B48*0.8,$J48+0.02, $K48, $C48, ($I48-$B$1)/365, $G48, $H48, $D48) - BSPrice($B48,$J48, $K48, $C48, ($I48-$B$1)/365, $G48, $H48, $D48)) * $F48</f>
        <v/>
      </c>
      <c r="AV48" s="60">
        <f>(BSPrice($B48*0.8,$J48+0.05, $K48, $C48, ($I48-$B$1)/365, $G48, $H48, $D48) - BSPrice($B48,$J48, $K48, $C48, ($I48-$B$1)/365, $G48, $H48, $D48)) * $F48</f>
        <v/>
      </c>
      <c r="AW48" s="60">
        <f>(BSPrice($B48*0.8,$J48+0.1, $K48, $C48, ($I48-$B$1)/365, $G48, $H48, $D48) - BSPrice($B48,$J48, $K48, $C48, ($I48-$B$1)/365, $G48, $H48, $D48)) * $F48</f>
        <v/>
      </c>
      <c r="AX48" s="60">
        <f>(BSPrice($B48*0.8,$J48+0.2, $K48, $C48, ($I48-$B$1)/365, $G48, $H48, $D48) - BSPrice($B48,$J48, $K48, $C48, ($I48-$B$1)/365, $G48, $H48, $D48)) * $F48</f>
        <v/>
      </c>
      <c r="AY48" s="60">
        <f>(BSPrice($B48*0.9,$J48+-0.05, $K48, $C48, ($I48-$B$1)/365, $G48, $H48, $D48) - BSPrice($B48,$J48, $K48, $C48, ($I48-$B$1)/365, $G48, $H48, $D48)) * $F48</f>
        <v/>
      </c>
      <c r="AZ48" s="60">
        <f>(BSPrice($B48*0.9,$J48+-0.02, $K48, $C48, ($I48-$B$1)/365, $G48, $H48, $D48) - BSPrice($B48,$J48, $K48, $C48, ($I48-$B$1)/365, $G48, $H48, $D48)) * $F48</f>
        <v/>
      </c>
      <c r="BA48" s="60">
        <f>(BSPrice($B48*0.9,$J48+0, $K48, $C48, ($I48-$B$1)/365, $G48, $H48, $D48) - BSPrice($B48,$J48, $K48, $C48, ($I48-$B$1)/365, $G48, $H48, $D48)) * $F48</f>
        <v/>
      </c>
      <c r="BB48" s="60">
        <f>(BSPrice($B48*0.9,$J48+0.02, $K48, $C48, ($I48-$B$1)/365, $G48, $H48, $D48) - BSPrice($B48,$J48, $K48, $C48, ($I48-$B$1)/365, $G48, $H48, $D48)) * $F48</f>
        <v/>
      </c>
      <c r="BC48" s="60">
        <f>(BSPrice($B48*0.9,$J48+0.05, $K48, $C48, ($I48-$B$1)/365, $G48, $H48, $D48) - BSPrice($B48,$J48, $K48, $C48, ($I48-$B$1)/365, $G48, $H48, $D48)) * $F48</f>
        <v/>
      </c>
      <c r="BD48" s="60">
        <f>(BSPrice($B48*0.9,$J48+0.1, $K48, $C48, ($I48-$B$1)/365, $G48, $H48, $D48) - BSPrice($B48,$J48, $K48, $C48, ($I48-$B$1)/365, $G48, $H48, $D48)) * $F48</f>
        <v/>
      </c>
      <c r="BE48" s="60">
        <f>(BSPrice($B48*0.9,$J48+0.2, $K48, $C48, ($I48-$B$1)/365, $G48, $H48, $D48) - BSPrice($B48,$J48, $K48, $C48, ($I48-$B$1)/365, $G48, $H48, $D48)) * $F48</f>
        <v/>
      </c>
      <c r="BF48" s="60">
        <f>(BSPrice($B48*0.95,$J48+-0.05, $K48, $C48, ($I48-$B$1)/365, $G48, $H48, $D48) - BSPrice($B48,$J48, $K48, $C48, ($I48-$B$1)/365, $G48, $H48, $D48)) * $F48</f>
        <v/>
      </c>
      <c r="BG48" s="60">
        <f>(BSPrice($B48*0.95,$J48+-0.02, $K48, $C48, ($I48-$B$1)/365, $G48, $H48, $D48) - BSPrice($B48,$J48, $K48, $C48, ($I48-$B$1)/365, $G48, $H48, $D48)) * $F48</f>
        <v/>
      </c>
      <c r="BH48" s="60">
        <f>(BSPrice($B48*0.95,$J48+0, $K48, $C48, ($I48-$B$1)/365, $G48, $H48, $D48) - BSPrice($B48,$J48, $K48, $C48, ($I48-$B$1)/365, $G48, $H48, $D48)) * $F48</f>
        <v/>
      </c>
      <c r="BI48" s="60">
        <f>(BSPrice($B48*0.95,$J48+0.02, $K48, $C48, ($I48-$B$1)/365, $G48, $H48, $D48) - BSPrice($B48,$J48, $K48, $C48, ($I48-$B$1)/365, $G48, $H48, $D48)) * $F48</f>
        <v/>
      </c>
      <c r="BJ48" s="60">
        <f>(BSPrice($B48*0.95,$J48+0.05, $K48, $C48, ($I48-$B$1)/365, $G48, $H48, $D48) - BSPrice($B48,$J48, $K48, $C48, ($I48-$B$1)/365, $G48, $H48, $D48)) * $F48</f>
        <v/>
      </c>
      <c r="BK48" s="60">
        <f>(BSPrice($B48*0.95,$J48+0.1, $K48, $C48, ($I48-$B$1)/365, $G48, $H48, $D48) - BSPrice($B48,$J48, $K48, $C48, ($I48-$B$1)/365, $G48, $H48, $D48)) * $F48</f>
        <v/>
      </c>
      <c r="BL48" s="60">
        <f>(BSPrice($B48*0.95,$J48+0.2, $K48, $C48, ($I48-$B$1)/365, $G48, $H48, $D48) - BSPrice($B48,$J48, $K48, $C48, ($I48-$B$1)/365, $G48, $H48, $D48)) * $F48</f>
        <v/>
      </c>
      <c r="BM48" s="60">
        <f>(BSPrice($B48*1,$J48+-0.05, $K48, $C48, ($I48-$B$1)/365, $G48, $H48, $D48) - BSPrice($B48,$J48, $K48, $C48, ($I48-$B$1)/365, $G48, $H48, $D48)) * $F48</f>
        <v/>
      </c>
      <c r="BN48" s="60">
        <f>(BSPrice($B48*1,$J48+-0.02, $K48, $C48, ($I48-$B$1)/365, $G48, $H48, $D48) - BSPrice($B48,$J48, $K48, $C48, ($I48-$B$1)/365, $G48, $H48, $D48)) * $F48</f>
        <v/>
      </c>
      <c r="BO48" s="60">
        <f>(BSPrice($B48*1,$J48+0, $K48, $C48, ($I48-$B$1)/365, $G48, $H48, $D48) - BSPrice($B48,$J48, $K48, $C48, ($I48-$B$1)/365, $G48, $H48, $D48)) * $F48</f>
        <v/>
      </c>
      <c r="BP48" s="60">
        <f>(BSPrice($B48*1,$J48+0.02, $K48, $C48, ($I48-$B$1)/365, $G48, $H48, $D48) - BSPrice($B48,$J48, $K48, $C48, ($I48-$B$1)/365, $G48, $H48, $D48)) * $F48</f>
        <v/>
      </c>
      <c r="BQ48" s="60">
        <f>(BSPrice($B48*1,$J48+0.05, $K48, $C48, ($I48-$B$1)/365, $G48, $H48, $D48) - BSPrice($B48,$J48, $K48, $C48, ($I48-$B$1)/365, $G48, $H48, $D48)) * $F48</f>
        <v/>
      </c>
      <c r="BR48" s="60">
        <f>(BSPrice($B48*1,$J48+0.1, $K48, $C48, ($I48-$B$1)/365, $G48, $H48, $D48) - BSPrice($B48,$J48, $K48, $C48, ($I48-$B$1)/365, $G48, $H48, $D48)) * $F48</f>
        <v/>
      </c>
      <c r="BS48" s="60">
        <f>(BSPrice($B48*1,$J48+0.2, $K48, $C48, ($I48-$B$1)/365, $G48, $H48, $D48) - BSPrice($B48,$J48, $K48, $C48, ($I48-$B$1)/365, $G48, $H48, $D48)) * $F48</f>
        <v/>
      </c>
      <c r="BT48" s="60">
        <f>(BSPrice($B48*1.05,$J48+-0.05, $K48, $C48, ($I48-$B$1)/365, $G48, $H48, $D48) - BSPrice($B48,$J48, $K48, $C48, ($I48-$B$1)/365, $G48, $H48, $D48)) * $F48</f>
        <v/>
      </c>
      <c r="BU48" s="60">
        <f>(BSPrice($B48*1.05,$J48+-0.02, $K48, $C48, ($I48-$B$1)/365, $G48, $H48, $D48) - BSPrice($B48,$J48, $K48, $C48, ($I48-$B$1)/365, $G48, $H48, $D48)) * $F48</f>
        <v/>
      </c>
      <c r="BV48" s="60">
        <f>(BSPrice($B48*1.05,$J48+0, $K48, $C48, ($I48-$B$1)/365, $G48, $H48, $D48) - BSPrice($B48,$J48, $K48, $C48, ($I48-$B$1)/365, $G48, $H48, $D48)) * $F48</f>
        <v/>
      </c>
      <c r="BW48" s="60">
        <f>(BSPrice($B48*1.05,$J48+0.02, $K48, $C48, ($I48-$B$1)/365, $G48, $H48, $D48) - BSPrice($B48,$J48, $K48, $C48, ($I48-$B$1)/365, $G48, $H48, $D48)) * $F48</f>
        <v/>
      </c>
      <c r="BX48" s="60">
        <f>(BSPrice($B48*1.05,$J48+0.05, $K48, $C48, ($I48-$B$1)/365, $G48, $H48, $D48) - BSPrice($B48,$J48, $K48, $C48, ($I48-$B$1)/365, $G48, $H48, $D48)) * $F48</f>
        <v/>
      </c>
      <c r="BY48" s="60">
        <f>(BSPrice($B48*1.05,$J48+0.1, $K48, $C48, ($I48-$B$1)/365, $G48, $H48, $D48) - BSPrice($B48,$J48, $K48, $C48, ($I48-$B$1)/365, $G48, $H48, $D48)) * $F48</f>
        <v/>
      </c>
      <c r="BZ48" s="60">
        <f>(BSPrice($B48*1.05,$J48+0.2, $K48, $C48, ($I48-$B$1)/365, $G48, $H48, $D48) - BSPrice($B48,$J48, $K48, $C48, ($I48-$B$1)/365, $G48, $H48, $D48)) * $F48</f>
        <v/>
      </c>
      <c r="CA48" s="60">
        <f>(BSPrice($B48*1.1,$J48+-0.05, $K48, $C48, ($I48-$B$1)/365, $G48, $H48, $D48) - BSPrice($B48,$J48, $K48, $C48, ($I48-$B$1)/365, $G48, $H48, $D48)) * $F48</f>
        <v/>
      </c>
      <c r="CB48" s="60">
        <f>(BSPrice($B48*1.1,$J48+-0.02, $K48, $C48, ($I48-$B$1)/365, $G48, $H48, $D48) - BSPrice($B48,$J48, $K48, $C48, ($I48-$B$1)/365, $G48, $H48, $D48)) * $F48</f>
        <v/>
      </c>
      <c r="CC48" s="60">
        <f>(BSPrice($B48*1.1,$J48+0, $K48, $C48, ($I48-$B$1)/365, $G48, $H48, $D48) - BSPrice($B48,$J48, $K48, $C48, ($I48-$B$1)/365, $G48, $H48, $D48)) * $F48</f>
        <v/>
      </c>
      <c r="CD48" s="60">
        <f>(BSPrice($B48*1.1,$J48+0.02, $K48, $C48, ($I48-$B$1)/365, $G48, $H48, $D48) - BSPrice($B48,$J48, $K48, $C48, ($I48-$B$1)/365, $G48, $H48, $D48)) * $F48</f>
        <v/>
      </c>
      <c r="CE48" s="60">
        <f>(BSPrice($B48*1.1,$J48+0.05, $K48, $C48, ($I48-$B$1)/365, $G48, $H48, $D48) - BSPrice($B48,$J48, $K48, $C48, ($I48-$B$1)/365, $G48, $H48, $D48)) * $F48</f>
        <v/>
      </c>
      <c r="CF48" s="60">
        <f>(BSPrice($B48*1.1,$J48+0.1, $K48, $C48, ($I48-$B$1)/365, $G48, $H48, $D48) - BSPrice($B48,$J48, $K48, $C48, ($I48-$B$1)/365, $G48, $H48, $D48)) * $F48</f>
        <v/>
      </c>
      <c r="CG48" s="60">
        <f>(BSPrice($B48*1.1,$J48+0.2, $K48, $C48, ($I48-$B$1)/365, $G48, $H48, $D48) - BSPrice($B48,$J48, $K48, $C48, ($I48-$B$1)/365, $G48, $H48, $D48)) * $F48</f>
        <v/>
      </c>
      <c r="CH48" s="60">
        <f>(BSPrice($B48*1.2,$J48+-0.05, $K48, $C48, ($I48-$B$1)/365, $G48, $H48, $D48) - BSPrice($B48,$J48, $K48, $C48, ($I48-$B$1)/365, $G48, $H48, $D48)) * $F48</f>
        <v/>
      </c>
      <c r="CI48" s="60">
        <f>(BSPrice($B48*1.2,$J48+-0.02, $K48, $C48, ($I48-$B$1)/365, $G48, $H48, $D48) - BSPrice($B48,$J48, $K48, $C48, ($I48-$B$1)/365, $G48, $H48, $D48)) * $F48</f>
        <v/>
      </c>
      <c r="CJ48" s="60">
        <f>(BSPrice($B48*1.2,$J48+0, $K48, $C48, ($I48-$B$1)/365, $G48, $H48, $D48) - BSPrice($B48,$J48, $K48, $C48, ($I48-$B$1)/365, $G48, $H48, $D48)) * $F48</f>
        <v/>
      </c>
      <c r="CK48" s="60">
        <f>(BSPrice($B48*1.2,$J48+0.02, $K48, $C48, ($I48-$B$1)/365, $G48, $H48, $D48) - BSPrice($B48,$J48, $K48, $C48, ($I48-$B$1)/365, $G48, $H48, $D48)) * $F48</f>
        <v/>
      </c>
      <c r="CL48" s="60">
        <f>(BSPrice($B48*1.2,$J48+0.05, $K48, $C48, ($I48-$B$1)/365, $G48, $H48, $D48) - BSPrice($B48,$J48, $K48, $C48, ($I48-$B$1)/365, $G48, $H48, $D48)) * $F48</f>
        <v/>
      </c>
      <c r="CM48" s="60">
        <f>(BSPrice($B48*1.2,$J48+0.1, $K48, $C48, ($I48-$B$1)/365, $G48, $H48, $D48) - BSPrice($B48,$J48, $K48, $C48, ($I48-$B$1)/365, $G48, $H48, $D48)) * $F48</f>
        <v/>
      </c>
      <c r="CN48" s="60">
        <f>(BSPrice($B48*1.2,$J48+0.2, $K48, $C48, ($I48-$B$1)/365, $G48, $H48, $D48) - BSPrice($B48,$J48, $K48, $C48, ($I48-$B$1)/365, $G48, $H48, $D48)) * $F48</f>
        <v/>
      </c>
    </row>
    <row r="49">
      <c r="A49" s="3" t="inlineStr">
        <is>
          <t>SX5E Index</t>
        </is>
      </c>
      <c r="B49" s="4">
        <f>VLOOKUP(A49,PriceData!$K$4:$L$6,2,FALSE)</f>
        <v/>
      </c>
      <c r="C49" s="46">
        <f>VLOOKUP(A49,PriceData!$K$4:$M$6,3,FALSE)</f>
        <v/>
      </c>
      <c r="D49" s="4" t="inlineStr">
        <is>
          <t>Option</t>
        </is>
      </c>
      <c r="E49" s="4" t="inlineStr">
        <is>
          <t>EUR</t>
        </is>
      </c>
      <c r="F49" s="4" t="n">
        <v>-20</v>
      </c>
      <c r="G49" s="4" t="n">
        <v>3254</v>
      </c>
      <c r="H49" s="4" t="inlineStr">
        <is>
          <t>Call</t>
        </is>
      </c>
      <c r="I49" s="5" t="n">
        <v>40347</v>
      </c>
      <c r="J49" s="46">
        <f>FindImpliedVol(A49, D49, G49, I49)</f>
        <v/>
      </c>
      <c r="K49" s="30">
        <f>VLOOKUP(I49,PriceData!$A$5:$D$7,MATCH($E49,PriceData!$A$4:$D$4,0),FALSE)</f>
        <v/>
      </c>
      <c r="L49" s="2">
        <f>BSPrice($B49,$J49, $K49, $C49, ($I49-$B$1)/365, $G49, $H49, $D49)</f>
        <v/>
      </c>
      <c r="M49" s="2">
        <f>F49*L49</f>
        <v/>
      </c>
      <c r="N49" s="4" t="inlineStr">
        <is>
          <t>Exch</t>
        </is>
      </c>
      <c r="P49" s="60">
        <f>BSDelta(B49, J49, K49, C49, (I49-$B$1)/365, G49, H49, D49)</f>
        <v/>
      </c>
      <c r="Q49" s="60">
        <f>BSGamma(B49, J49, K49, C49, (I49-$B$1)/365, G49, D49)</f>
        <v/>
      </c>
      <c r="R49" s="58">
        <f>BSVega(B49, J49, K49, C49, (I49-$B$1)/365,G49, D49)</f>
        <v/>
      </c>
      <c r="S49" s="58">
        <f>BSVolga(B49, J49, K49, C49, (I49-$B$1)/365,G49, D49)</f>
        <v/>
      </c>
      <c r="T49" s="58">
        <f>BSVanna(B49,J49,K49, C49, (I49-$B$1)/365, G49, D49)</f>
        <v/>
      </c>
      <c r="U49" s="2">
        <f>BSRho(B49, J49, K49, C49, (I49-$B$1)/365, G49, H49, D49)</f>
        <v/>
      </c>
      <c r="V49" s="65">
        <f>$F49*$P49</f>
        <v/>
      </c>
      <c r="W49" s="65">
        <f>$F49*$Q49</f>
        <v/>
      </c>
      <c r="X49" s="78">
        <f>$F49*R49</f>
        <v/>
      </c>
      <c r="Y49" s="78">
        <f>$F49*S49</f>
        <v/>
      </c>
      <c r="Z49" s="78">
        <f>$F49*T49</f>
        <v/>
      </c>
      <c r="AA49" s="78">
        <f>$F49*U49</f>
        <v/>
      </c>
      <c r="AB49" s="78">
        <f>(BSPrice($B49*0.8,$J49, $K49, $C49, ($I49-$B$1)/365, $G49, $H49, $D49) - BSPrice($B49,$J49, $K49, $C49, ($I49-$B$1)/365, $G49, $H49, $D49)) * $F49</f>
        <v/>
      </c>
      <c r="AC49" s="78">
        <f>(BSPrice($B49*0.9,$J49, $K49, $C49, ($I49-$B$1)/365, $G49, $H49, $D49) - BSPrice($B49,$J49, $K49, $C49, ($I49-$B$1)/365, $G49, $H49, $D49)) * $F49</f>
        <v/>
      </c>
      <c r="AD49" s="78">
        <f>(BSPrice($B49*0.95,$J49, $K49, $C49, ($I49-$B$1)/365, $G49, $H49, $D49) - BSPrice($B49,$J49, $K49, $C49, ($I49-$B$1)/365, $G49, $H49, $D49)) * $F49</f>
        <v/>
      </c>
      <c r="AE49" s="78">
        <f>(BSPrice($B49*0.98,$J49, $K49, $C49, ($I49-$B$1)/365, $G49, $H49, $D49) - BSPrice($B49,$J49, $K49, $C49, ($I49-$B$1)/365, $G49, $H49, $D49)) * $F49</f>
        <v/>
      </c>
      <c r="AF49" s="78">
        <f>(BSPrice($B49*1.02,$J49, $K49, $C49, ($I49-$B$1)/365, $G49, $H49, $D49) - BSPrice($B49,$J49, $K49, $C49, ($I49-$B$1)/365, $G49, $H49, $D49)) * $F49</f>
        <v/>
      </c>
      <c r="AG49" s="78">
        <f>(BSPrice($B49*1.05,$J49, $K49, $C49, ($I49-$B$1)/365, $G49, $H49, $D49) - BSPrice($B49,$J49, $K49, $C49, ($I49-$B$1)/365, $G49, $H49, $D49)) * $F49</f>
        <v/>
      </c>
      <c r="AH49" s="78">
        <f>(BSPrice($B49*1.1,$J49, $K49, $C49, ($I49-$B$1)/365, $G49, $H49, $D49) - BSPrice($B49,$J49, $K49, $C49, ($I49-$B$1)/365, $G49, $H49, $D49)) * $F49</f>
        <v/>
      </c>
      <c r="AI49" s="78">
        <f>(BSPrice($B49*1.2,$J49, $K49, $C49, ($I49-$B$1)/365, $G49, $H49, $D49) - BSPrice($B49,$J49, $K49, $C49, ($I49-$B$1)/365, $G49, $H49, $D49)) * $F49</f>
        <v/>
      </c>
      <c r="AJ49" s="78">
        <f>(BSPrice($B49,$J49-0.1, $K49, $C49, ($I49-$B$1)/365, $G49, $H49, $D49) - BSPrice($B49,$J49, $K49, $C49, ($I49-$B$1)/365, $G49, $H49, $D49)) * $F49</f>
        <v/>
      </c>
      <c r="AK49" s="78">
        <f>(BSPrice($B49,$J49-0.05,$K49,$C49,($I49-$B$1)/365,$G49,$H49,$D49)-BSPrice($B49,$J49,$K49,$C49,($I49-$B$1)/365,$G49,$H49,$D49))*$F49</f>
        <v/>
      </c>
      <c r="AL49" s="78">
        <f>(BSPrice($B49,$J49-0.02, $K49, $C49, ($I49-$B$1)/365, $G49, $H49, $D49) - BSPrice($B49,$J49, $K49, $C49, ($I49-$B$1)/365, $G49, $H49, $D49)) * $F49</f>
        <v/>
      </c>
      <c r="AM49" s="78">
        <f>(BSPrice($B49,$J49-0.01, $K49, $C49, ($I49-$B$1)/365, $G49, $H49, $D49) - BSPrice($B49,$J49, $K49, $C49, ($I49-$B$1)/365, $G49, $H49, $D49)) * $F49</f>
        <v/>
      </c>
      <c r="AN49" s="78">
        <f>(BSPrice($B49,$J49+0.01, $K49, $C49, ($I49-$B$1)/365, $G49, $H49, $D49) - BSPrice($B49,$J49, $K49, $C49, ($I49-$B$1)/365, $G49, $H49, $D49)) * $F49</f>
        <v/>
      </c>
      <c r="AO49" s="78">
        <f>(BSPrice($B49,$J49+0.02, $K49, $C49, ($I49-$B$1)/365, $G49, $H49, $D49) - BSPrice($B49,$J49, $K49, $C49, ($I49-$B$1)/365, $G49, $H49, $D49)) * $F49</f>
        <v/>
      </c>
      <c r="AP49" s="78">
        <f>(BSPrice($B49,$J49+0.05, $K49, $C49, ($I49-$B$1)/365, $G49, $H49, $D49) - BSPrice($B49,$J49, $K49, $C49, ($I49-$B$1)/365, $G49, $H49, $D49)) * $F49</f>
        <v/>
      </c>
      <c r="AQ49" s="78">
        <f>(BSPrice($B49,$J49+0.1, $K49, $C49, ($I49-$B$1)/365, $G49, $H49, $D49) - BSPrice($B49,$J49, $K49, $C49, ($I49-$B$1)/365, $G49, $H49, $D49)) * $F49</f>
        <v/>
      </c>
      <c r="AR49" s="60">
        <f>(BSPrice($B49*0.8,$J49+-0.05, $K49, $C49, ($I49-$B$1)/365, $G49, $H49, $D49) - BSPrice($B49,$J49, $K49, $C49, ($I49-$B$1)/365, $G49, $H49, $D49)) * $F49</f>
        <v/>
      </c>
      <c r="AS49" s="60">
        <f>(BSPrice($B49*0.8,$J49+-0.02, $K49, $C49, ($I49-$B$1)/365, $G49, $H49, $D49) - BSPrice($B49,$J49, $K49, $C49, ($I49-$B$1)/365, $G49, $H49, $D49)) * $F49</f>
        <v/>
      </c>
      <c r="AT49" s="60">
        <f>(BSPrice($B49*0.8,$J49+0, $K49, $C49, ($I49-$B$1)/365, $G49, $H49, $D49) - BSPrice($B49,$J49, $K49, $C49, ($I49-$B$1)/365, $G49, $H49, $D49)) * $F49</f>
        <v/>
      </c>
      <c r="AU49" s="60">
        <f>(BSPrice($B49*0.8,$J49+0.02, $K49, $C49, ($I49-$B$1)/365, $G49, $H49, $D49) - BSPrice($B49,$J49, $K49, $C49, ($I49-$B$1)/365, $G49, $H49, $D49)) * $F49</f>
        <v/>
      </c>
      <c r="AV49" s="60">
        <f>(BSPrice($B49*0.8,$J49+0.05, $K49, $C49, ($I49-$B$1)/365, $G49, $H49, $D49) - BSPrice($B49,$J49, $K49, $C49, ($I49-$B$1)/365, $G49, $H49, $D49)) * $F49</f>
        <v/>
      </c>
      <c r="AW49" s="60">
        <f>(BSPrice($B49*0.8,$J49+0.1, $K49, $C49, ($I49-$B$1)/365, $G49, $H49, $D49) - BSPrice($B49,$J49, $K49, $C49, ($I49-$B$1)/365, $G49, $H49, $D49)) * $F49</f>
        <v/>
      </c>
      <c r="AX49" s="60">
        <f>(BSPrice($B49*0.8,$J49+0.2, $K49, $C49, ($I49-$B$1)/365, $G49, $H49, $D49) - BSPrice($B49,$J49, $K49, $C49, ($I49-$B$1)/365, $G49, $H49, $D49)) * $F49</f>
        <v/>
      </c>
      <c r="AY49" s="60">
        <f>(BSPrice($B49*0.9,$J49+-0.05, $K49, $C49, ($I49-$B$1)/365, $G49, $H49, $D49) - BSPrice($B49,$J49, $K49, $C49, ($I49-$B$1)/365, $G49, $H49, $D49)) * $F49</f>
        <v/>
      </c>
      <c r="AZ49" s="60">
        <f>(BSPrice($B49*0.9,$J49+-0.02, $K49, $C49, ($I49-$B$1)/365, $G49, $H49, $D49) - BSPrice($B49,$J49, $K49, $C49, ($I49-$B$1)/365, $G49, $H49, $D49)) * $F49</f>
        <v/>
      </c>
      <c r="BA49" s="60">
        <f>(BSPrice($B49*0.9,$J49+0, $K49, $C49, ($I49-$B$1)/365, $G49, $H49, $D49) - BSPrice($B49,$J49, $K49, $C49, ($I49-$B$1)/365, $G49, $H49, $D49)) * $F49</f>
        <v/>
      </c>
      <c r="BB49" s="60">
        <f>(BSPrice($B49*0.9,$J49+0.02, $K49, $C49, ($I49-$B$1)/365, $G49, $H49, $D49) - BSPrice($B49,$J49, $K49, $C49, ($I49-$B$1)/365, $G49, $H49, $D49)) * $F49</f>
        <v/>
      </c>
      <c r="BC49" s="60">
        <f>(BSPrice($B49*0.9,$J49+0.05, $K49, $C49, ($I49-$B$1)/365, $G49, $H49, $D49) - BSPrice($B49,$J49, $K49, $C49, ($I49-$B$1)/365, $G49, $H49, $D49)) * $F49</f>
        <v/>
      </c>
      <c r="BD49" s="60">
        <f>(BSPrice($B49*0.9,$J49+0.1, $K49, $C49, ($I49-$B$1)/365, $G49, $H49, $D49) - BSPrice($B49,$J49, $K49, $C49, ($I49-$B$1)/365, $G49, $H49, $D49)) * $F49</f>
        <v/>
      </c>
      <c r="BE49" s="60">
        <f>(BSPrice($B49*0.9,$J49+0.2, $K49, $C49, ($I49-$B$1)/365, $G49, $H49, $D49) - BSPrice($B49,$J49, $K49, $C49, ($I49-$B$1)/365, $G49, $H49, $D49)) * $F49</f>
        <v/>
      </c>
      <c r="BF49" s="60">
        <f>(BSPrice($B49*0.95,$J49+-0.05, $K49, $C49, ($I49-$B$1)/365, $G49, $H49, $D49) - BSPrice($B49,$J49, $K49, $C49, ($I49-$B$1)/365, $G49, $H49, $D49)) * $F49</f>
        <v/>
      </c>
      <c r="BG49" s="60">
        <f>(BSPrice($B49*0.95,$J49+-0.02, $K49, $C49, ($I49-$B$1)/365, $G49, $H49, $D49) - BSPrice($B49,$J49, $K49, $C49, ($I49-$B$1)/365, $G49, $H49, $D49)) * $F49</f>
        <v/>
      </c>
      <c r="BH49" s="60">
        <f>(BSPrice($B49*0.95,$J49+0, $K49, $C49, ($I49-$B$1)/365, $G49, $H49, $D49) - BSPrice($B49,$J49, $K49, $C49, ($I49-$B$1)/365, $G49, $H49, $D49)) * $F49</f>
        <v/>
      </c>
      <c r="BI49" s="60">
        <f>(BSPrice($B49*0.95,$J49+0.02, $K49, $C49, ($I49-$B$1)/365, $G49, $H49, $D49) - BSPrice($B49,$J49, $K49, $C49, ($I49-$B$1)/365, $G49, $H49, $D49)) * $F49</f>
        <v/>
      </c>
      <c r="BJ49" s="60">
        <f>(BSPrice($B49*0.95,$J49+0.05, $K49, $C49, ($I49-$B$1)/365, $G49, $H49, $D49) - BSPrice($B49,$J49, $K49, $C49, ($I49-$B$1)/365, $G49, $H49, $D49)) * $F49</f>
        <v/>
      </c>
      <c r="BK49" s="60">
        <f>(BSPrice($B49*0.95,$J49+0.1, $K49, $C49, ($I49-$B$1)/365, $G49, $H49, $D49) - BSPrice($B49,$J49, $K49, $C49, ($I49-$B$1)/365, $G49, $H49, $D49)) * $F49</f>
        <v/>
      </c>
      <c r="BL49" s="60">
        <f>(BSPrice($B49*0.95,$J49+0.2, $K49, $C49, ($I49-$B$1)/365, $G49, $H49, $D49) - BSPrice($B49,$J49, $K49, $C49, ($I49-$B$1)/365, $G49, $H49, $D49)) * $F49</f>
        <v/>
      </c>
      <c r="BM49" s="60">
        <f>(BSPrice($B49*1,$J49+-0.05, $K49, $C49, ($I49-$B$1)/365, $G49, $H49, $D49) - BSPrice($B49,$J49, $K49, $C49, ($I49-$B$1)/365, $G49, $H49, $D49)) * $F49</f>
        <v/>
      </c>
      <c r="BN49" s="60">
        <f>(BSPrice($B49*1,$J49+-0.02, $K49, $C49, ($I49-$B$1)/365, $G49, $H49, $D49) - BSPrice($B49,$J49, $K49, $C49, ($I49-$B$1)/365, $G49, $H49, $D49)) * $F49</f>
        <v/>
      </c>
      <c r="BO49" s="60">
        <f>(BSPrice($B49*1,$J49+0, $K49, $C49, ($I49-$B$1)/365, $G49, $H49, $D49) - BSPrice($B49,$J49, $K49, $C49, ($I49-$B$1)/365, $G49, $H49, $D49)) * $F49</f>
        <v/>
      </c>
      <c r="BP49" s="60">
        <f>(BSPrice($B49*1,$J49+0.02, $K49, $C49, ($I49-$B$1)/365, $G49, $H49, $D49) - BSPrice($B49,$J49, $K49, $C49, ($I49-$B$1)/365, $G49, $H49, $D49)) * $F49</f>
        <v/>
      </c>
      <c r="BQ49" s="60">
        <f>(BSPrice($B49*1,$J49+0.05, $K49, $C49, ($I49-$B$1)/365, $G49, $H49, $D49) - BSPrice($B49,$J49, $K49, $C49, ($I49-$B$1)/365, $G49, $H49, $D49)) * $F49</f>
        <v/>
      </c>
      <c r="BR49" s="60">
        <f>(BSPrice($B49*1,$J49+0.1, $K49, $C49, ($I49-$B$1)/365, $G49, $H49, $D49) - BSPrice($B49,$J49, $K49, $C49, ($I49-$B$1)/365, $G49, $H49, $D49)) * $F49</f>
        <v/>
      </c>
      <c r="BS49" s="60">
        <f>(BSPrice($B49*1,$J49+0.2, $K49, $C49, ($I49-$B$1)/365, $G49, $H49, $D49) - BSPrice($B49,$J49, $K49, $C49, ($I49-$B$1)/365, $G49, $H49, $D49)) * $F49</f>
        <v/>
      </c>
      <c r="BT49" s="60">
        <f>(BSPrice($B49*1.05,$J49+-0.05, $K49, $C49, ($I49-$B$1)/365, $G49, $H49, $D49) - BSPrice($B49,$J49, $K49, $C49, ($I49-$B$1)/365, $G49, $H49, $D49)) * $F49</f>
        <v/>
      </c>
      <c r="BU49" s="60">
        <f>(BSPrice($B49*1.05,$J49+-0.02, $K49, $C49, ($I49-$B$1)/365, $G49, $H49, $D49) - BSPrice($B49,$J49, $K49, $C49, ($I49-$B$1)/365, $G49, $H49, $D49)) * $F49</f>
        <v/>
      </c>
      <c r="BV49" s="60">
        <f>(BSPrice($B49*1.05,$J49+0, $K49, $C49, ($I49-$B$1)/365, $G49, $H49, $D49) - BSPrice($B49,$J49, $K49, $C49, ($I49-$B$1)/365, $G49, $H49, $D49)) * $F49</f>
        <v/>
      </c>
      <c r="BW49" s="60">
        <f>(BSPrice($B49*1.05,$J49+0.02, $K49, $C49, ($I49-$B$1)/365, $G49, $H49, $D49) - BSPrice($B49,$J49, $K49, $C49, ($I49-$B$1)/365, $G49, $H49, $D49)) * $F49</f>
        <v/>
      </c>
      <c r="BX49" s="60">
        <f>(BSPrice($B49*1.05,$J49+0.05, $K49, $C49, ($I49-$B$1)/365, $G49, $H49, $D49) - BSPrice($B49,$J49, $K49, $C49, ($I49-$B$1)/365, $G49, $H49, $D49)) * $F49</f>
        <v/>
      </c>
      <c r="BY49" s="60">
        <f>(BSPrice($B49*1.05,$J49+0.1, $K49, $C49, ($I49-$B$1)/365, $G49, $H49, $D49) - BSPrice($B49,$J49, $K49, $C49, ($I49-$B$1)/365, $G49, $H49, $D49)) * $F49</f>
        <v/>
      </c>
      <c r="BZ49" s="60">
        <f>(BSPrice($B49*1.05,$J49+0.2, $K49, $C49, ($I49-$B$1)/365, $G49, $H49, $D49) - BSPrice($B49,$J49, $K49, $C49, ($I49-$B$1)/365, $G49, $H49, $D49)) * $F49</f>
        <v/>
      </c>
      <c r="CA49" s="60">
        <f>(BSPrice($B49*1.1,$J49+-0.05, $K49, $C49, ($I49-$B$1)/365, $G49, $H49, $D49) - BSPrice($B49,$J49, $K49, $C49, ($I49-$B$1)/365, $G49, $H49, $D49)) * $F49</f>
        <v/>
      </c>
      <c r="CB49" s="60">
        <f>(BSPrice($B49*1.1,$J49+-0.02, $K49, $C49, ($I49-$B$1)/365, $G49, $H49, $D49) - BSPrice($B49,$J49, $K49, $C49, ($I49-$B$1)/365, $G49, $H49, $D49)) * $F49</f>
        <v/>
      </c>
      <c r="CC49" s="60">
        <f>(BSPrice($B49*1.1,$J49+0, $K49, $C49, ($I49-$B$1)/365, $G49, $H49, $D49) - BSPrice($B49,$J49, $K49, $C49, ($I49-$B$1)/365, $G49, $H49, $D49)) * $F49</f>
        <v/>
      </c>
      <c r="CD49" s="60">
        <f>(BSPrice($B49*1.1,$J49+0.02, $K49, $C49, ($I49-$B$1)/365, $G49, $H49, $D49) - BSPrice($B49,$J49, $K49, $C49, ($I49-$B$1)/365, $G49, $H49, $D49)) * $F49</f>
        <v/>
      </c>
      <c r="CE49" s="60">
        <f>(BSPrice($B49*1.1,$J49+0.05, $K49, $C49, ($I49-$B$1)/365, $G49, $H49, $D49) - BSPrice($B49,$J49, $K49, $C49, ($I49-$B$1)/365, $G49, $H49, $D49)) * $F49</f>
        <v/>
      </c>
      <c r="CF49" s="60">
        <f>(BSPrice($B49*1.1,$J49+0.1, $K49, $C49, ($I49-$B$1)/365, $G49, $H49, $D49) - BSPrice($B49,$J49, $K49, $C49, ($I49-$B$1)/365, $G49, $H49, $D49)) * $F49</f>
        <v/>
      </c>
      <c r="CG49" s="60">
        <f>(BSPrice($B49*1.1,$J49+0.2, $K49, $C49, ($I49-$B$1)/365, $G49, $H49, $D49) - BSPrice($B49,$J49, $K49, $C49, ($I49-$B$1)/365, $G49, $H49, $D49)) * $F49</f>
        <v/>
      </c>
      <c r="CH49" s="60">
        <f>(BSPrice($B49*1.2,$J49+-0.05, $K49, $C49, ($I49-$B$1)/365, $G49, $H49, $D49) - BSPrice($B49,$J49, $K49, $C49, ($I49-$B$1)/365, $G49, $H49, $D49)) * $F49</f>
        <v/>
      </c>
      <c r="CI49" s="60">
        <f>(BSPrice($B49*1.2,$J49+-0.02, $K49, $C49, ($I49-$B$1)/365, $G49, $H49, $D49) - BSPrice($B49,$J49, $K49, $C49, ($I49-$B$1)/365, $G49, $H49, $D49)) * $F49</f>
        <v/>
      </c>
      <c r="CJ49" s="60">
        <f>(BSPrice($B49*1.2,$J49+0, $K49, $C49, ($I49-$B$1)/365, $G49, $H49, $D49) - BSPrice($B49,$J49, $K49, $C49, ($I49-$B$1)/365, $G49, $H49, $D49)) * $F49</f>
        <v/>
      </c>
      <c r="CK49" s="60">
        <f>(BSPrice($B49*1.2,$J49+0.02, $K49, $C49, ($I49-$B$1)/365, $G49, $H49, $D49) - BSPrice($B49,$J49, $K49, $C49, ($I49-$B$1)/365, $G49, $H49, $D49)) * $F49</f>
        <v/>
      </c>
      <c r="CL49" s="60">
        <f>(BSPrice($B49*1.2,$J49+0.05, $K49, $C49, ($I49-$B$1)/365, $G49, $H49, $D49) - BSPrice($B49,$J49, $K49, $C49, ($I49-$B$1)/365, $G49, $H49, $D49)) * $F49</f>
        <v/>
      </c>
      <c r="CM49" s="60">
        <f>(BSPrice($B49*1.2,$J49+0.1, $K49, $C49, ($I49-$B$1)/365, $G49, $H49, $D49) - BSPrice($B49,$J49, $K49, $C49, ($I49-$B$1)/365, $G49, $H49, $D49)) * $F49</f>
        <v/>
      </c>
      <c r="CN49" s="60">
        <f>(BSPrice($B49*1.2,$J49+0.2, $K49, $C49, ($I49-$B$1)/365, $G49, $H49, $D49) - BSPrice($B49,$J49, $K49, $C49, ($I49-$B$1)/365, $G49, $H49, $D49)) * $F49</f>
        <v/>
      </c>
    </row>
    <row r="50">
      <c r="A50" s="3" t="inlineStr">
        <is>
          <t>SX5E Index</t>
        </is>
      </c>
      <c r="B50" s="4">
        <f>VLOOKUP(A50,PriceData!$K$4:$L$6,2,FALSE)</f>
        <v/>
      </c>
      <c r="C50" s="46">
        <f>VLOOKUP(A50,PriceData!$K$4:$M$6,3,FALSE)</f>
        <v/>
      </c>
      <c r="D50" s="4" t="inlineStr">
        <is>
          <t>Option</t>
        </is>
      </c>
      <c r="E50" s="4" t="inlineStr">
        <is>
          <t>EUR</t>
        </is>
      </c>
      <c r="F50" s="4" t="n">
        <v>-40</v>
      </c>
      <c r="G50" s="4" t="n">
        <v>2818</v>
      </c>
      <c r="H50" s="4" t="inlineStr">
        <is>
          <t>Put</t>
        </is>
      </c>
      <c r="I50" s="5" t="n">
        <v>40347</v>
      </c>
      <c r="J50" s="46">
        <f>FindImpliedVol(A50, D50, G50, I50)</f>
        <v/>
      </c>
      <c r="K50" s="30">
        <f>VLOOKUP(I50,PriceData!$A$5:$D$7,MATCH($E50,PriceData!$A$4:$D$4,0),FALSE)</f>
        <v/>
      </c>
      <c r="L50" s="2">
        <f>BSPrice($B50,$J50, $K50, $C50, ($I50-$B$1)/365, $G50, $H50, $D50)</f>
        <v/>
      </c>
      <c r="M50" s="2">
        <f>F50*L50</f>
        <v/>
      </c>
      <c r="N50" s="4" t="inlineStr">
        <is>
          <t>Exch</t>
        </is>
      </c>
      <c r="P50" s="60">
        <f>BSDelta(B50, J50, K50, C50, (I50-$B$1)/365, G50, H50, D50)</f>
        <v/>
      </c>
      <c r="Q50" s="60">
        <f>BSGamma(B50, J50, K50, C50, (I50-$B$1)/365, G50, D50)</f>
        <v/>
      </c>
      <c r="R50" s="58">
        <f>BSVega(B50, J50, K50, C50, (I50-$B$1)/365,G50, D50)</f>
        <v/>
      </c>
      <c r="S50" s="58">
        <f>BSVolga(B50, J50, K50, C50, (I50-$B$1)/365,G50, D50)</f>
        <v/>
      </c>
      <c r="T50" s="58">
        <f>BSVanna(B50,J50,K50, C50, (I50-$B$1)/365, G50, D50)</f>
        <v/>
      </c>
      <c r="U50" s="2">
        <f>BSRho(B50, J50, K50, C50, (I50-$B$1)/365, G50, H50, D50)</f>
        <v/>
      </c>
      <c r="V50" s="65">
        <f>$F50*$P50</f>
        <v/>
      </c>
      <c r="W50" s="65">
        <f>$F50*$Q50</f>
        <v/>
      </c>
      <c r="X50" s="78">
        <f>$F50*R50</f>
        <v/>
      </c>
      <c r="Y50" s="78">
        <f>$F50*S50</f>
        <v/>
      </c>
      <c r="Z50" s="78">
        <f>$F50*T50</f>
        <v/>
      </c>
      <c r="AA50" s="78">
        <f>$F50*U50</f>
        <v/>
      </c>
      <c r="AB50" s="78">
        <f>(BSPrice($B50*0.8,$J50, $K50, $C50, ($I50-$B$1)/365, $G50, $H50, $D50) - BSPrice($B50,$J50, $K50, $C50, ($I50-$B$1)/365, $G50, $H50, $D50)) * $F50</f>
        <v/>
      </c>
      <c r="AC50" s="78">
        <f>(BSPrice($B50*0.9,$J50, $K50, $C50, ($I50-$B$1)/365, $G50, $H50, $D50) - BSPrice($B50,$J50, $K50, $C50, ($I50-$B$1)/365, $G50, $H50, $D50)) * $F50</f>
        <v/>
      </c>
      <c r="AD50" s="78">
        <f>(BSPrice($B50*0.95,$J50, $K50, $C50, ($I50-$B$1)/365, $G50, $H50, $D50) - BSPrice($B50,$J50, $K50, $C50, ($I50-$B$1)/365, $G50, $H50, $D50)) * $F50</f>
        <v/>
      </c>
      <c r="AE50" s="78">
        <f>(BSPrice($B50*0.98,$J50, $K50, $C50, ($I50-$B$1)/365, $G50, $H50, $D50) - BSPrice($B50,$J50, $K50, $C50, ($I50-$B$1)/365, $G50, $H50, $D50)) * $F50</f>
        <v/>
      </c>
      <c r="AF50" s="78">
        <f>(BSPrice($B50*1.02,$J50, $K50, $C50, ($I50-$B$1)/365, $G50, $H50, $D50) - BSPrice($B50,$J50, $K50, $C50, ($I50-$B$1)/365, $G50, $H50, $D50)) * $F50</f>
        <v/>
      </c>
      <c r="AG50" s="78">
        <f>(BSPrice($B50*1.05,$J50, $K50, $C50, ($I50-$B$1)/365, $G50, $H50, $D50) - BSPrice($B50,$J50, $K50, $C50, ($I50-$B$1)/365, $G50, $H50, $D50)) * $F50</f>
        <v/>
      </c>
      <c r="AH50" s="78">
        <f>(BSPrice($B50*1.1,$J50, $K50, $C50, ($I50-$B$1)/365, $G50, $H50, $D50) - BSPrice($B50,$J50, $K50, $C50, ($I50-$B$1)/365, $G50, $H50, $D50)) * $F50</f>
        <v/>
      </c>
      <c r="AI50" s="78">
        <f>(BSPrice($B50*1.2,$J50, $K50, $C50, ($I50-$B$1)/365, $G50, $H50, $D50) - BSPrice($B50,$J50, $K50, $C50, ($I50-$B$1)/365, $G50, $H50, $D50)) * $F50</f>
        <v/>
      </c>
      <c r="AJ50" s="78">
        <f>(BSPrice($B50,$J50-0.1, $K50, $C50, ($I50-$B$1)/365, $G50, $H50, $D50) - BSPrice($B50,$J50, $K50, $C50, ($I50-$B$1)/365, $G50, $H50, $D50)) * $F50</f>
        <v/>
      </c>
      <c r="AK50" s="78">
        <f>(BSPrice($B50,$J50-0.05,$K50,$C50,($I50-$B$1)/365,$G50,$H50,$D50)-BSPrice($B50,$J50,$K50,$C50,($I50-$B$1)/365,$G50,$H50,$D50))*$F50</f>
        <v/>
      </c>
      <c r="AL50" s="78">
        <f>(BSPrice($B50,$J50-0.02, $K50, $C50, ($I50-$B$1)/365, $G50, $H50, $D50) - BSPrice($B50,$J50, $K50, $C50, ($I50-$B$1)/365, $G50, $H50, $D50)) * $F50</f>
        <v/>
      </c>
      <c r="AM50" s="78">
        <f>(BSPrice($B50,$J50-0.01, $K50, $C50, ($I50-$B$1)/365, $G50, $H50, $D50) - BSPrice($B50,$J50, $K50, $C50, ($I50-$B$1)/365, $G50, $H50, $D50)) * $F50</f>
        <v/>
      </c>
      <c r="AN50" s="78">
        <f>(BSPrice($B50,$J50+0.01, $K50, $C50, ($I50-$B$1)/365, $G50, $H50, $D50) - BSPrice($B50,$J50, $K50, $C50, ($I50-$B$1)/365, $G50, $H50, $D50)) * $F50</f>
        <v/>
      </c>
      <c r="AO50" s="78">
        <f>(BSPrice($B50,$J50+0.02, $K50, $C50, ($I50-$B$1)/365, $G50, $H50, $D50) - BSPrice($B50,$J50, $K50, $C50, ($I50-$B$1)/365, $G50, $H50, $D50)) * $F50</f>
        <v/>
      </c>
      <c r="AP50" s="78">
        <f>(BSPrice($B50,$J50+0.05, $K50, $C50, ($I50-$B$1)/365, $G50, $H50, $D50) - BSPrice($B50,$J50, $K50, $C50, ($I50-$B$1)/365, $G50, $H50, $D50)) * $F50</f>
        <v/>
      </c>
      <c r="AQ50" s="78">
        <f>(BSPrice($B50,$J50+0.1, $K50, $C50, ($I50-$B$1)/365, $G50, $H50, $D50) - BSPrice($B50,$J50, $K50, $C50, ($I50-$B$1)/365, $G50, $H50, $D50)) * $F50</f>
        <v/>
      </c>
      <c r="AR50" s="60">
        <f>(BSPrice($B50*0.8,$J50+-0.05, $K50, $C50, ($I50-$B$1)/365, $G50, $H50, $D50) - BSPrice($B50,$J50, $K50, $C50, ($I50-$B$1)/365, $G50, $H50, $D50)) * $F50</f>
        <v/>
      </c>
      <c r="AS50" s="60">
        <f>(BSPrice($B50*0.8,$J50+-0.02, $K50, $C50, ($I50-$B$1)/365, $G50, $H50, $D50) - BSPrice($B50,$J50, $K50, $C50, ($I50-$B$1)/365, $G50, $H50, $D50)) * $F50</f>
        <v/>
      </c>
      <c r="AT50" s="60">
        <f>(BSPrice($B50*0.8,$J50+0, $K50, $C50, ($I50-$B$1)/365, $G50, $H50, $D50) - BSPrice($B50,$J50, $K50, $C50, ($I50-$B$1)/365, $G50, $H50, $D50)) * $F50</f>
        <v/>
      </c>
      <c r="AU50" s="60">
        <f>(BSPrice($B50*0.8,$J50+0.02, $K50, $C50, ($I50-$B$1)/365, $G50, $H50, $D50) - BSPrice($B50,$J50, $K50, $C50, ($I50-$B$1)/365, $G50, $H50, $D50)) * $F50</f>
        <v/>
      </c>
      <c r="AV50" s="60">
        <f>(BSPrice($B50*0.8,$J50+0.05, $K50, $C50, ($I50-$B$1)/365, $G50, $H50, $D50) - BSPrice($B50,$J50, $K50, $C50, ($I50-$B$1)/365, $G50, $H50, $D50)) * $F50</f>
        <v/>
      </c>
      <c r="AW50" s="60">
        <f>(BSPrice($B50*0.8,$J50+0.1, $K50, $C50, ($I50-$B$1)/365, $G50, $H50, $D50) - BSPrice($B50,$J50, $K50, $C50, ($I50-$B$1)/365, $G50, $H50, $D50)) * $F50</f>
        <v/>
      </c>
      <c r="AX50" s="60">
        <f>(BSPrice($B50*0.8,$J50+0.2, $K50, $C50, ($I50-$B$1)/365, $G50, $H50, $D50) - BSPrice($B50,$J50, $K50, $C50, ($I50-$B$1)/365, $G50, $H50, $D50)) * $F50</f>
        <v/>
      </c>
      <c r="AY50" s="60">
        <f>(BSPrice($B50*0.9,$J50+-0.05, $K50, $C50, ($I50-$B$1)/365, $G50, $H50, $D50) - BSPrice($B50,$J50, $K50, $C50, ($I50-$B$1)/365, $G50, $H50, $D50)) * $F50</f>
        <v/>
      </c>
      <c r="AZ50" s="60">
        <f>(BSPrice($B50*0.9,$J50+-0.02, $K50, $C50, ($I50-$B$1)/365, $G50, $H50, $D50) - BSPrice($B50,$J50, $K50, $C50, ($I50-$B$1)/365, $G50, $H50, $D50)) * $F50</f>
        <v/>
      </c>
      <c r="BA50" s="60">
        <f>(BSPrice($B50*0.9,$J50+0, $K50, $C50, ($I50-$B$1)/365, $G50, $H50, $D50) - BSPrice($B50,$J50, $K50, $C50, ($I50-$B$1)/365, $G50, $H50, $D50)) * $F50</f>
        <v/>
      </c>
      <c r="BB50" s="60">
        <f>(BSPrice($B50*0.9,$J50+0.02, $K50, $C50, ($I50-$B$1)/365, $G50, $H50, $D50) - BSPrice($B50,$J50, $K50, $C50, ($I50-$B$1)/365, $G50, $H50, $D50)) * $F50</f>
        <v/>
      </c>
      <c r="BC50" s="60">
        <f>(BSPrice($B50*0.9,$J50+0.05, $K50, $C50, ($I50-$B$1)/365, $G50, $H50, $D50) - BSPrice($B50,$J50, $K50, $C50, ($I50-$B$1)/365, $G50, $H50, $D50)) * $F50</f>
        <v/>
      </c>
      <c r="BD50" s="60">
        <f>(BSPrice($B50*0.9,$J50+0.1, $K50, $C50, ($I50-$B$1)/365, $G50, $H50, $D50) - BSPrice($B50,$J50, $K50, $C50, ($I50-$B$1)/365, $G50, $H50, $D50)) * $F50</f>
        <v/>
      </c>
      <c r="BE50" s="60">
        <f>(BSPrice($B50*0.9,$J50+0.2, $K50, $C50, ($I50-$B$1)/365, $G50, $H50, $D50) - BSPrice($B50,$J50, $K50, $C50, ($I50-$B$1)/365, $G50, $H50, $D50)) * $F50</f>
        <v/>
      </c>
      <c r="BF50" s="60">
        <f>(BSPrice($B50*0.95,$J50+-0.05, $K50, $C50, ($I50-$B$1)/365, $G50, $H50, $D50) - BSPrice($B50,$J50, $K50, $C50, ($I50-$B$1)/365, $G50, $H50, $D50)) * $F50</f>
        <v/>
      </c>
      <c r="BG50" s="60">
        <f>(BSPrice($B50*0.95,$J50+-0.02, $K50, $C50, ($I50-$B$1)/365, $G50, $H50, $D50) - BSPrice($B50,$J50, $K50, $C50, ($I50-$B$1)/365, $G50, $H50, $D50)) * $F50</f>
        <v/>
      </c>
      <c r="BH50" s="60">
        <f>(BSPrice($B50*0.95,$J50+0, $K50, $C50, ($I50-$B$1)/365, $G50, $H50, $D50) - BSPrice($B50,$J50, $K50, $C50, ($I50-$B$1)/365, $G50, $H50, $D50)) * $F50</f>
        <v/>
      </c>
      <c r="BI50" s="60">
        <f>(BSPrice($B50*0.95,$J50+0.02, $K50, $C50, ($I50-$B$1)/365, $G50, $H50, $D50) - BSPrice($B50,$J50, $K50, $C50, ($I50-$B$1)/365, $G50, $H50, $D50)) * $F50</f>
        <v/>
      </c>
      <c r="BJ50" s="60">
        <f>(BSPrice($B50*0.95,$J50+0.05, $K50, $C50, ($I50-$B$1)/365, $G50, $H50, $D50) - BSPrice($B50,$J50, $K50, $C50, ($I50-$B$1)/365, $G50, $H50, $D50)) * $F50</f>
        <v/>
      </c>
      <c r="BK50" s="60">
        <f>(BSPrice($B50*0.95,$J50+0.1, $K50, $C50, ($I50-$B$1)/365, $G50, $H50, $D50) - BSPrice($B50,$J50, $K50, $C50, ($I50-$B$1)/365, $G50, $H50, $D50)) * $F50</f>
        <v/>
      </c>
      <c r="BL50" s="60">
        <f>(BSPrice($B50*0.95,$J50+0.2, $K50, $C50, ($I50-$B$1)/365, $G50, $H50, $D50) - BSPrice($B50,$J50, $K50, $C50, ($I50-$B$1)/365, $G50, $H50, $D50)) * $F50</f>
        <v/>
      </c>
      <c r="BM50" s="60">
        <f>(BSPrice($B50*1,$J50+-0.05, $K50, $C50, ($I50-$B$1)/365, $G50, $H50, $D50) - BSPrice($B50,$J50, $K50, $C50, ($I50-$B$1)/365, $G50, $H50, $D50)) * $F50</f>
        <v/>
      </c>
      <c r="BN50" s="60">
        <f>(BSPrice($B50*1,$J50+-0.02, $K50, $C50, ($I50-$B$1)/365, $G50, $H50, $D50) - BSPrice($B50,$J50, $K50, $C50, ($I50-$B$1)/365, $G50, $H50, $D50)) * $F50</f>
        <v/>
      </c>
      <c r="BO50" s="60">
        <f>(BSPrice($B50*1,$J50+0, $K50, $C50, ($I50-$B$1)/365, $G50, $H50, $D50) - BSPrice($B50,$J50, $K50, $C50, ($I50-$B$1)/365, $G50, $H50, $D50)) * $F50</f>
        <v/>
      </c>
      <c r="BP50" s="60">
        <f>(BSPrice($B50*1,$J50+0.02, $K50, $C50, ($I50-$B$1)/365, $G50, $H50, $D50) - BSPrice($B50,$J50, $K50, $C50, ($I50-$B$1)/365, $G50, $H50, $D50)) * $F50</f>
        <v/>
      </c>
      <c r="BQ50" s="60">
        <f>(BSPrice($B50*1,$J50+0.05, $K50, $C50, ($I50-$B$1)/365, $G50, $H50, $D50) - BSPrice($B50,$J50, $K50, $C50, ($I50-$B$1)/365, $G50, $H50, $D50)) * $F50</f>
        <v/>
      </c>
      <c r="BR50" s="60">
        <f>(BSPrice($B50*1,$J50+0.1, $K50, $C50, ($I50-$B$1)/365, $G50, $H50, $D50) - BSPrice($B50,$J50, $K50, $C50, ($I50-$B$1)/365, $G50, $H50, $D50)) * $F50</f>
        <v/>
      </c>
      <c r="BS50" s="60">
        <f>(BSPrice($B50*1,$J50+0.2, $K50, $C50, ($I50-$B$1)/365, $G50, $H50, $D50) - BSPrice($B50,$J50, $K50, $C50, ($I50-$B$1)/365, $G50, $H50, $D50)) * $F50</f>
        <v/>
      </c>
      <c r="BT50" s="60">
        <f>(BSPrice($B50*1.05,$J50+-0.05, $K50, $C50, ($I50-$B$1)/365, $G50, $H50, $D50) - BSPrice($B50,$J50, $K50, $C50, ($I50-$B$1)/365, $G50, $H50, $D50)) * $F50</f>
        <v/>
      </c>
      <c r="BU50" s="60">
        <f>(BSPrice($B50*1.05,$J50+-0.02, $K50, $C50, ($I50-$B$1)/365, $G50, $H50, $D50) - BSPrice($B50,$J50, $K50, $C50, ($I50-$B$1)/365, $G50, $H50, $D50)) * $F50</f>
        <v/>
      </c>
      <c r="BV50" s="60">
        <f>(BSPrice($B50*1.05,$J50+0, $K50, $C50, ($I50-$B$1)/365, $G50, $H50, $D50) - BSPrice($B50,$J50, $K50, $C50, ($I50-$B$1)/365, $G50, $H50, $D50)) * $F50</f>
        <v/>
      </c>
      <c r="BW50" s="60">
        <f>(BSPrice($B50*1.05,$J50+0.02, $K50, $C50, ($I50-$B$1)/365, $G50, $H50, $D50) - BSPrice($B50,$J50, $K50, $C50, ($I50-$B$1)/365, $G50, $H50, $D50)) * $F50</f>
        <v/>
      </c>
      <c r="BX50" s="60">
        <f>(BSPrice($B50*1.05,$J50+0.05, $K50, $C50, ($I50-$B$1)/365, $G50, $H50, $D50) - BSPrice($B50,$J50, $K50, $C50, ($I50-$B$1)/365, $G50, $H50, $D50)) * $F50</f>
        <v/>
      </c>
      <c r="BY50" s="60">
        <f>(BSPrice($B50*1.05,$J50+0.1, $K50, $C50, ($I50-$B$1)/365, $G50, $H50, $D50) - BSPrice($B50,$J50, $K50, $C50, ($I50-$B$1)/365, $G50, $H50, $D50)) * $F50</f>
        <v/>
      </c>
      <c r="BZ50" s="60">
        <f>(BSPrice($B50*1.05,$J50+0.2, $K50, $C50, ($I50-$B$1)/365, $G50, $H50, $D50) - BSPrice($B50,$J50, $K50, $C50, ($I50-$B$1)/365, $G50, $H50, $D50)) * $F50</f>
        <v/>
      </c>
      <c r="CA50" s="60">
        <f>(BSPrice($B50*1.1,$J50+-0.05, $K50, $C50, ($I50-$B$1)/365, $G50, $H50, $D50) - BSPrice($B50,$J50, $K50, $C50, ($I50-$B$1)/365, $G50, $H50, $D50)) * $F50</f>
        <v/>
      </c>
      <c r="CB50" s="60">
        <f>(BSPrice($B50*1.1,$J50+-0.02, $K50, $C50, ($I50-$B$1)/365, $G50, $H50, $D50) - BSPrice($B50,$J50, $K50, $C50, ($I50-$B$1)/365, $G50, $H50, $D50)) * $F50</f>
        <v/>
      </c>
      <c r="CC50" s="60">
        <f>(BSPrice($B50*1.1,$J50+0, $K50, $C50, ($I50-$B$1)/365, $G50, $H50, $D50) - BSPrice($B50,$J50, $K50, $C50, ($I50-$B$1)/365, $G50, $H50, $D50)) * $F50</f>
        <v/>
      </c>
      <c r="CD50" s="60">
        <f>(BSPrice($B50*1.1,$J50+0.02, $K50, $C50, ($I50-$B$1)/365, $G50, $H50, $D50) - BSPrice($B50,$J50, $K50, $C50, ($I50-$B$1)/365, $G50, $H50, $D50)) * $F50</f>
        <v/>
      </c>
      <c r="CE50" s="60">
        <f>(BSPrice($B50*1.1,$J50+0.05, $K50, $C50, ($I50-$B$1)/365, $G50, $H50, $D50) - BSPrice($B50,$J50, $K50, $C50, ($I50-$B$1)/365, $G50, $H50, $D50)) * $F50</f>
        <v/>
      </c>
      <c r="CF50" s="60">
        <f>(BSPrice($B50*1.1,$J50+0.1, $K50, $C50, ($I50-$B$1)/365, $G50, $H50, $D50) - BSPrice($B50,$J50, $K50, $C50, ($I50-$B$1)/365, $G50, $H50, $D50)) * $F50</f>
        <v/>
      </c>
      <c r="CG50" s="60">
        <f>(BSPrice($B50*1.1,$J50+0.2, $K50, $C50, ($I50-$B$1)/365, $G50, $H50, $D50) - BSPrice($B50,$J50, $K50, $C50, ($I50-$B$1)/365, $G50, $H50, $D50)) * $F50</f>
        <v/>
      </c>
      <c r="CH50" s="60">
        <f>(BSPrice($B50*1.2,$J50+-0.05, $K50, $C50, ($I50-$B$1)/365, $G50, $H50, $D50) - BSPrice($B50,$J50, $K50, $C50, ($I50-$B$1)/365, $G50, $H50, $D50)) * $F50</f>
        <v/>
      </c>
      <c r="CI50" s="60">
        <f>(BSPrice($B50*1.2,$J50+-0.02, $K50, $C50, ($I50-$B$1)/365, $G50, $H50, $D50) - BSPrice($B50,$J50, $K50, $C50, ($I50-$B$1)/365, $G50, $H50, $D50)) * $F50</f>
        <v/>
      </c>
      <c r="CJ50" s="60">
        <f>(BSPrice($B50*1.2,$J50+0, $K50, $C50, ($I50-$B$1)/365, $G50, $H50, $D50) - BSPrice($B50,$J50, $K50, $C50, ($I50-$B$1)/365, $G50, $H50, $D50)) * $F50</f>
        <v/>
      </c>
      <c r="CK50" s="60">
        <f>(BSPrice($B50*1.2,$J50+0.02, $K50, $C50, ($I50-$B$1)/365, $G50, $H50, $D50) - BSPrice($B50,$J50, $K50, $C50, ($I50-$B$1)/365, $G50, $H50, $D50)) * $F50</f>
        <v/>
      </c>
      <c r="CL50" s="60">
        <f>(BSPrice($B50*1.2,$J50+0.05, $K50, $C50, ($I50-$B$1)/365, $G50, $H50, $D50) - BSPrice($B50,$J50, $K50, $C50, ($I50-$B$1)/365, $G50, $H50, $D50)) * $F50</f>
        <v/>
      </c>
      <c r="CM50" s="60">
        <f>(BSPrice($B50*1.2,$J50+0.1, $K50, $C50, ($I50-$B$1)/365, $G50, $H50, $D50) - BSPrice($B50,$J50, $K50, $C50, ($I50-$B$1)/365, $G50, $H50, $D50)) * $F50</f>
        <v/>
      </c>
      <c r="CN50" s="60">
        <f>(BSPrice($B50*1.2,$J50+0.2, $K50, $C50, ($I50-$B$1)/365, $G50, $H50, $D50) - BSPrice($B50,$J50, $K50, $C50, ($I50-$B$1)/365, $G50, $H50, $D50)) * $F50</f>
        <v/>
      </c>
    </row>
    <row r="51">
      <c r="A51" s="3" t="inlineStr">
        <is>
          <t>SX5E Index</t>
        </is>
      </c>
      <c r="B51" s="4">
        <f>VLOOKUP(A51,PriceData!$K$4:$L$6,2,FALSE)</f>
        <v/>
      </c>
      <c r="C51" s="46">
        <f>VLOOKUP(A51,PriceData!$K$4:$M$6,3,FALSE)</f>
        <v/>
      </c>
      <c r="D51" s="4" t="inlineStr">
        <is>
          <t>Option</t>
        </is>
      </c>
      <c r="E51" s="4" t="inlineStr">
        <is>
          <t>EUR</t>
        </is>
      </c>
      <c r="F51" s="4" t="n">
        <v>-50</v>
      </c>
      <c r="G51" s="4" t="n">
        <v>3079</v>
      </c>
      <c r="H51" s="4" t="inlineStr">
        <is>
          <t>Call</t>
        </is>
      </c>
      <c r="I51" s="5" t="n">
        <v>40347</v>
      </c>
      <c r="J51" s="46">
        <f>FindImpliedVol(A51, D51, G51, I51)</f>
        <v/>
      </c>
      <c r="K51" s="30">
        <f>VLOOKUP(I51,PriceData!$A$5:$D$7,MATCH($E51,PriceData!$A$4:$D$4,0),FALSE)</f>
        <v/>
      </c>
      <c r="L51" s="2">
        <f>BSPrice($B51,$J51, $K51, $C51, ($I51-$B$1)/365, $G51, $H51, $D51)</f>
        <v/>
      </c>
      <c r="M51" s="2">
        <f>F51*L51</f>
        <v/>
      </c>
      <c r="N51" s="4" t="inlineStr">
        <is>
          <t>Exch</t>
        </is>
      </c>
      <c r="P51" s="60">
        <f>BSDelta(B51, J51, K51, C51, (I51-$B$1)/365, G51, H51, D51)</f>
        <v/>
      </c>
      <c r="Q51" s="60">
        <f>BSGamma(B51, J51, K51, C51, (I51-$B$1)/365, G51, D51)</f>
        <v/>
      </c>
      <c r="R51" s="58">
        <f>BSVega(B51, J51, K51, C51, (I51-$B$1)/365,G51, D51)</f>
        <v/>
      </c>
      <c r="S51" s="58">
        <f>BSVolga(B51, J51, K51, C51, (I51-$B$1)/365,G51, D51)</f>
        <v/>
      </c>
      <c r="T51" s="58">
        <f>BSVanna(B51,J51,K51, C51, (I51-$B$1)/365, G51, D51)</f>
        <v/>
      </c>
      <c r="U51" s="2">
        <f>BSRho(B51, J51, K51, C51, (I51-$B$1)/365, G51, H51, D51)</f>
        <v/>
      </c>
      <c r="V51" s="65">
        <f>$F51*$P51</f>
        <v/>
      </c>
      <c r="W51" s="65">
        <f>$F51*$Q51</f>
        <v/>
      </c>
      <c r="X51" s="78">
        <f>$F51*R51</f>
        <v/>
      </c>
      <c r="Y51" s="78">
        <f>$F51*S51</f>
        <v/>
      </c>
      <c r="Z51" s="78">
        <f>$F51*T51</f>
        <v/>
      </c>
      <c r="AA51" s="78">
        <f>$F51*U51</f>
        <v/>
      </c>
      <c r="AB51" s="78">
        <f>(BSPrice($B51*0.8,$J51, $K51, $C51, ($I51-$B$1)/365, $G51, $H51, $D51) - BSPrice($B51,$J51, $K51, $C51, ($I51-$B$1)/365, $G51, $H51, $D51)) * $F51</f>
        <v/>
      </c>
      <c r="AC51" s="78">
        <f>(BSPrice($B51*0.9,$J51, $K51, $C51, ($I51-$B$1)/365, $G51, $H51, $D51) - BSPrice($B51,$J51, $K51, $C51, ($I51-$B$1)/365, $G51, $H51, $D51)) * $F51</f>
        <v/>
      </c>
      <c r="AD51" s="78">
        <f>(BSPrice($B51*0.95,$J51, $K51, $C51, ($I51-$B$1)/365, $G51, $H51, $D51) - BSPrice($B51,$J51, $K51, $C51, ($I51-$B$1)/365, $G51, $H51, $D51)) * $F51</f>
        <v/>
      </c>
      <c r="AE51" s="78">
        <f>(BSPrice($B51*0.98,$J51, $K51, $C51, ($I51-$B$1)/365, $G51, $H51, $D51) - BSPrice($B51,$J51, $K51, $C51, ($I51-$B$1)/365, $G51, $H51, $D51)) * $F51</f>
        <v/>
      </c>
      <c r="AF51" s="78">
        <f>(BSPrice($B51*1.02,$J51, $K51, $C51, ($I51-$B$1)/365, $G51, $H51, $D51) - BSPrice($B51,$J51, $K51, $C51, ($I51-$B$1)/365, $G51, $H51, $D51)) * $F51</f>
        <v/>
      </c>
      <c r="AG51" s="78">
        <f>(BSPrice($B51*1.05,$J51, $K51, $C51, ($I51-$B$1)/365, $G51, $H51, $D51) - BSPrice($B51,$J51, $K51, $C51, ($I51-$B$1)/365, $G51, $H51, $D51)) * $F51</f>
        <v/>
      </c>
      <c r="AH51" s="78">
        <f>(BSPrice($B51*1.1,$J51, $K51, $C51, ($I51-$B$1)/365, $G51, $H51, $D51) - BSPrice($B51,$J51, $K51, $C51, ($I51-$B$1)/365, $G51, $H51, $D51)) * $F51</f>
        <v/>
      </c>
      <c r="AI51" s="78">
        <f>(BSPrice($B51*1.2,$J51, $K51, $C51, ($I51-$B$1)/365, $G51, $H51, $D51) - BSPrice($B51,$J51, $K51, $C51, ($I51-$B$1)/365, $G51, $H51, $D51)) * $F51</f>
        <v/>
      </c>
      <c r="AJ51" s="78">
        <f>(BSPrice($B51,$J51-0.1, $K51, $C51, ($I51-$B$1)/365, $G51, $H51, $D51) - BSPrice($B51,$J51, $K51, $C51, ($I51-$B$1)/365, $G51, $H51, $D51)) * $F51</f>
        <v/>
      </c>
      <c r="AK51" s="78">
        <f>(BSPrice($B51,$J51-0.05,$K51,$C51,($I51-$B$1)/365,$G51,$H51,$D51)-BSPrice($B51,$J51,$K51,$C51,($I51-$B$1)/365,$G51,$H51,$D51))*$F51</f>
        <v/>
      </c>
      <c r="AL51" s="78">
        <f>(BSPrice($B51,$J51-0.02, $K51, $C51, ($I51-$B$1)/365, $G51, $H51, $D51) - BSPrice($B51,$J51, $K51, $C51, ($I51-$B$1)/365, $G51, $H51, $D51)) * $F51</f>
        <v/>
      </c>
      <c r="AM51" s="78">
        <f>(BSPrice($B51,$J51-0.01, $K51, $C51, ($I51-$B$1)/365, $G51, $H51, $D51) - BSPrice($B51,$J51, $K51, $C51, ($I51-$B$1)/365, $G51, $H51, $D51)) * $F51</f>
        <v/>
      </c>
      <c r="AN51" s="78">
        <f>(BSPrice($B51,$J51+0.01, $K51, $C51, ($I51-$B$1)/365, $G51, $H51, $D51) - BSPrice($B51,$J51, $K51, $C51, ($I51-$B$1)/365, $G51, $H51, $D51)) * $F51</f>
        <v/>
      </c>
      <c r="AO51" s="78">
        <f>(BSPrice($B51,$J51+0.02, $K51, $C51, ($I51-$B$1)/365, $G51, $H51, $D51) - BSPrice($B51,$J51, $K51, $C51, ($I51-$B$1)/365, $G51, $H51, $D51)) * $F51</f>
        <v/>
      </c>
      <c r="AP51" s="78">
        <f>(BSPrice($B51,$J51+0.05, $K51, $C51, ($I51-$B$1)/365, $G51, $H51, $D51) - BSPrice($B51,$J51, $K51, $C51, ($I51-$B$1)/365, $G51, $H51, $D51)) * $F51</f>
        <v/>
      </c>
      <c r="AQ51" s="78">
        <f>(BSPrice($B51,$J51+0.1, $K51, $C51, ($I51-$B$1)/365, $G51, $H51, $D51) - BSPrice($B51,$J51, $K51, $C51, ($I51-$B$1)/365, $G51, $H51, $D51)) * $F51</f>
        <v/>
      </c>
      <c r="AR51" s="60">
        <f>(BSPrice($B51*0.8,$J51+-0.05, $K51, $C51, ($I51-$B$1)/365, $G51, $H51, $D51) - BSPrice($B51,$J51, $K51, $C51, ($I51-$B$1)/365, $G51, $H51, $D51)) * $F51</f>
        <v/>
      </c>
      <c r="AS51" s="60">
        <f>(BSPrice($B51*0.8,$J51+-0.02, $K51, $C51, ($I51-$B$1)/365, $G51, $H51, $D51) - BSPrice($B51,$J51, $K51, $C51, ($I51-$B$1)/365, $G51, $H51, $D51)) * $F51</f>
        <v/>
      </c>
      <c r="AT51" s="60">
        <f>(BSPrice($B51*0.8,$J51+0, $K51, $C51, ($I51-$B$1)/365, $G51, $H51, $D51) - BSPrice($B51,$J51, $K51, $C51, ($I51-$B$1)/365, $G51, $H51, $D51)) * $F51</f>
        <v/>
      </c>
      <c r="AU51" s="60">
        <f>(BSPrice($B51*0.8,$J51+0.02, $K51, $C51, ($I51-$B$1)/365, $G51, $H51, $D51) - BSPrice($B51,$J51, $K51, $C51, ($I51-$B$1)/365, $G51, $H51, $D51)) * $F51</f>
        <v/>
      </c>
      <c r="AV51" s="60">
        <f>(BSPrice($B51*0.8,$J51+0.05, $K51, $C51, ($I51-$B$1)/365, $G51, $H51, $D51) - BSPrice($B51,$J51, $K51, $C51, ($I51-$B$1)/365, $G51, $H51, $D51)) * $F51</f>
        <v/>
      </c>
      <c r="AW51" s="60">
        <f>(BSPrice($B51*0.8,$J51+0.1, $K51, $C51, ($I51-$B$1)/365, $G51, $H51, $D51) - BSPrice($B51,$J51, $K51, $C51, ($I51-$B$1)/365, $G51, $H51, $D51)) * $F51</f>
        <v/>
      </c>
      <c r="AX51" s="60">
        <f>(BSPrice($B51*0.8,$J51+0.2, $K51, $C51, ($I51-$B$1)/365, $G51, $H51, $D51) - BSPrice($B51,$J51, $K51, $C51, ($I51-$B$1)/365, $G51, $H51, $D51)) * $F51</f>
        <v/>
      </c>
      <c r="AY51" s="60">
        <f>(BSPrice($B51*0.9,$J51+-0.05, $K51, $C51, ($I51-$B$1)/365, $G51, $H51, $D51) - BSPrice($B51,$J51, $K51, $C51, ($I51-$B$1)/365, $G51, $H51, $D51)) * $F51</f>
        <v/>
      </c>
      <c r="AZ51" s="60">
        <f>(BSPrice($B51*0.9,$J51+-0.02, $K51, $C51, ($I51-$B$1)/365, $G51, $H51, $D51) - BSPrice($B51,$J51, $K51, $C51, ($I51-$B$1)/365, $G51, $H51, $D51)) * $F51</f>
        <v/>
      </c>
      <c r="BA51" s="60">
        <f>(BSPrice($B51*0.9,$J51+0, $K51, $C51, ($I51-$B$1)/365, $G51, $H51, $D51) - BSPrice($B51,$J51, $K51, $C51, ($I51-$B$1)/365, $G51, $H51, $D51)) * $F51</f>
        <v/>
      </c>
      <c r="BB51" s="60">
        <f>(BSPrice($B51*0.9,$J51+0.02, $K51, $C51, ($I51-$B$1)/365, $G51, $H51, $D51) - BSPrice($B51,$J51, $K51, $C51, ($I51-$B$1)/365, $G51, $H51, $D51)) * $F51</f>
        <v/>
      </c>
      <c r="BC51" s="60">
        <f>(BSPrice($B51*0.9,$J51+0.05, $K51, $C51, ($I51-$B$1)/365, $G51, $H51, $D51) - BSPrice($B51,$J51, $K51, $C51, ($I51-$B$1)/365, $G51, $H51, $D51)) * $F51</f>
        <v/>
      </c>
      <c r="BD51" s="60">
        <f>(BSPrice($B51*0.9,$J51+0.1, $K51, $C51, ($I51-$B$1)/365, $G51, $H51, $D51) - BSPrice($B51,$J51, $K51, $C51, ($I51-$B$1)/365, $G51, $H51, $D51)) * $F51</f>
        <v/>
      </c>
      <c r="BE51" s="60">
        <f>(BSPrice($B51*0.9,$J51+0.2, $K51, $C51, ($I51-$B$1)/365, $G51, $H51, $D51) - BSPrice($B51,$J51, $K51, $C51, ($I51-$B$1)/365, $G51, $H51, $D51)) * $F51</f>
        <v/>
      </c>
      <c r="BF51" s="60">
        <f>(BSPrice($B51*0.95,$J51+-0.05, $K51, $C51, ($I51-$B$1)/365, $G51, $H51, $D51) - BSPrice($B51,$J51, $K51, $C51, ($I51-$B$1)/365, $G51, $H51, $D51)) * $F51</f>
        <v/>
      </c>
      <c r="BG51" s="60">
        <f>(BSPrice($B51*0.95,$J51+-0.02, $K51, $C51, ($I51-$B$1)/365, $G51, $H51, $D51) - BSPrice($B51,$J51, $K51, $C51, ($I51-$B$1)/365, $G51, $H51, $D51)) * $F51</f>
        <v/>
      </c>
      <c r="BH51" s="60">
        <f>(BSPrice($B51*0.95,$J51+0, $K51, $C51, ($I51-$B$1)/365, $G51, $H51, $D51) - BSPrice($B51,$J51, $K51, $C51, ($I51-$B$1)/365, $G51, $H51, $D51)) * $F51</f>
        <v/>
      </c>
      <c r="BI51" s="60">
        <f>(BSPrice($B51*0.95,$J51+0.02, $K51, $C51, ($I51-$B$1)/365, $G51, $H51, $D51) - BSPrice($B51,$J51, $K51, $C51, ($I51-$B$1)/365, $G51, $H51, $D51)) * $F51</f>
        <v/>
      </c>
      <c r="BJ51" s="60">
        <f>(BSPrice($B51*0.95,$J51+0.05, $K51, $C51, ($I51-$B$1)/365, $G51, $H51, $D51) - BSPrice($B51,$J51, $K51, $C51, ($I51-$B$1)/365, $G51, $H51, $D51)) * $F51</f>
        <v/>
      </c>
      <c r="BK51" s="60">
        <f>(BSPrice($B51*0.95,$J51+0.1, $K51, $C51, ($I51-$B$1)/365, $G51, $H51, $D51) - BSPrice($B51,$J51, $K51, $C51, ($I51-$B$1)/365, $G51, $H51, $D51)) * $F51</f>
        <v/>
      </c>
      <c r="BL51" s="60">
        <f>(BSPrice($B51*0.95,$J51+0.2, $K51, $C51, ($I51-$B$1)/365, $G51, $H51, $D51) - BSPrice($B51,$J51, $K51, $C51, ($I51-$B$1)/365, $G51, $H51, $D51)) * $F51</f>
        <v/>
      </c>
      <c r="BM51" s="60">
        <f>(BSPrice($B51*1,$J51+-0.05, $K51, $C51, ($I51-$B$1)/365, $G51, $H51, $D51) - BSPrice($B51,$J51, $K51, $C51, ($I51-$B$1)/365, $G51, $H51, $D51)) * $F51</f>
        <v/>
      </c>
      <c r="BN51" s="60">
        <f>(BSPrice($B51*1,$J51+-0.02, $K51, $C51, ($I51-$B$1)/365, $G51, $H51, $D51) - BSPrice($B51,$J51, $K51, $C51, ($I51-$B$1)/365, $G51, $H51, $D51)) * $F51</f>
        <v/>
      </c>
      <c r="BO51" s="60">
        <f>(BSPrice($B51*1,$J51+0, $K51, $C51, ($I51-$B$1)/365, $G51, $H51, $D51) - BSPrice($B51,$J51, $K51, $C51, ($I51-$B$1)/365, $G51, $H51, $D51)) * $F51</f>
        <v/>
      </c>
      <c r="BP51" s="60">
        <f>(BSPrice($B51*1,$J51+0.02, $K51, $C51, ($I51-$B$1)/365, $G51, $H51, $D51) - BSPrice($B51,$J51, $K51, $C51, ($I51-$B$1)/365, $G51, $H51, $D51)) * $F51</f>
        <v/>
      </c>
      <c r="BQ51" s="60">
        <f>(BSPrice($B51*1,$J51+0.05, $K51, $C51, ($I51-$B$1)/365, $G51, $H51, $D51) - BSPrice($B51,$J51, $K51, $C51, ($I51-$B$1)/365, $G51, $H51, $D51)) * $F51</f>
        <v/>
      </c>
      <c r="BR51" s="60">
        <f>(BSPrice($B51*1,$J51+0.1, $K51, $C51, ($I51-$B$1)/365, $G51, $H51, $D51) - BSPrice($B51,$J51, $K51, $C51, ($I51-$B$1)/365, $G51, $H51, $D51)) * $F51</f>
        <v/>
      </c>
      <c r="BS51" s="60">
        <f>(BSPrice($B51*1,$J51+0.2, $K51, $C51, ($I51-$B$1)/365, $G51, $H51, $D51) - BSPrice($B51,$J51, $K51, $C51, ($I51-$B$1)/365, $G51, $H51, $D51)) * $F51</f>
        <v/>
      </c>
      <c r="BT51" s="60">
        <f>(BSPrice($B51*1.05,$J51+-0.05, $K51, $C51, ($I51-$B$1)/365, $G51, $H51, $D51) - BSPrice($B51,$J51, $K51, $C51, ($I51-$B$1)/365, $G51, $H51, $D51)) * $F51</f>
        <v/>
      </c>
      <c r="BU51" s="60">
        <f>(BSPrice($B51*1.05,$J51+-0.02, $K51, $C51, ($I51-$B$1)/365, $G51, $H51, $D51) - BSPrice($B51,$J51, $K51, $C51, ($I51-$B$1)/365, $G51, $H51, $D51)) * $F51</f>
        <v/>
      </c>
      <c r="BV51" s="60">
        <f>(BSPrice($B51*1.05,$J51+0, $K51, $C51, ($I51-$B$1)/365, $G51, $H51, $D51) - BSPrice($B51,$J51, $K51, $C51, ($I51-$B$1)/365, $G51, $H51, $D51)) * $F51</f>
        <v/>
      </c>
      <c r="BW51" s="60">
        <f>(BSPrice($B51*1.05,$J51+0.02, $K51, $C51, ($I51-$B$1)/365, $G51, $H51, $D51) - BSPrice($B51,$J51, $K51, $C51, ($I51-$B$1)/365, $G51, $H51, $D51)) * $F51</f>
        <v/>
      </c>
      <c r="BX51" s="60">
        <f>(BSPrice($B51*1.05,$J51+0.05, $K51, $C51, ($I51-$B$1)/365, $G51, $H51, $D51) - BSPrice($B51,$J51, $K51, $C51, ($I51-$B$1)/365, $G51, $H51, $D51)) * $F51</f>
        <v/>
      </c>
      <c r="BY51" s="60">
        <f>(BSPrice($B51*1.05,$J51+0.1, $K51, $C51, ($I51-$B$1)/365, $G51, $H51, $D51) - BSPrice($B51,$J51, $K51, $C51, ($I51-$B$1)/365, $G51, $H51, $D51)) * $F51</f>
        <v/>
      </c>
      <c r="BZ51" s="60">
        <f>(BSPrice($B51*1.05,$J51+0.2, $K51, $C51, ($I51-$B$1)/365, $G51, $H51, $D51) - BSPrice($B51,$J51, $K51, $C51, ($I51-$B$1)/365, $G51, $H51, $D51)) * $F51</f>
        <v/>
      </c>
      <c r="CA51" s="60">
        <f>(BSPrice($B51*1.1,$J51+-0.05, $K51, $C51, ($I51-$B$1)/365, $G51, $H51, $D51) - BSPrice($B51,$J51, $K51, $C51, ($I51-$B$1)/365, $G51, $H51, $D51)) * $F51</f>
        <v/>
      </c>
      <c r="CB51" s="60">
        <f>(BSPrice($B51*1.1,$J51+-0.02, $K51, $C51, ($I51-$B$1)/365, $G51, $H51, $D51) - BSPrice($B51,$J51, $K51, $C51, ($I51-$B$1)/365, $G51, $H51, $D51)) * $F51</f>
        <v/>
      </c>
      <c r="CC51" s="60">
        <f>(BSPrice($B51*1.1,$J51+0, $K51, $C51, ($I51-$B$1)/365, $G51, $H51, $D51) - BSPrice($B51,$J51, $K51, $C51, ($I51-$B$1)/365, $G51, $H51, $D51)) * $F51</f>
        <v/>
      </c>
      <c r="CD51" s="60">
        <f>(BSPrice($B51*1.1,$J51+0.02, $K51, $C51, ($I51-$B$1)/365, $G51, $H51, $D51) - BSPrice($B51,$J51, $K51, $C51, ($I51-$B$1)/365, $G51, $H51, $D51)) * $F51</f>
        <v/>
      </c>
      <c r="CE51" s="60">
        <f>(BSPrice($B51*1.1,$J51+0.05, $K51, $C51, ($I51-$B$1)/365, $G51, $H51, $D51) - BSPrice($B51,$J51, $K51, $C51, ($I51-$B$1)/365, $G51, $H51, $D51)) * $F51</f>
        <v/>
      </c>
      <c r="CF51" s="60">
        <f>(BSPrice($B51*1.1,$J51+0.1, $K51, $C51, ($I51-$B$1)/365, $G51, $H51, $D51) - BSPrice($B51,$J51, $K51, $C51, ($I51-$B$1)/365, $G51, $H51, $D51)) * $F51</f>
        <v/>
      </c>
      <c r="CG51" s="60">
        <f>(BSPrice($B51*1.1,$J51+0.2, $K51, $C51, ($I51-$B$1)/365, $G51, $H51, $D51) - BSPrice($B51,$J51, $K51, $C51, ($I51-$B$1)/365, $G51, $H51, $D51)) * $F51</f>
        <v/>
      </c>
      <c r="CH51" s="60">
        <f>(BSPrice($B51*1.2,$J51+-0.05, $K51, $C51, ($I51-$B$1)/365, $G51, $H51, $D51) - BSPrice($B51,$J51, $K51, $C51, ($I51-$B$1)/365, $G51, $H51, $D51)) * $F51</f>
        <v/>
      </c>
      <c r="CI51" s="60">
        <f>(BSPrice($B51*1.2,$J51+-0.02, $K51, $C51, ($I51-$B$1)/365, $G51, $H51, $D51) - BSPrice($B51,$J51, $K51, $C51, ($I51-$B$1)/365, $G51, $H51, $D51)) * $F51</f>
        <v/>
      </c>
      <c r="CJ51" s="60">
        <f>(BSPrice($B51*1.2,$J51+0, $K51, $C51, ($I51-$B$1)/365, $G51, $H51, $D51) - BSPrice($B51,$J51, $K51, $C51, ($I51-$B$1)/365, $G51, $H51, $D51)) * $F51</f>
        <v/>
      </c>
      <c r="CK51" s="60">
        <f>(BSPrice($B51*1.2,$J51+0.02, $K51, $C51, ($I51-$B$1)/365, $G51, $H51, $D51) - BSPrice($B51,$J51, $K51, $C51, ($I51-$B$1)/365, $G51, $H51, $D51)) * $F51</f>
        <v/>
      </c>
      <c r="CL51" s="60">
        <f>(BSPrice($B51*1.2,$J51+0.05, $K51, $C51, ($I51-$B$1)/365, $G51, $H51, $D51) - BSPrice($B51,$J51, $K51, $C51, ($I51-$B$1)/365, $G51, $H51, $D51)) * $F51</f>
        <v/>
      </c>
      <c r="CM51" s="60">
        <f>(BSPrice($B51*1.2,$J51+0.1, $K51, $C51, ($I51-$B$1)/365, $G51, $H51, $D51) - BSPrice($B51,$J51, $K51, $C51, ($I51-$B$1)/365, $G51, $H51, $D51)) * $F51</f>
        <v/>
      </c>
      <c r="CN51" s="60">
        <f>(BSPrice($B51*1.2,$J51+0.2, $K51, $C51, ($I51-$B$1)/365, $G51, $H51, $D51) - BSPrice($B51,$J51, $K51, $C51, ($I51-$B$1)/365, $G51, $H51, $D51)) * $F51</f>
        <v/>
      </c>
    </row>
    <row r="52">
      <c r="A52" s="3" t="inlineStr">
        <is>
          <t>SX5E Index</t>
        </is>
      </c>
      <c r="B52" s="4">
        <f>VLOOKUP(A52,PriceData!$K$4:$L$6,2,FALSE)</f>
        <v/>
      </c>
      <c r="C52" s="46">
        <f>VLOOKUP(A52,PriceData!$K$4:$M$6,3,FALSE)</f>
        <v/>
      </c>
      <c r="D52" s="4" t="inlineStr">
        <is>
          <t>Option</t>
        </is>
      </c>
      <c r="E52" s="4" t="inlineStr">
        <is>
          <t>EUR</t>
        </is>
      </c>
      <c r="F52" s="4" t="n">
        <v>-25</v>
      </c>
      <c r="G52" s="4" t="n">
        <v>2905</v>
      </c>
      <c r="H52" s="4" t="inlineStr">
        <is>
          <t>Put</t>
        </is>
      </c>
      <c r="I52" s="5" t="n">
        <v>40347</v>
      </c>
      <c r="J52" s="46">
        <f>FindImpliedVol(A52, D52, G52, I52)</f>
        <v/>
      </c>
      <c r="K52" s="30">
        <f>VLOOKUP(I52,PriceData!$A$5:$D$7,MATCH($E52,PriceData!$A$4:$D$4,0),FALSE)</f>
        <v/>
      </c>
      <c r="L52" s="2">
        <f>BSPrice($B52,$J52, $K52, $C52, ($I52-$B$1)/365, $G52, $H52, $D52)</f>
        <v/>
      </c>
      <c r="M52" s="2">
        <f>F52*L52</f>
        <v/>
      </c>
      <c r="N52" s="4" t="inlineStr">
        <is>
          <t>Exch</t>
        </is>
      </c>
      <c r="P52" s="60">
        <f>BSDelta(B52, J52, K52, C52, (I52-$B$1)/365, G52, H52, D52)</f>
        <v/>
      </c>
      <c r="Q52" s="60">
        <f>BSGamma(B52, J52, K52, C52, (I52-$B$1)/365, G52, D52)</f>
        <v/>
      </c>
      <c r="R52" s="58">
        <f>BSVega(B52, J52, K52, C52, (I52-$B$1)/365,G52, D52)</f>
        <v/>
      </c>
      <c r="S52" s="58">
        <f>BSVolga(B52, J52, K52, C52, (I52-$B$1)/365,G52, D52)</f>
        <v/>
      </c>
      <c r="T52" s="58">
        <f>BSVanna(B52,J52,K52, C52, (I52-$B$1)/365, G52, D52)</f>
        <v/>
      </c>
      <c r="U52" s="2">
        <f>BSRho(B52, J52, K52, C52, (I52-$B$1)/365, G52, H52, D52)</f>
        <v/>
      </c>
      <c r="V52" s="65">
        <f>$F52*$P52</f>
        <v/>
      </c>
      <c r="W52" s="65">
        <f>$F52*$Q52</f>
        <v/>
      </c>
      <c r="X52" s="78">
        <f>$F52*R52</f>
        <v/>
      </c>
      <c r="Y52" s="78">
        <f>$F52*S52</f>
        <v/>
      </c>
      <c r="Z52" s="78">
        <f>$F52*T52</f>
        <v/>
      </c>
      <c r="AA52" s="78">
        <f>$F52*U52</f>
        <v/>
      </c>
      <c r="AB52" s="78">
        <f>(BSPrice($B52*0.8,$J52, $K52, $C52, ($I52-$B$1)/365, $G52, $H52, $D52) - BSPrice($B52,$J52, $K52, $C52, ($I52-$B$1)/365, $G52, $H52, $D52)) * $F52</f>
        <v/>
      </c>
      <c r="AC52" s="78">
        <f>(BSPrice($B52*0.9,$J52, $K52, $C52, ($I52-$B$1)/365, $G52, $H52, $D52) - BSPrice($B52,$J52, $K52, $C52, ($I52-$B$1)/365, $G52, $H52, $D52)) * $F52</f>
        <v/>
      </c>
      <c r="AD52" s="78">
        <f>(BSPrice($B52*0.95,$J52, $K52, $C52, ($I52-$B$1)/365, $G52, $H52, $D52) - BSPrice($B52,$J52, $K52, $C52, ($I52-$B$1)/365, $G52, $H52, $D52)) * $F52</f>
        <v/>
      </c>
      <c r="AE52" s="78">
        <f>(BSPrice($B52*0.98,$J52, $K52, $C52, ($I52-$B$1)/365, $G52, $H52, $D52) - BSPrice($B52,$J52, $K52, $C52, ($I52-$B$1)/365, $G52, $H52, $D52)) * $F52</f>
        <v/>
      </c>
      <c r="AF52" s="78">
        <f>(BSPrice($B52*1.02,$J52, $K52, $C52, ($I52-$B$1)/365, $G52, $H52, $D52) - BSPrice($B52,$J52, $K52, $C52, ($I52-$B$1)/365, $G52, $H52, $D52)) * $F52</f>
        <v/>
      </c>
      <c r="AG52" s="78">
        <f>(BSPrice($B52*1.05,$J52, $K52, $C52, ($I52-$B$1)/365, $G52, $H52, $D52) - BSPrice($B52,$J52, $K52, $C52, ($I52-$B$1)/365, $G52, $H52, $D52)) * $F52</f>
        <v/>
      </c>
      <c r="AH52" s="78">
        <f>(BSPrice($B52*1.1,$J52, $K52, $C52, ($I52-$B$1)/365, $G52, $H52, $D52) - BSPrice($B52,$J52, $K52, $C52, ($I52-$B$1)/365, $G52, $H52, $D52)) * $F52</f>
        <v/>
      </c>
      <c r="AI52" s="78">
        <f>(BSPrice($B52*1.2,$J52, $K52, $C52, ($I52-$B$1)/365, $G52, $H52, $D52) - BSPrice($B52,$J52, $K52, $C52, ($I52-$B$1)/365, $G52, $H52, $D52)) * $F52</f>
        <v/>
      </c>
      <c r="AJ52" s="78">
        <f>(BSPrice($B52,$J52-0.1, $K52, $C52, ($I52-$B$1)/365, $G52, $H52, $D52) - BSPrice($B52,$J52, $K52, $C52, ($I52-$B$1)/365, $G52, $H52, $D52)) * $F52</f>
        <v/>
      </c>
      <c r="AK52" s="78">
        <f>(BSPrice($B52,$J52-0.05,$K52,$C52,($I52-$B$1)/365,$G52,$H52,$D52)-BSPrice($B52,$J52,$K52,$C52,($I52-$B$1)/365,$G52,$H52,$D52))*$F52</f>
        <v/>
      </c>
      <c r="AL52" s="78">
        <f>(BSPrice($B52,$J52-0.02, $K52, $C52, ($I52-$B$1)/365, $G52, $H52, $D52) - BSPrice($B52,$J52, $K52, $C52, ($I52-$B$1)/365, $G52, $H52, $D52)) * $F52</f>
        <v/>
      </c>
      <c r="AM52" s="78">
        <f>(BSPrice($B52,$J52-0.01, $K52, $C52, ($I52-$B$1)/365, $G52, $H52, $D52) - BSPrice($B52,$J52, $K52, $C52, ($I52-$B$1)/365, $G52, $H52, $D52)) * $F52</f>
        <v/>
      </c>
      <c r="AN52" s="78">
        <f>(BSPrice($B52,$J52+0.01, $K52, $C52, ($I52-$B$1)/365, $G52, $H52, $D52) - BSPrice($B52,$J52, $K52, $C52, ($I52-$B$1)/365, $G52, $H52, $D52)) * $F52</f>
        <v/>
      </c>
      <c r="AO52" s="78">
        <f>(BSPrice($B52,$J52+0.02, $K52, $C52, ($I52-$B$1)/365, $G52, $H52, $D52) - BSPrice($B52,$J52, $K52, $C52, ($I52-$B$1)/365, $G52, $H52, $D52)) * $F52</f>
        <v/>
      </c>
      <c r="AP52" s="78">
        <f>(BSPrice($B52,$J52+0.05, $K52, $C52, ($I52-$B$1)/365, $G52, $H52, $D52) - BSPrice($B52,$J52, $K52, $C52, ($I52-$B$1)/365, $G52, $H52, $D52)) * $F52</f>
        <v/>
      </c>
      <c r="AQ52" s="78">
        <f>(BSPrice($B52,$J52+0.1, $K52, $C52, ($I52-$B$1)/365, $G52, $H52, $D52) - BSPrice($B52,$J52, $K52, $C52, ($I52-$B$1)/365, $G52, $H52, $D52)) * $F52</f>
        <v/>
      </c>
      <c r="AR52" s="60">
        <f>(BSPrice($B52*0.8,$J52+-0.05, $K52, $C52, ($I52-$B$1)/365, $G52, $H52, $D52) - BSPrice($B52,$J52, $K52, $C52, ($I52-$B$1)/365, $G52, $H52, $D52)) * $F52</f>
        <v/>
      </c>
      <c r="AS52" s="60">
        <f>(BSPrice($B52*0.8,$J52+-0.02, $K52, $C52, ($I52-$B$1)/365, $G52, $H52, $D52) - BSPrice($B52,$J52, $K52, $C52, ($I52-$B$1)/365, $G52, $H52, $D52)) * $F52</f>
        <v/>
      </c>
      <c r="AT52" s="60">
        <f>(BSPrice($B52*0.8,$J52+0, $K52, $C52, ($I52-$B$1)/365, $G52, $H52, $D52) - BSPrice($B52,$J52, $K52, $C52, ($I52-$B$1)/365, $G52, $H52, $D52)) * $F52</f>
        <v/>
      </c>
      <c r="AU52" s="60">
        <f>(BSPrice($B52*0.8,$J52+0.02, $K52, $C52, ($I52-$B$1)/365, $G52, $H52, $D52) - BSPrice($B52,$J52, $K52, $C52, ($I52-$B$1)/365, $G52, $H52, $D52)) * $F52</f>
        <v/>
      </c>
      <c r="AV52" s="60">
        <f>(BSPrice($B52*0.8,$J52+0.05, $K52, $C52, ($I52-$B$1)/365, $G52, $H52, $D52) - BSPrice($B52,$J52, $K52, $C52, ($I52-$B$1)/365, $G52, $H52, $D52)) * $F52</f>
        <v/>
      </c>
      <c r="AW52" s="60">
        <f>(BSPrice($B52*0.8,$J52+0.1, $K52, $C52, ($I52-$B$1)/365, $G52, $H52, $D52) - BSPrice($B52,$J52, $K52, $C52, ($I52-$B$1)/365, $G52, $H52, $D52)) * $F52</f>
        <v/>
      </c>
      <c r="AX52" s="60">
        <f>(BSPrice($B52*0.8,$J52+0.2, $K52, $C52, ($I52-$B$1)/365, $G52, $H52, $D52) - BSPrice($B52,$J52, $K52, $C52, ($I52-$B$1)/365, $G52, $H52, $D52)) * $F52</f>
        <v/>
      </c>
      <c r="AY52" s="60">
        <f>(BSPrice($B52*0.9,$J52+-0.05, $K52, $C52, ($I52-$B$1)/365, $G52, $H52, $D52) - BSPrice($B52,$J52, $K52, $C52, ($I52-$B$1)/365, $G52, $H52, $D52)) * $F52</f>
        <v/>
      </c>
      <c r="AZ52" s="60">
        <f>(BSPrice($B52*0.9,$J52+-0.02, $K52, $C52, ($I52-$B$1)/365, $G52, $H52, $D52) - BSPrice($B52,$J52, $K52, $C52, ($I52-$B$1)/365, $G52, $H52, $D52)) * $F52</f>
        <v/>
      </c>
      <c r="BA52" s="60">
        <f>(BSPrice($B52*0.9,$J52+0, $K52, $C52, ($I52-$B$1)/365, $G52, $H52, $D52) - BSPrice($B52,$J52, $K52, $C52, ($I52-$B$1)/365, $G52, $H52, $D52)) * $F52</f>
        <v/>
      </c>
      <c r="BB52" s="60">
        <f>(BSPrice($B52*0.9,$J52+0.02, $K52, $C52, ($I52-$B$1)/365, $G52, $H52, $D52) - BSPrice($B52,$J52, $K52, $C52, ($I52-$B$1)/365, $G52, $H52, $D52)) * $F52</f>
        <v/>
      </c>
      <c r="BC52" s="60">
        <f>(BSPrice($B52*0.9,$J52+0.05, $K52, $C52, ($I52-$B$1)/365, $G52, $H52, $D52) - BSPrice($B52,$J52, $K52, $C52, ($I52-$B$1)/365, $G52, $H52, $D52)) * $F52</f>
        <v/>
      </c>
      <c r="BD52" s="60">
        <f>(BSPrice($B52*0.9,$J52+0.1, $K52, $C52, ($I52-$B$1)/365, $G52, $H52, $D52) - BSPrice($B52,$J52, $K52, $C52, ($I52-$B$1)/365, $G52, $H52, $D52)) * $F52</f>
        <v/>
      </c>
      <c r="BE52" s="60">
        <f>(BSPrice($B52*0.9,$J52+0.2, $K52, $C52, ($I52-$B$1)/365, $G52, $H52, $D52) - BSPrice($B52,$J52, $K52, $C52, ($I52-$B$1)/365, $G52, $H52, $D52)) * $F52</f>
        <v/>
      </c>
      <c r="BF52" s="60">
        <f>(BSPrice($B52*0.95,$J52+-0.05, $K52, $C52, ($I52-$B$1)/365, $G52, $H52, $D52) - BSPrice($B52,$J52, $K52, $C52, ($I52-$B$1)/365, $G52, $H52, $D52)) * $F52</f>
        <v/>
      </c>
      <c r="BG52" s="60">
        <f>(BSPrice($B52*0.95,$J52+-0.02, $K52, $C52, ($I52-$B$1)/365, $G52, $H52, $D52) - BSPrice($B52,$J52, $K52, $C52, ($I52-$B$1)/365, $G52, $H52, $D52)) * $F52</f>
        <v/>
      </c>
      <c r="BH52" s="60">
        <f>(BSPrice($B52*0.95,$J52+0, $K52, $C52, ($I52-$B$1)/365, $G52, $H52, $D52) - BSPrice($B52,$J52, $K52, $C52, ($I52-$B$1)/365, $G52, $H52, $D52)) * $F52</f>
        <v/>
      </c>
      <c r="BI52" s="60">
        <f>(BSPrice($B52*0.95,$J52+0.02, $K52, $C52, ($I52-$B$1)/365, $G52, $H52, $D52) - BSPrice($B52,$J52, $K52, $C52, ($I52-$B$1)/365, $G52, $H52, $D52)) * $F52</f>
        <v/>
      </c>
      <c r="BJ52" s="60">
        <f>(BSPrice($B52*0.95,$J52+0.05, $K52, $C52, ($I52-$B$1)/365, $G52, $H52, $D52) - BSPrice($B52,$J52, $K52, $C52, ($I52-$B$1)/365, $G52, $H52, $D52)) * $F52</f>
        <v/>
      </c>
      <c r="BK52" s="60">
        <f>(BSPrice($B52*0.95,$J52+0.1, $K52, $C52, ($I52-$B$1)/365, $G52, $H52, $D52) - BSPrice($B52,$J52, $K52, $C52, ($I52-$B$1)/365, $G52, $H52, $D52)) * $F52</f>
        <v/>
      </c>
      <c r="BL52" s="60">
        <f>(BSPrice($B52*0.95,$J52+0.2, $K52, $C52, ($I52-$B$1)/365, $G52, $H52, $D52) - BSPrice($B52,$J52, $K52, $C52, ($I52-$B$1)/365, $G52, $H52, $D52)) * $F52</f>
        <v/>
      </c>
      <c r="BM52" s="60">
        <f>(BSPrice($B52*1,$J52+-0.05, $K52, $C52, ($I52-$B$1)/365, $G52, $H52, $D52) - BSPrice($B52,$J52, $K52, $C52, ($I52-$B$1)/365, $G52, $H52, $D52)) * $F52</f>
        <v/>
      </c>
      <c r="BN52" s="60">
        <f>(BSPrice($B52*1,$J52+-0.02, $K52, $C52, ($I52-$B$1)/365, $G52, $H52, $D52) - BSPrice($B52,$J52, $K52, $C52, ($I52-$B$1)/365, $G52, $H52, $D52)) * $F52</f>
        <v/>
      </c>
      <c r="BO52" s="60">
        <f>(BSPrice($B52*1,$J52+0, $K52, $C52, ($I52-$B$1)/365, $G52, $H52, $D52) - BSPrice($B52,$J52, $K52, $C52, ($I52-$B$1)/365, $G52, $H52, $D52)) * $F52</f>
        <v/>
      </c>
      <c r="BP52" s="60">
        <f>(BSPrice($B52*1,$J52+0.02, $K52, $C52, ($I52-$B$1)/365, $G52, $H52, $D52) - BSPrice($B52,$J52, $K52, $C52, ($I52-$B$1)/365, $G52, $H52, $D52)) * $F52</f>
        <v/>
      </c>
      <c r="BQ52" s="60">
        <f>(BSPrice($B52*1,$J52+0.05, $K52, $C52, ($I52-$B$1)/365, $G52, $H52, $D52) - BSPrice($B52,$J52, $K52, $C52, ($I52-$B$1)/365, $G52, $H52, $D52)) * $F52</f>
        <v/>
      </c>
      <c r="BR52" s="60">
        <f>(BSPrice($B52*1,$J52+0.1, $K52, $C52, ($I52-$B$1)/365, $G52, $H52, $D52) - BSPrice($B52,$J52, $K52, $C52, ($I52-$B$1)/365, $G52, $H52, $D52)) * $F52</f>
        <v/>
      </c>
      <c r="BS52" s="60">
        <f>(BSPrice($B52*1,$J52+0.2, $K52, $C52, ($I52-$B$1)/365, $G52, $H52, $D52) - BSPrice($B52,$J52, $K52, $C52, ($I52-$B$1)/365, $G52, $H52, $D52)) * $F52</f>
        <v/>
      </c>
      <c r="BT52" s="60">
        <f>(BSPrice($B52*1.05,$J52+-0.05, $K52, $C52, ($I52-$B$1)/365, $G52, $H52, $D52) - BSPrice($B52,$J52, $K52, $C52, ($I52-$B$1)/365, $G52, $H52, $D52)) * $F52</f>
        <v/>
      </c>
      <c r="BU52" s="60">
        <f>(BSPrice($B52*1.05,$J52+-0.02, $K52, $C52, ($I52-$B$1)/365, $G52, $H52, $D52) - BSPrice($B52,$J52, $K52, $C52, ($I52-$B$1)/365, $G52, $H52, $D52)) * $F52</f>
        <v/>
      </c>
      <c r="BV52" s="60">
        <f>(BSPrice($B52*1.05,$J52+0, $K52, $C52, ($I52-$B$1)/365, $G52, $H52, $D52) - BSPrice($B52,$J52, $K52, $C52, ($I52-$B$1)/365, $G52, $H52, $D52)) * $F52</f>
        <v/>
      </c>
      <c r="BW52" s="60">
        <f>(BSPrice($B52*1.05,$J52+0.02, $K52, $C52, ($I52-$B$1)/365, $G52, $H52, $D52) - BSPrice($B52,$J52, $K52, $C52, ($I52-$B$1)/365, $G52, $H52, $D52)) * $F52</f>
        <v/>
      </c>
      <c r="BX52" s="60">
        <f>(BSPrice($B52*1.05,$J52+0.05, $K52, $C52, ($I52-$B$1)/365, $G52, $H52, $D52) - BSPrice($B52,$J52, $K52, $C52, ($I52-$B$1)/365, $G52, $H52, $D52)) * $F52</f>
        <v/>
      </c>
      <c r="BY52" s="60">
        <f>(BSPrice($B52*1.05,$J52+0.1, $K52, $C52, ($I52-$B$1)/365, $G52, $H52, $D52) - BSPrice($B52,$J52, $K52, $C52, ($I52-$B$1)/365, $G52, $H52, $D52)) * $F52</f>
        <v/>
      </c>
      <c r="BZ52" s="60">
        <f>(BSPrice($B52*1.05,$J52+0.2, $K52, $C52, ($I52-$B$1)/365, $G52, $H52, $D52) - BSPrice($B52,$J52, $K52, $C52, ($I52-$B$1)/365, $G52, $H52, $D52)) * $F52</f>
        <v/>
      </c>
      <c r="CA52" s="60">
        <f>(BSPrice($B52*1.1,$J52+-0.05, $K52, $C52, ($I52-$B$1)/365, $G52, $H52, $D52) - BSPrice($B52,$J52, $K52, $C52, ($I52-$B$1)/365, $G52, $H52, $D52)) * $F52</f>
        <v/>
      </c>
      <c r="CB52" s="60">
        <f>(BSPrice($B52*1.1,$J52+-0.02, $K52, $C52, ($I52-$B$1)/365, $G52, $H52, $D52) - BSPrice($B52,$J52, $K52, $C52, ($I52-$B$1)/365, $G52, $H52, $D52)) * $F52</f>
        <v/>
      </c>
      <c r="CC52" s="60">
        <f>(BSPrice($B52*1.1,$J52+0, $K52, $C52, ($I52-$B$1)/365, $G52, $H52, $D52) - BSPrice($B52,$J52, $K52, $C52, ($I52-$B$1)/365, $G52, $H52, $D52)) * $F52</f>
        <v/>
      </c>
      <c r="CD52" s="60">
        <f>(BSPrice($B52*1.1,$J52+0.02, $K52, $C52, ($I52-$B$1)/365, $G52, $H52, $D52) - BSPrice($B52,$J52, $K52, $C52, ($I52-$B$1)/365, $G52, $H52, $D52)) * $F52</f>
        <v/>
      </c>
      <c r="CE52" s="60">
        <f>(BSPrice($B52*1.1,$J52+0.05, $K52, $C52, ($I52-$B$1)/365, $G52, $H52, $D52) - BSPrice($B52,$J52, $K52, $C52, ($I52-$B$1)/365, $G52, $H52, $D52)) * $F52</f>
        <v/>
      </c>
      <c r="CF52" s="60">
        <f>(BSPrice($B52*1.1,$J52+0.1, $K52, $C52, ($I52-$B$1)/365, $G52, $H52, $D52) - BSPrice($B52,$J52, $K52, $C52, ($I52-$B$1)/365, $G52, $H52, $D52)) * $F52</f>
        <v/>
      </c>
      <c r="CG52" s="60">
        <f>(BSPrice($B52*1.1,$J52+0.2, $K52, $C52, ($I52-$B$1)/365, $G52, $H52, $D52) - BSPrice($B52,$J52, $K52, $C52, ($I52-$B$1)/365, $G52, $H52, $D52)) * $F52</f>
        <v/>
      </c>
      <c r="CH52" s="60">
        <f>(BSPrice($B52*1.2,$J52+-0.05, $K52, $C52, ($I52-$B$1)/365, $G52, $H52, $D52) - BSPrice($B52,$J52, $K52, $C52, ($I52-$B$1)/365, $G52, $H52, $D52)) * $F52</f>
        <v/>
      </c>
      <c r="CI52" s="60">
        <f>(BSPrice($B52*1.2,$J52+-0.02, $K52, $C52, ($I52-$B$1)/365, $G52, $H52, $D52) - BSPrice($B52,$J52, $K52, $C52, ($I52-$B$1)/365, $G52, $H52, $D52)) * $F52</f>
        <v/>
      </c>
      <c r="CJ52" s="60">
        <f>(BSPrice($B52*1.2,$J52+0, $K52, $C52, ($I52-$B$1)/365, $G52, $H52, $D52) - BSPrice($B52,$J52, $K52, $C52, ($I52-$B$1)/365, $G52, $H52, $D52)) * $F52</f>
        <v/>
      </c>
      <c r="CK52" s="60">
        <f>(BSPrice($B52*1.2,$J52+0.02, $K52, $C52, ($I52-$B$1)/365, $G52, $H52, $D52) - BSPrice($B52,$J52, $K52, $C52, ($I52-$B$1)/365, $G52, $H52, $D52)) * $F52</f>
        <v/>
      </c>
      <c r="CL52" s="60">
        <f>(BSPrice($B52*1.2,$J52+0.05, $K52, $C52, ($I52-$B$1)/365, $G52, $H52, $D52) - BSPrice($B52,$J52, $K52, $C52, ($I52-$B$1)/365, $G52, $H52, $D52)) * $F52</f>
        <v/>
      </c>
      <c r="CM52" s="60">
        <f>(BSPrice($B52*1.2,$J52+0.1, $K52, $C52, ($I52-$B$1)/365, $G52, $H52, $D52) - BSPrice($B52,$J52, $K52, $C52, ($I52-$B$1)/365, $G52, $H52, $D52)) * $F52</f>
        <v/>
      </c>
      <c r="CN52" s="60">
        <f>(BSPrice($B52*1.2,$J52+0.2, $K52, $C52, ($I52-$B$1)/365, $G52, $H52, $D52) - BSPrice($B52,$J52, $K52, $C52, ($I52-$B$1)/365, $G52, $H52, $D52)) * $F52</f>
        <v/>
      </c>
    </row>
    <row r="53">
      <c r="A53" s="3" t="inlineStr">
        <is>
          <t>SX5E Index</t>
        </is>
      </c>
      <c r="B53" s="4">
        <f>VLOOKUP(A53,PriceData!$K$4:$L$6,2,FALSE)</f>
        <v/>
      </c>
      <c r="C53" s="46">
        <f>VLOOKUP(A53,PriceData!$K$4:$M$6,3,FALSE)</f>
        <v/>
      </c>
      <c r="D53" s="4" t="inlineStr">
        <is>
          <t>Option</t>
        </is>
      </c>
      <c r="E53" s="4" t="inlineStr">
        <is>
          <t>EUR</t>
        </is>
      </c>
      <c r="F53" s="4" t="n">
        <v>-20</v>
      </c>
      <c r="G53" s="4" t="n">
        <v>3341</v>
      </c>
      <c r="H53" s="4" t="inlineStr">
        <is>
          <t>Call</t>
        </is>
      </c>
      <c r="I53" s="5" t="n">
        <v>40347</v>
      </c>
      <c r="J53" s="46">
        <f>FindImpliedVol(A53, D53, G53, I53)</f>
        <v/>
      </c>
      <c r="K53" s="30">
        <f>VLOOKUP(I53,PriceData!$A$5:$D$7,MATCH($E53,PriceData!$A$4:$D$4,0),FALSE)</f>
        <v/>
      </c>
      <c r="L53" s="2">
        <f>BSPrice($B53,$J53, $K53, $C53, ($I53-$B$1)/365, $G53, $H53, $D53)</f>
        <v/>
      </c>
      <c r="M53" s="2">
        <f>F53*L53</f>
        <v/>
      </c>
      <c r="N53" s="4" t="inlineStr">
        <is>
          <t>JP Horgan</t>
        </is>
      </c>
      <c r="P53" s="60">
        <f>BSDelta(B53, J53, K53, C53, (I53-$B$1)/365, G53, H53, D53)</f>
        <v/>
      </c>
      <c r="Q53" s="60">
        <f>BSGamma(B53, J53, K53, C53, (I53-$B$1)/365, G53, D53)</f>
        <v/>
      </c>
      <c r="R53" s="58">
        <f>BSVega(B53, J53, K53, C53, (I53-$B$1)/365,G53, D53)</f>
        <v/>
      </c>
      <c r="S53" s="58">
        <f>BSVolga(B53, J53, K53, C53, (I53-$B$1)/365,G53, D53)</f>
        <v/>
      </c>
      <c r="T53" s="58">
        <f>BSVanna(B53,J53,K53, C53, (I53-$B$1)/365, G53, D53)</f>
        <v/>
      </c>
      <c r="U53" s="2">
        <f>BSRho(B53, J53, K53, C53, (I53-$B$1)/365, G53, H53, D53)</f>
        <v/>
      </c>
      <c r="V53" s="65">
        <f>$F53*$P53</f>
        <v/>
      </c>
      <c r="W53" s="65">
        <f>$F53*$Q53</f>
        <v/>
      </c>
      <c r="X53" s="78">
        <f>$F53*R53</f>
        <v/>
      </c>
      <c r="Y53" s="78">
        <f>$F53*S53</f>
        <v/>
      </c>
      <c r="Z53" s="78">
        <f>$F53*T53</f>
        <v/>
      </c>
      <c r="AA53" s="78">
        <f>$F53*U53</f>
        <v/>
      </c>
      <c r="AB53" s="78">
        <f>(BSPrice($B53*0.8,$J53, $K53, $C53, ($I53-$B$1)/365, $G53, $H53, $D53) - BSPrice($B53,$J53, $K53, $C53, ($I53-$B$1)/365, $G53, $H53, $D53)) * $F53</f>
        <v/>
      </c>
      <c r="AC53" s="78">
        <f>(BSPrice($B53*0.9,$J53, $K53, $C53, ($I53-$B$1)/365, $G53, $H53, $D53) - BSPrice($B53,$J53, $K53, $C53, ($I53-$B$1)/365, $G53, $H53, $D53)) * $F53</f>
        <v/>
      </c>
      <c r="AD53" s="78">
        <f>(BSPrice($B53*0.95,$J53, $K53, $C53, ($I53-$B$1)/365, $G53, $H53, $D53) - BSPrice($B53,$J53, $K53, $C53, ($I53-$B$1)/365, $G53, $H53, $D53)) * $F53</f>
        <v/>
      </c>
      <c r="AE53" s="78">
        <f>(BSPrice($B53*0.98,$J53, $K53, $C53, ($I53-$B$1)/365, $G53, $H53, $D53) - BSPrice($B53,$J53, $K53, $C53, ($I53-$B$1)/365, $G53, $H53, $D53)) * $F53</f>
        <v/>
      </c>
      <c r="AF53" s="78">
        <f>(BSPrice($B53*1.02,$J53, $K53, $C53, ($I53-$B$1)/365, $G53, $H53, $D53) - BSPrice($B53,$J53, $K53, $C53, ($I53-$B$1)/365, $G53, $H53, $D53)) * $F53</f>
        <v/>
      </c>
      <c r="AG53" s="78">
        <f>(BSPrice($B53*1.05,$J53, $K53, $C53, ($I53-$B$1)/365, $G53, $H53, $D53) - BSPrice($B53,$J53, $K53, $C53, ($I53-$B$1)/365, $G53, $H53, $D53)) * $F53</f>
        <v/>
      </c>
      <c r="AH53" s="78">
        <f>(BSPrice($B53*1.1,$J53, $K53, $C53, ($I53-$B$1)/365, $G53, $H53, $D53) - BSPrice($B53,$J53, $K53, $C53, ($I53-$B$1)/365, $G53, $H53, $D53)) * $F53</f>
        <v/>
      </c>
      <c r="AI53" s="78">
        <f>(BSPrice($B53*1.2,$J53, $K53, $C53, ($I53-$B$1)/365, $G53, $H53, $D53) - BSPrice($B53,$J53, $K53, $C53, ($I53-$B$1)/365, $G53, $H53, $D53)) * $F53</f>
        <v/>
      </c>
      <c r="AJ53" s="78">
        <f>(BSPrice($B53,$J53-0.1, $K53, $C53, ($I53-$B$1)/365, $G53, $H53, $D53) - BSPrice($B53,$J53, $K53, $C53, ($I53-$B$1)/365, $G53, $H53, $D53)) * $F53</f>
        <v/>
      </c>
      <c r="AK53" s="78">
        <f>(BSPrice($B53,$J53-0.05,$K53,$C53,($I53-$B$1)/365,$G53,$H53,$D53)-BSPrice($B53,$J53,$K53,$C53,($I53-$B$1)/365,$G53,$H53,$D53))*$F53</f>
        <v/>
      </c>
      <c r="AL53" s="78">
        <f>(BSPrice($B53,$J53-0.02, $K53, $C53, ($I53-$B$1)/365, $G53, $H53, $D53) - BSPrice($B53,$J53, $K53, $C53, ($I53-$B$1)/365, $G53, $H53, $D53)) * $F53</f>
        <v/>
      </c>
      <c r="AM53" s="78">
        <f>(BSPrice($B53,$J53-0.01, $K53, $C53, ($I53-$B$1)/365, $G53, $H53, $D53) - BSPrice($B53,$J53, $K53, $C53, ($I53-$B$1)/365, $G53, $H53, $D53)) * $F53</f>
        <v/>
      </c>
      <c r="AN53" s="78">
        <f>(BSPrice($B53,$J53+0.01, $K53, $C53, ($I53-$B$1)/365, $G53, $H53, $D53) - BSPrice($B53,$J53, $K53, $C53, ($I53-$B$1)/365, $G53, $H53, $D53)) * $F53</f>
        <v/>
      </c>
      <c r="AO53" s="78">
        <f>(BSPrice($B53,$J53+0.02, $K53, $C53, ($I53-$B$1)/365, $G53, $H53, $D53) - BSPrice($B53,$J53, $K53, $C53, ($I53-$B$1)/365, $G53, $H53, $D53)) * $F53</f>
        <v/>
      </c>
      <c r="AP53" s="78">
        <f>(BSPrice($B53,$J53+0.05, $K53, $C53, ($I53-$B$1)/365, $G53, $H53, $D53) - BSPrice($B53,$J53, $K53, $C53, ($I53-$B$1)/365, $G53, $H53, $D53)) * $F53</f>
        <v/>
      </c>
      <c r="AQ53" s="78">
        <f>(BSPrice($B53,$J53+0.1, $K53, $C53, ($I53-$B$1)/365, $G53, $H53, $D53) - BSPrice($B53,$J53, $K53, $C53, ($I53-$B$1)/365, $G53, $H53, $D53)) * $F53</f>
        <v/>
      </c>
      <c r="AR53" s="60">
        <f>(BSPrice($B53*0.8,$J53+-0.05, $K53, $C53, ($I53-$B$1)/365, $G53, $H53, $D53) - BSPrice($B53,$J53, $K53, $C53, ($I53-$B$1)/365, $G53, $H53, $D53)) * $F53</f>
        <v/>
      </c>
      <c r="AS53" s="60">
        <f>(BSPrice($B53*0.8,$J53+-0.02, $K53, $C53, ($I53-$B$1)/365, $G53, $H53, $D53) - BSPrice($B53,$J53, $K53, $C53, ($I53-$B$1)/365, $G53, $H53, $D53)) * $F53</f>
        <v/>
      </c>
      <c r="AT53" s="60">
        <f>(BSPrice($B53*0.8,$J53+0, $K53, $C53, ($I53-$B$1)/365, $G53, $H53, $D53) - BSPrice($B53,$J53, $K53, $C53, ($I53-$B$1)/365, $G53, $H53, $D53)) * $F53</f>
        <v/>
      </c>
      <c r="AU53" s="60">
        <f>(BSPrice($B53*0.8,$J53+0.02, $K53, $C53, ($I53-$B$1)/365, $G53, $H53, $D53) - BSPrice($B53,$J53, $K53, $C53, ($I53-$B$1)/365, $G53, $H53, $D53)) * $F53</f>
        <v/>
      </c>
      <c r="AV53" s="60">
        <f>(BSPrice($B53*0.8,$J53+0.05, $K53, $C53, ($I53-$B$1)/365, $G53, $H53, $D53) - BSPrice($B53,$J53, $K53, $C53, ($I53-$B$1)/365, $G53, $H53, $D53)) * $F53</f>
        <v/>
      </c>
      <c r="AW53" s="60">
        <f>(BSPrice($B53*0.8,$J53+0.1, $K53, $C53, ($I53-$B$1)/365, $G53, $H53, $D53) - BSPrice($B53,$J53, $K53, $C53, ($I53-$B$1)/365, $G53, $H53, $D53)) * $F53</f>
        <v/>
      </c>
      <c r="AX53" s="60">
        <f>(BSPrice($B53*0.8,$J53+0.2, $K53, $C53, ($I53-$B$1)/365, $G53, $H53, $D53) - BSPrice($B53,$J53, $K53, $C53, ($I53-$B$1)/365, $G53, $H53, $D53)) * $F53</f>
        <v/>
      </c>
      <c r="AY53" s="60">
        <f>(BSPrice($B53*0.9,$J53+-0.05, $K53, $C53, ($I53-$B$1)/365, $G53, $H53, $D53) - BSPrice($B53,$J53, $K53, $C53, ($I53-$B$1)/365, $G53, $H53, $D53)) * $F53</f>
        <v/>
      </c>
      <c r="AZ53" s="60">
        <f>(BSPrice($B53*0.9,$J53+-0.02, $K53, $C53, ($I53-$B$1)/365, $G53, $H53, $D53) - BSPrice($B53,$J53, $K53, $C53, ($I53-$B$1)/365, $G53, $H53, $D53)) * $F53</f>
        <v/>
      </c>
      <c r="BA53" s="60">
        <f>(BSPrice($B53*0.9,$J53+0, $K53, $C53, ($I53-$B$1)/365, $G53, $H53, $D53) - BSPrice($B53,$J53, $K53, $C53, ($I53-$B$1)/365, $G53, $H53, $D53)) * $F53</f>
        <v/>
      </c>
      <c r="BB53" s="60">
        <f>(BSPrice($B53*0.9,$J53+0.02, $K53, $C53, ($I53-$B$1)/365, $G53, $H53, $D53) - BSPrice($B53,$J53, $K53, $C53, ($I53-$B$1)/365, $G53, $H53, $D53)) * $F53</f>
        <v/>
      </c>
      <c r="BC53" s="60">
        <f>(BSPrice($B53*0.9,$J53+0.05, $K53, $C53, ($I53-$B$1)/365, $G53, $H53, $D53) - BSPrice($B53,$J53, $K53, $C53, ($I53-$B$1)/365, $G53, $H53, $D53)) * $F53</f>
        <v/>
      </c>
      <c r="BD53" s="60">
        <f>(BSPrice($B53*0.9,$J53+0.1, $K53, $C53, ($I53-$B$1)/365, $G53, $H53, $D53) - BSPrice($B53,$J53, $K53, $C53, ($I53-$B$1)/365, $G53, $H53, $D53)) * $F53</f>
        <v/>
      </c>
      <c r="BE53" s="60">
        <f>(BSPrice($B53*0.9,$J53+0.2, $K53, $C53, ($I53-$B$1)/365, $G53, $H53, $D53) - BSPrice($B53,$J53, $K53, $C53, ($I53-$B$1)/365, $G53, $H53, $D53)) * $F53</f>
        <v/>
      </c>
      <c r="BF53" s="60">
        <f>(BSPrice($B53*0.95,$J53+-0.05, $K53, $C53, ($I53-$B$1)/365, $G53, $H53, $D53) - BSPrice($B53,$J53, $K53, $C53, ($I53-$B$1)/365, $G53, $H53, $D53)) * $F53</f>
        <v/>
      </c>
      <c r="BG53" s="60">
        <f>(BSPrice($B53*0.95,$J53+-0.02, $K53, $C53, ($I53-$B$1)/365, $G53, $H53, $D53) - BSPrice($B53,$J53, $K53, $C53, ($I53-$B$1)/365, $G53, $H53, $D53)) * $F53</f>
        <v/>
      </c>
      <c r="BH53" s="60">
        <f>(BSPrice($B53*0.95,$J53+0, $K53, $C53, ($I53-$B$1)/365, $G53, $H53, $D53) - BSPrice($B53,$J53, $K53, $C53, ($I53-$B$1)/365, $G53, $H53, $D53)) * $F53</f>
        <v/>
      </c>
      <c r="BI53" s="60">
        <f>(BSPrice($B53*0.95,$J53+0.02, $K53, $C53, ($I53-$B$1)/365, $G53, $H53, $D53) - BSPrice($B53,$J53, $K53, $C53, ($I53-$B$1)/365, $G53, $H53, $D53)) * $F53</f>
        <v/>
      </c>
      <c r="BJ53" s="60">
        <f>(BSPrice($B53*0.95,$J53+0.05, $K53, $C53, ($I53-$B$1)/365, $G53, $H53, $D53) - BSPrice($B53,$J53, $K53, $C53, ($I53-$B$1)/365, $G53, $H53, $D53)) * $F53</f>
        <v/>
      </c>
      <c r="BK53" s="60">
        <f>(BSPrice($B53*0.95,$J53+0.1, $K53, $C53, ($I53-$B$1)/365, $G53, $H53, $D53) - BSPrice($B53,$J53, $K53, $C53, ($I53-$B$1)/365, $G53, $H53, $D53)) * $F53</f>
        <v/>
      </c>
      <c r="BL53" s="60">
        <f>(BSPrice($B53*0.95,$J53+0.2, $K53, $C53, ($I53-$B$1)/365, $G53, $H53, $D53) - BSPrice($B53,$J53, $K53, $C53, ($I53-$B$1)/365, $G53, $H53, $D53)) * $F53</f>
        <v/>
      </c>
      <c r="BM53" s="60">
        <f>(BSPrice($B53*1,$J53+-0.05, $K53, $C53, ($I53-$B$1)/365, $G53, $H53, $D53) - BSPrice($B53,$J53, $K53, $C53, ($I53-$B$1)/365, $G53, $H53, $D53)) * $F53</f>
        <v/>
      </c>
      <c r="BN53" s="60">
        <f>(BSPrice($B53*1,$J53+-0.02, $K53, $C53, ($I53-$B$1)/365, $G53, $H53, $D53) - BSPrice($B53,$J53, $K53, $C53, ($I53-$B$1)/365, $G53, $H53, $D53)) * $F53</f>
        <v/>
      </c>
      <c r="BO53" s="60">
        <f>(BSPrice($B53*1,$J53+0, $K53, $C53, ($I53-$B$1)/365, $G53, $H53, $D53) - BSPrice($B53,$J53, $K53, $C53, ($I53-$B$1)/365, $G53, $H53, $D53)) * $F53</f>
        <v/>
      </c>
      <c r="BP53" s="60">
        <f>(BSPrice($B53*1,$J53+0.02, $K53, $C53, ($I53-$B$1)/365, $G53, $H53, $D53) - BSPrice($B53,$J53, $K53, $C53, ($I53-$B$1)/365, $G53, $H53, $D53)) * $F53</f>
        <v/>
      </c>
      <c r="BQ53" s="60">
        <f>(BSPrice($B53*1,$J53+0.05, $K53, $C53, ($I53-$B$1)/365, $G53, $H53, $D53) - BSPrice($B53,$J53, $K53, $C53, ($I53-$B$1)/365, $G53, $H53, $D53)) * $F53</f>
        <v/>
      </c>
      <c r="BR53" s="60">
        <f>(BSPrice($B53*1,$J53+0.1, $K53, $C53, ($I53-$B$1)/365, $G53, $H53, $D53) - BSPrice($B53,$J53, $K53, $C53, ($I53-$B$1)/365, $G53, $H53, $D53)) * $F53</f>
        <v/>
      </c>
      <c r="BS53" s="60">
        <f>(BSPrice($B53*1,$J53+0.2, $K53, $C53, ($I53-$B$1)/365, $G53, $H53, $D53) - BSPrice($B53,$J53, $K53, $C53, ($I53-$B$1)/365, $G53, $H53, $D53)) * $F53</f>
        <v/>
      </c>
      <c r="BT53" s="60">
        <f>(BSPrice($B53*1.05,$J53+-0.05, $K53, $C53, ($I53-$B$1)/365, $G53, $H53, $D53) - BSPrice($B53,$J53, $K53, $C53, ($I53-$B$1)/365, $G53, $H53, $D53)) * $F53</f>
        <v/>
      </c>
      <c r="BU53" s="60">
        <f>(BSPrice($B53*1.05,$J53+-0.02, $K53, $C53, ($I53-$B$1)/365, $G53, $H53, $D53) - BSPrice($B53,$J53, $K53, $C53, ($I53-$B$1)/365, $G53, $H53, $D53)) * $F53</f>
        <v/>
      </c>
      <c r="BV53" s="60">
        <f>(BSPrice($B53*1.05,$J53+0, $K53, $C53, ($I53-$B$1)/365, $G53, $H53, $D53) - BSPrice($B53,$J53, $K53, $C53, ($I53-$B$1)/365, $G53, $H53, $D53)) * $F53</f>
        <v/>
      </c>
      <c r="BW53" s="60">
        <f>(BSPrice($B53*1.05,$J53+0.02, $K53, $C53, ($I53-$B$1)/365, $G53, $H53, $D53) - BSPrice($B53,$J53, $K53, $C53, ($I53-$B$1)/365, $G53, $H53, $D53)) * $F53</f>
        <v/>
      </c>
      <c r="BX53" s="60">
        <f>(BSPrice($B53*1.05,$J53+0.05, $K53, $C53, ($I53-$B$1)/365, $G53, $H53, $D53) - BSPrice($B53,$J53, $K53, $C53, ($I53-$B$1)/365, $G53, $H53, $D53)) * $F53</f>
        <v/>
      </c>
      <c r="BY53" s="60">
        <f>(BSPrice($B53*1.05,$J53+0.1, $K53, $C53, ($I53-$B$1)/365, $G53, $H53, $D53) - BSPrice($B53,$J53, $K53, $C53, ($I53-$B$1)/365, $G53, $H53, $D53)) * $F53</f>
        <v/>
      </c>
      <c r="BZ53" s="60">
        <f>(BSPrice($B53*1.05,$J53+0.2, $K53, $C53, ($I53-$B$1)/365, $G53, $H53, $D53) - BSPrice($B53,$J53, $K53, $C53, ($I53-$B$1)/365, $G53, $H53, $D53)) * $F53</f>
        <v/>
      </c>
      <c r="CA53" s="60">
        <f>(BSPrice($B53*1.1,$J53+-0.05, $K53, $C53, ($I53-$B$1)/365, $G53, $H53, $D53) - BSPrice($B53,$J53, $K53, $C53, ($I53-$B$1)/365, $G53, $H53, $D53)) * $F53</f>
        <v/>
      </c>
      <c r="CB53" s="60">
        <f>(BSPrice($B53*1.1,$J53+-0.02, $K53, $C53, ($I53-$B$1)/365, $G53, $H53, $D53) - BSPrice($B53,$J53, $K53, $C53, ($I53-$B$1)/365, $G53, $H53, $D53)) * $F53</f>
        <v/>
      </c>
      <c r="CC53" s="60">
        <f>(BSPrice($B53*1.1,$J53+0, $K53, $C53, ($I53-$B$1)/365, $G53, $H53, $D53) - BSPrice($B53,$J53, $K53, $C53, ($I53-$B$1)/365, $G53, $H53, $D53)) * $F53</f>
        <v/>
      </c>
      <c r="CD53" s="60">
        <f>(BSPrice($B53*1.1,$J53+0.02, $K53, $C53, ($I53-$B$1)/365, $G53, $H53, $D53) - BSPrice($B53,$J53, $K53, $C53, ($I53-$B$1)/365, $G53, $H53, $D53)) * $F53</f>
        <v/>
      </c>
      <c r="CE53" s="60">
        <f>(BSPrice($B53*1.1,$J53+0.05, $K53, $C53, ($I53-$B$1)/365, $G53, $H53, $D53) - BSPrice($B53,$J53, $K53, $C53, ($I53-$B$1)/365, $G53, $H53, $D53)) * $F53</f>
        <v/>
      </c>
      <c r="CF53" s="60">
        <f>(BSPrice($B53*1.1,$J53+0.1, $K53, $C53, ($I53-$B$1)/365, $G53, $H53, $D53) - BSPrice($B53,$J53, $K53, $C53, ($I53-$B$1)/365, $G53, $H53, $D53)) * $F53</f>
        <v/>
      </c>
      <c r="CG53" s="60">
        <f>(BSPrice($B53*1.1,$J53+0.2, $K53, $C53, ($I53-$B$1)/365, $G53, $H53, $D53) - BSPrice($B53,$J53, $K53, $C53, ($I53-$B$1)/365, $G53, $H53, $D53)) * $F53</f>
        <v/>
      </c>
      <c r="CH53" s="60">
        <f>(BSPrice($B53*1.2,$J53+-0.05, $K53, $C53, ($I53-$B$1)/365, $G53, $H53, $D53) - BSPrice($B53,$J53, $K53, $C53, ($I53-$B$1)/365, $G53, $H53, $D53)) * $F53</f>
        <v/>
      </c>
      <c r="CI53" s="60">
        <f>(BSPrice($B53*1.2,$J53+-0.02, $K53, $C53, ($I53-$B$1)/365, $G53, $H53, $D53) - BSPrice($B53,$J53, $K53, $C53, ($I53-$B$1)/365, $G53, $H53, $D53)) * $F53</f>
        <v/>
      </c>
      <c r="CJ53" s="60">
        <f>(BSPrice($B53*1.2,$J53+0, $K53, $C53, ($I53-$B$1)/365, $G53, $H53, $D53) - BSPrice($B53,$J53, $K53, $C53, ($I53-$B$1)/365, $G53, $H53, $D53)) * $F53</f>
        <v/>
      </c>
      <c r="CK53" s="60">
        <f>(BSPrice($B53*1.2,$J53+0.02, $K53, $C53, ($I53-$B$1)/365, $G53, $H53, $D53) - BSPrice($B53,$J53, $K53, $C53, ($I53-$B$1)/365, $G53, $H53, $D53)) * $F53</f>
        <v/>
      </c>
      <c r="CL53" s="60">
        <f>(BSPrice($B53*1.2,$J53+0.05, $K53, $C53, ($I53-$B$1)/365, $G53, $H53, $D53) - BSPrice($B53,$J53, $K53, $C53, ($I53-$B$1)/365, $G53, $H53, $D53)) * $F53</f>
        <v/>
      </c>
      <c r="CM53" s="60">
        <f>(BSPrice($B53*1.2,$J53+0.1, $K53, $C53, ($I53-$B$1)/365, $G53, $H53, $D53) - BSPrice($B53,$J53, $K53, $C53, ($I53-$B$1)/365, $G53, $H53, $D53)) * $F53</f>
        <v/>
      </c>
      <c r="CN53" s="60">
        <f>(BSPrice($B53*1.2,$J53+0.2, $K53, $C53, ($I53-$B$1)/365, $G53, $H53, $D53) - BSPrice($B53,$J53, $K53, $C53, ($I53-$B$1)/365, $G53, $H53, $D53)) * $F53</f>
        <v/>
      </c>
    </row>
    <row r="54">
      <c r="A54" s="3" t="inlineStr">
        <is>
          <t>SX5E Index</t>
        </is>
      </c>
      <c r="B54" s="4">
        <f>VLOOKUP(A54,PriceData!$K$4:$L$6,2,FALSE)</f>
        <v/>
      </c>
      <c r="C54" s="46">
        <f>VLOOKUP(A54,PriceData!$K$4:$M$6,3,FALSE)</f>
        <v/>
      </c>
      <c r="D54" s="4" t="inlineStr">
        <is>
          <t>Option</t>
        </is>
      </c>
      <c r="E54" s="4" t="inlineStr">
        <is>
          <t>EUR</t>
        </is>
      </c>
      <c r="F54" s="4" t="n">
        <v>-10</v>
      </c>
      <c r="G54" s="4" t="n">
        <v>2905</v>
      </c>
      <c r="H54" s="4" t="inlineStr">
        <is>
          <t>Put</t>
        </is>
      </c>
      <c r="I54" s="5" t="n">
        <v>40347</v>
      </c>
      <c r="J54" s="46">
        <f>FindImpliedVol(A54, D54, G54, I54)</f>
        <v/>
      </c>
      <c r="K54" s="30">
        <f>VLOOKUP(I54,PriceData!$A$5:$D$7,MATCH($E54,PriceData!$A$4:$D$4,0),FALSE)</f>
        <v/>
      </c>
      <c r="L54" s="2">
        <f>BSPrice($B54,$J54, $K54, $C54, ($I54-$B$1)/365, $G54, $H54, $D54)</f>
        <v/>
      </c>
      <c r="M54" s="2">
        <f>F54*L54</f>
        <v/>
      </c>
      <c r="N54" s="4" t="inlineStr">
        <is>
          <t>Exch</t>
        </is>
      </c>
      <c r="P54" s="60">
        <f>BSDelta(B54, J54, K54, C54, (I54-$B$1)/365, G54, H54, D54)</f>
        <v/>
      </c>
      <c r="Q54" s="60">
        <f>BSGamma(B54, J54, K54, C54, (I54-$B$1)/365, G54, D54)</f>
        <v/>
      </c>
      <c r="R54" s="58">
        <f>BSVega(B54, J54, K54, C54, (I54-$B$1)/365,G54, D54)</f>
        <v/>
      </c>
      <c r="S54" s="58">
        <f>BSVolga(B54, J54, K54, C54, (I54-$B$1)/365,G54, D54)</f>
        <v/>
      </c>
      <c r="T54" s="58">
        <f>BSVanna(B54,J54,K54, C54, (I54-$B$1)/365, G54, D54)</f>
        <v/>
      </c>
      <c r="U54" s="2">
        <f>BSRho(B54, J54, K54, C54, (I54-$B$1)/365, G54, H54, D54)</f>
        <v/>
      </c>
      <c r="V54" s="65">
        <f>$F54*$P54</f>
        <v/>
      </c>
      <c r="W54" s="65">
        <f>$F54*$Q54</f>
        <v/>
      </c>
      <c r="X54" s="78">
        <f>$F54*R54</f>
        <v/>
      </c>
      <c r="Y54" s="78">
        <f>$F54*S54</f>
        <v/>
      </c>
      <c r="Z54" s="78">
        <f>$F54*T54</f>
        <v/>
      </c>
      <c r="AA54" s="78">
        <f>$F54*U54</f>
        <v/>
      </c>
      <c r="AB54" s="78">
        <f>(BSPrice($B54*0.8,$J54, $K54, $C54, ($I54-$B$1)/365, $G54, $H54, $D54) - BSPrice($B54,$J54, $K54, $C54, ($I54-$B$1)/365, $G54, $H54, $D54)) * $F54</f>
        <v/>
      </c>
      <c r="AC54" s="78">
        <f>(BSPrice($B54*0.9,$J54, $K54, $C54, ($I54-$B$1)/365, $G54, $H54, $D54) - BSPrice($B54,$J54, $K54, $C54, ($I54-$B$1)/365, $G54, $H54, $D54)) * $F54</f>
        <v/>
      </c>
      <c r="AD54" s="78">
        <f>(BSPrice($B54*0.95,$J54, $K54, $C54, ($I54-$B$1)/365, $G54, $H54, $D54) - BSPrice($B54,$J54, $K54, $C54, ($I54-$B$1)/365, $G54, $H54, $D54)) * $F54</f>
        <v/>
      </c>
      <c r="AE54" s="78">
        <f>(BSPrice($B54*0.98,$J54, $K54, $C54, ($I54-$B$1)/365, $G54, $H54, $D54) - BSPrice($B54,$J54, $K54, $C54, ($I54-$B$1)/365, $G54, $H54, $D54)) * $F54</f>
        <v/>
      </c>
      <c r="AF54" s="78">
        <f>(BSPrice($B54*1.02,$J54, $K54, $C54, ($I54-$B$1)/365, $G54, $H54, $D54) - BSPrice($B54,$J54, $K54, $C54, ($I54-$B$1)/365, $G54, $H54, $D54)) * $F54</f>
        <v/>
      </c>
      <c r="AG54" s="78">
        <f>(BSPrice($B54*1.05,$J54, $K54, $C54, ($I54-$B$1)/365, $G54, $H54, $D54) - BSPrice($B54,$J54, $K54, $C54, ($I54-$B$1)/365, $G54, $H54, $D54)) * $F54</f>
        <v/>
      </c>
      <c r="AH54" s="78">
        <f>(BSPrice($B54*1.1,$J54, $K54, $C54, ($I54-$B$1)/365, $G54, $H54, $D54) - BSPrice($B54,$J54, $K54, $C54, ($I54-$B$1)/365, $G54, $H54, $D54)) * $F54</f>
        <v/>
      </c>
      <c r="AI54" s="78">
        <f>(BSPrice($B54*1.2,$J54, $K54, $C54, ($I54-$B$1)/365, $G54, $H54, $D54) - BSPrice($B54,$J54, $K54, $C54, ($I54-$B$1)/365, $G54, $H54, $D54)) * $F54</f>
        <v/>
      </c>
      <c r="AJ54" s="78">
        <f>(BSPrice($B54,$J54-0.1, $K54, $C54, ($I54-$B$1)/365, $G54, $H54, $D54) - BSPrice($B54,$J54, $K54, $C54, ($I54-$B$1)/365, $G54, $H54, $D54)) * $F54</f>
        <v/>
      </c>
      <c r="AK54" s="78">
        <f>(BSPrice($B54,$J54-0.05,$K54,$C54,($I54-$B$1)/365,$G54,$H54,$D54)-BSPrice($B54,$J54,$K54,$C54,($I54-$B$1)/365,$G54,$H54,$D54))*$F54</f>
        <v/>
      </c>
      <c r="AL54" s="78">
        <f>(BSPrice($B54,$J54-0.02, $K54, $C54, ($I54-$B$1)/365, $G54, $H54, $D54) - BSPrice($B54,$J54, $K54, $C54, ($I54-$B$1)/365, $G54, $H54, $D54)) * $F54</f>
        <v/>
      </c>
      <c r="AM54" s="78">
        <f>(BSPrice($B54,$J54-0.01, $K54, $C54, ($I54-$B$1)/365, $G54, $H54, $D54) - BSPrice($B54,$J54, $K54, $C54, ($I54-$B$1)/365, $G54, $H54, $D54)) * $F54</f>
        <v/>
      </c>
      <c r="AN54" s="78">
        <f>(BSPrice($B54,$J54+0.01, $K54, $C54, ($I54-$B$1)/365, $G54, $H54, $D54) - BSPrice($B54,$J54, $K54, $C54, ($I54-$B$1)/365, $G54, $H54, $D54)) * $F54</f>
        <v/>
      </c>
      <c r="AO54" s="78">
        <f>(BSPrice($B54,$J54+0.02, $K54, $C54, ($I54-$B$1)/365, $G54, $H54, $D54) - BSPrice($B54,$J54, $K54, $C54, ($I54-$B$1)/365, $G54, $H54, $D54)) * $F54</f>
        <v/>
      </c>
      <c r="AP54" s="78">
        <f>(BSPrice($B54,$J54+0.05, $K54, $C54, ($I54-$B$1)/365, $G54, $H54, $D54) - BSPrice($B54,$J54, $K54, $C54, ($I54-$B$1)/365, $G54, $H54, $D54)) * $F54</f>
        <v/>
      </c>
      <c r="AQ54" s="78">
        <f>(BSPrice($B54,$J54+0.1, $K54, $C54, ($I54-$B$1)/365, $G54, $H54, $D54) - BSPrice($B54,$J54, $K54, $C54, ($I54-$B$1)/365, $G54, $H54, $D54)) * $F54</f>
        <v/>
      </c>
      <c r="AR54" s="60">
        <f>(BSPrice($B54*0.8,$J54+-0.05, $K54, $C54, ($I54-$B$1)/365, $G54, $H54, $D54) - BSPrice($B54,$J54, $K54, $C54, ($I54-$B$1)/365, $G54, $H54, $D54)) * $F54</f>
        <v/>
      </c>
      <c r="AS54" s="60">
        <f>(BSPrice($B54*0.8,$J54+-0.02, $K54, $C54, ($I54-$B$1)/365, $G54, $H54, $D54) - BSPrice($B54,$J54, $K54, $C54, ($I54-$B$1)/365, $G54, $H54, $D54)) * $F54</f>
        <v/>
      </c>
      <c r="AT54" s="60">
        <f>(BSPrice($B54*0.8,$J54+0, $K54, $C54, ($I54-$B$1)/365, $G54, $H54, $D54) - BSPrice($B54,$J54, $K54, $C54, ($I54-$B$1)/365, $G54, $H54, $D54)) * $F54</f>
        <v/>
      </c>
      <c r="AU54" s="60">
        <f>(BSPrice($B54*0.8,$J54+0.02, $K54, $C54, ($I54-$B$1)/365, $G54, $H54, $D54) - BSPrice($B54,$J54, $K54, $C54, ($I54-$B$1)/365, $G54, $H54, $D54)) * $F54</f>
        <v/>
      </c>
      <c r="AV54" s="60">
        <f>(BSPrice($B54*0.8,$J54+0.05, $K54, $C54, ($I54-$B$1)/365, $G54, $H54, $D54) - BSPrice($B54,$J54, $K54, $C54, ($I54-$B$1)/365, $G54, $H54, $D54)) * $F54</f>
        <v/>
      </c>
      <c r="AW54" s="60">
        <f>(BSPrice($B54*0.8,$J54+0.1, $K54, $C54, ($I54-$B$1)/365, $G54, $H54, $D54) - BSPrice($B54,$J54, $K54, $C54, ($I54-$B$1)/365, $G54, $H54, $D54)) * $F54</f>
        <v/>
      </c>
      <c r="AX54" s="60">
        <f>(BSPrice($B54*0.8,$J54+0.2, $K54, $C54, ($I54-$B$1)/365, $G54, $H54, $D54) - BSPrice($B54,$J54, $K54, $C54, ($I54-$B$1)/365, $G54, $H54, $D54)) * $F54</f>
        <v/>
      </c>
      <c r="AY54" s="60">
        <f>(BSPrice($B54*0.9,$J54+-0.05, $K54, $C54, ($I54-$B$1)/365, $G54, $H54, $D54) - BSPrice($B54,$J54, $K54, $C54, ($I54-$B$1)/365, $G54, $H54, $D54)) * $F54</f>
        <v/>
      </c>
      <c r="AZ54" s="60">
        <f>(BSPrice($B54*0.9,$J54+-0.02, $K54, $C54, ($I54-$B$1)/365, $G54, $H54, $D54) - BSPrice($B54,$J54, $K54, $C54, ($I54-$B$1)/365, $G54, $H54, $D54)) * $F54</f>
        <v/>
      </c>
      <c r="BA54" s="60">
        <f>(BSPrice($B54*0.9,$J54+0, $K54, $C54, ($I54-$B$1)/365, $G54, $H54, $D54) - BSPrice($B54,$J54, $K54, $C54, ($I54-$B$1)/365, $G54, $H54, $D54)) * $F54</f>
        <v/>
      </c>
      <c r="BB54" s="60">
        <f>(BSPrice($B54*0.9,$J54+0.02, $K54, $C54, ($I54-$B$1)/365, $G54, $H54, $D54) - BSPrice($B54,$J54, $K54, $C54, ($I54-$B$1)/365, $G54, $H54, $D54)) * $F54</f>
        <v/>
      </c>
      <c r="BC54" s="60">
        <f>(BSPrice($B54*0.9,$J54+0.05, $K54, $C54, ($I54-$B$1)/365, $G54, $H54, $D54) - BSPrice($B54,$J54, $K54, $C54, ($I54-$B$1)/365, $G54, $H54, $D54)) * $F54</f>
        <v/>
      </c>
      <c r="BD54" s="60">
        <f>(BSPrice($B54*0.9,$J54+0.1, $K54, $C54, ($I54-$B$1)/365, $G54, $H54, $D54) - BSPrice($B54,$J54, $K54, $C54, ($I54-$B$1)/365, $G54, $H54, $D54)) * $F54</f>
        <v/>
      </c>
      <c r="BE54" s="60">
        <f>(BSPrice($B54*0.9,$J54+0.2, $K54, $C54, ($I54-$B$1)/365, $G54, $H54, $D54) - BSPrice($B54,$J54, $K54, $C54, ($I54-$B$1)/365, $G54, $H54, $D54)) * $F54</f>
        <v/>
      </c>
      <c r="BF54" s="60">
        <f>(BSPrice($B54*0.95,$J54+-0.05, $K54, $C54, ($I54-$B$1)/365, $G54, $H54, $D54) - BSPrice($B54,$J54, $K54, $C54, ($I54-$B$1)/365, $G54, $H54, $D54)) * $F54</f>
        <v/>
      </c>
      <c r="BG54" s="60">
        <f>(BSPrice($B54*0.95,$J54+-0.02, $K54, $C54, ($I54-$B$1)/365, $G54, $H54, $D54) - BSPrice($B54,$J54, $K54, $C54, ($I54-$B$1)/365, $G54, $H54, $D54)) * $F54</f>
        <v/>
      </c>
      <c r="BH54" s="60">
        <f>(BSPrice($B54*0.95,$J54+0, $K54, $C54, ($I54-$B$1)/365, $G54, $H54, $D54) - BSPrice($B54,$J54, $K54, $C54, ($I54-$B$1)/365, $G54, $H54, $D54)) * $F54</f>
        <v/>
      </c>
      <c r="BI54" s="60">
        <f>(BSPrice($B54*0.95,$J54+0.02, $K54, $C54, ($I54-$B$1)/365, $G54, $H54, $D54) - BSPrice($B54,$J54, $K54, $C54, ($I54-$B$1)/365, $G54, $H54, $D54)) * $F54</f>
        <v/>
      </c>
      <c r="BJ54" s="60">
        <f>(BSPrice($B54*0.95,$J54+0.05, $K54, $C54, ($I54-$B$1)/365, $G54, $H54, $D54) - BSPrice($B54,$J54, $K54, $C54, ($I54-$B$1)/365, $G54, $H54, $D54)) * $F54</f>
        <v/>
      </c>
      <c r="BK54" s="60">
        <f>(BSPrice($B54*0.95,$J54+0.1, $K54, $C54, ($I54-$B$1)/365, $G54, $H54, $D54) - BSPrice($B54,$J54, $K54, $C54, ($I54-$B$1)/365, $G54, $H54, $D54)) * $F54</f>
        <v/>
      </c>
      <c r="BL54" s="60">
        <f>(BSPrice($B54*0.95,$J54+0.2, $K54, $C54, ($I54-$B$1)/365, $G54, $H54, $D54) - BSPrice($B54,$J54, $K54, $C54, ($I54-$B$1)/365, $G54, $H54, $D54)) * $F54</f>
        <v/>
      </c>
      <c r="BM54" s="60">
        <f>(BSPrice($B54*1,$J54+-0.05, $K54, $C54, ($I54-$B$1)/365, $G54, $H54, $D54) - BSPrice($B54,$J54, $K54, $C54, ($I54-$B$1)/365, $G54, $H54, $D54)) * $F54</f>
        <v/>
      </c>
      <c r="BN54" s="60">
        <f>(BSPrice($B54*1,$J54+-0.02, $K54, $C54, ($I54-$B$1)/365, $G54, $H54, $D54) - BSPrice($B54,$J54, $K54, $C54, ($I54-$B$1)/365, $G54, $H54, $D54)) * $F54</f>
        <v/>
      </c>
      <c r="BO54" s="60">
        <f>(BSPrice($B54*1,$J54+0, $K54, $C54, ($I54-$B$1)/365, $G54, $H54, $D54) - BSPrice($B54,$J54, $K54, $C54, ($I54-$B$1)/365, $G54, $H54, $D54)) * $F54</f>
        <v/>
      </c>
      <c r="BP54" s="60">
        <f>(BSPrice($B54*1,$J54+0.02, $K54, $C54, ($I54-$B$1)/365, $G54, $H54, $D54) - BSPrice($B54,$J54, $K54, $C54, ($I54-$B$1)/365, $G54, $H54, $D54)) * $F54</f>
        <v/>
      </c>
      <c r="BQ54" s="60">
        <f>(BSPrice($B54*1,$J54+0.05, $K54, $C54, ($I54-$B$1)/365, $G54, $H54, $D54) - BSPrice($B54,$J54, $K54, $C54, ($I54-$B$1)/365, $G54, $H54, $D54)) * $F54</f>
        <v/>
      </c>
      <c r="BR54" s="60">
        <f>(BSPrice($B54*1,$J54+0.1, $K54, $C54, ($I54-$B$1)/365, $G54, $H54, $D54) - BSPrice($B54,$J54, $K54, $C54, ($I54-$B$1)/365, $G54, $H54, $D54)) * $F54</f>
        <v/>
      </c>
      <c r="BS54" s="60">
        <f>(BSPrice($B54*1,$J54+0.2, $K54, $C54, ($I54-$B$1)/365, $G54, $H54, $D54) - BSPrice($B54,$J54, $K54, $C54, ($I54-$B$1)/365, $G54, $H54, $D54)) * $F54</f>
        <v/>
      </c>
      <c r="BT54" s="60">
        <f>(BSPrice($B54*1.05,$J54+-0.05, $K54, $C54, ($I54-$B$1)/365, $G54, $H54, $D54) - BSPrice($B54,$J54, $K54, $C54, ($I54-$B$1)/365, $G54, $H54, $D54)) * $F54</f>
        <v/>
      </c>
      <c r="BU54" s="60">
        <f>(BSPrice($B54*1.05,$J54+-0.02, $K54, $C54, ($I54-$B$1)/365, $G54, $H54, $D54) - BSPrice($B54,$J54, $K54, $C54, ($I54-$B$1)/365, $G54, $H54, $D54)) * $F54</f>
        <v/>
      </c>
      <c r="BV54" s="60">
        <f>(BSPrice($B54*1.05,$J54+0, $K54, $C54, ($I54-$B$1)/365, $G54, $H54, $D54) - BSPrice($B54,$J54, $K54, $C54, ($I54-$B$1)/365, $G54, $H54, $D54)) * $F54</f>
        <v/>
      </c>
      <c r="BW54" s="60">
        <f>(BSPrice($B54*1.05,$J54+0.02, $K54, $C54, ($I54-$B$1)/365, $G54, $H54, $D54) - BSPrice($B54,$J54, $K54, $C54, ($I54-$B$1)/365, $G54, $H54, $D54)) * $F54</f>
        <v/>
      </c>
      <c r="BX54" s="60">
        <f>(BSPrice($B54*1.05,$J54+0.05, $K54, $C54, ($I54-$B$1)/365, $G54, $H54, $D54) - BSPrice($B54,$J54, $K54, $C54, ($I54-$B$1)/365, $G54, $H54, $D54)) * $F54</f>
        <v/>
      </c>
      <c r="BY54" s="60">
        <f>(BSPrice($B54*1.05,$J54+0.1, $K54, $C54, ($I54-$B$1)/365, $G54, $H54, $D54) - BSPrice($B54,$J54, $K54, $C54, ($I54-$B$1)/365, $G54, $H54, $D54)) * $F54</f>
        <v/>
      </c>
      <c r="BZ54" s="60">
        <f>(BSPrice($B54*1.05,$J54+0.2, $K54, $C54, ($I54-$B$1)/365, $G54, $H54, $D54) - BSPrice($B54,$J54, $K54, $C54, ($I54-$B$1)/365, $G54, $H54, $D54)) * $F54</f>
        <v/>
      </c>
      <c r="CA54" s="60">
        <f>(BSPrice($B54*1.1,$J54+-0.05, $K54, $C54, ($I54-$B$1)/365, $G54, $H54, $D54) - BSPrice($B54,$J54, $K54, $C54, ($I54-$B$1)/365, $G54, $H54, $D54)) * $F54</f>
        <v/>
      </c>
      <c r="CB54" s="60">
        <f>(BSPrice($B54*1.1,$J54+-0.02, $K54, $C54, ($I54-$B$1)/365, $G54, $H54, $D54) - BSPrice($B54,$J54, $K54, $C54, ($I54-$B$1)/365, $G54, $H54, $D54)) * $F54</f>
        <v/>
      </c>
      <c r="CC54" s="60">
        <f>(BSPrice($B54*1.1,$J54+0, $K54, $C54, ($I54-$B$1)/365, $G54, $H54, $D54) - BSPrice($B54,$J54, $K54, $C54, ($I54-$B$1)/365, $G54, $H54, $D54)) * $F54</f>
        <v/>
      </c>
      <c r="CD54" s="60">
        <f>(BSPrice($B54*1.1,$J54+0.02, $K54, $C54, ($I54-$B$1)/365, $G54, $H54, $D54) - BSPrice($B54,$J54, $K54, $C54, ($I54-$B$1)/365, $G54, $H54, $D54)) * $F54</f>
        <v/>
      </c>
      <c r="CE54" s="60">
        <f>(BSPrice($B54*1.1,$J54+0.05, $K54, $C54, ($I54-$B$1)/365, $G54, $H54, $D54) - BSPrice($B54,$J54, $K54, $C54, ($I54-$B$1)/365, $G54, $H54, $D54)) * $F54</f>
        <v/>
      </c>
      <c r="CF54" s="60">
        <f>(BSPrice($B54*1.1,$J54+0.1, $K54, $C54, ($I54-$B$1)/365, $G54, $H54, $D54) - BSPrice($B54,$J54, $K54, $C54, ($I54-$B$1)/365, $G54, $H54, $D54)) * $F54</f>
        <v/>
      </c>
      <c r="CG54" s="60">
        <f>(BSPrice($B54*1.1,$J54+0.2, $K54, $C54, ($I54-$B$1)/365, $G54, $H54, $D54) - BSPrice($B54,$J54, $K54, $C54, ($I54-$B$1)/365, $G54, $H54, $D54)) * $F54</f>
        <v/>
      </c>
      <c r="CH54" s="60">
        <f>(BSPrice($B54*1.2,$J54+-0.05, $K54, $C54, ($I54-$B$1)/365, $G54, $H54, $D54) - BSPrice($B54,$J54, $K54, $C54, ($I54-$B$1)/365, $G54, $H54, $D54)) * $F54</f>
        <v/>
      </c>
      <c r="CI54" s="60">
        <f>(BSPrice($B54*1.2,$J54+-0.02, $K54, $C54, ($I54-$B$1)/365, $G54, $H54, $D54) - BSPrice($B54,$J54, $K54, $C54, ($I54-$B$1)/365, $G54, $H54, $D54)) * $F54</f>
        <v/>
      </c>
      <c r="CJ54" s="60">
        <f>(BSPrice($B54*1.2,$J54+0, $K54, $C54, ($I54-$B$1)/365, $G54, $H54, $D54) - BSPrice($B54,$J54, $K54, $C54, ($I54-$B$1)/365, $G54, $H54, $D54)) * $F54</f>
        <v/>
      </c>
      <c r="CK54" s="60">
        <f>(BSPrice($B54*1.2,$J54+0.02, $K54, $C54, ($I54-$B$1)/365, $G54, $H54, $D54) - BSPrice($B54,$J54, $K54, $C54, ($I54-$B$1)/365, $G54, $H54, $D54)) * $F54</f>
        <v/>
      </c>
      <c r="CL54" s="60">
        <f>(BSPrice($B54*1.2,$J54+0.05, $K54, $C54, ($I54-$B$1)/365, $G54, $H54, $D54) - BSPrice($B54,$J54, $K54, $C54, ($I54-$B$1)/365, $G54, $H54, $D54)) * $F54</f>
        <v/>
      </c>
      <c r="CM54" s="60">
        <f>(BSPrice($B54*1.2,$J54+0.1, $K54, $C54, ($I54-$B$1)/365, $G54, $H54, $D54) - BSPrice($B54,$J54, $K54, $C54, ($I54-$B$1)/365, $G54, $H54, $D54)) * $F54</f>
        <v/>
      </c>
      <c r="CN54" s="60">
        <f>(BSPrice($B54*1.2,$J54+0.2, $K54, $C54, ($I54-$B$1)/365, $G54, $H54, $D54) - BSPrice($B54,$J54, $K54, $C54, ($I54-$B$1)/365, $G54, $H54, $D54)) * $F54</f>
        <v/>
      </c>
    </row>
    <row r="55">
      <c r="A55" s="3" t="inlineStr">
        <is>
          <t>SX5E Index</t>
        </is>
      </c>
      <c r="B55" s="4">
        <f>VLOOKUP(A55,PriceData!$K$4:$L$6,2,FALSE)</f>
        <v/>
      </c>
      <c r="C55" s="46">
        <f>VLOOKUP(A55,PriceData!$K$4:$M$6,3,FALSE)</f>
        <v/>
      </c>
      <c r="D55" s="4" t="inlineStr">
        <is>
          <t>Option</t>
        </is>
      </c>
      <c r="E55" s="4" t="inlineStr">
        <is>
          <t>EUR</t>
        </is>
      </c>
      <c r="F55" s="4" t="n">
        <v>20</v>
      </c>
      <c r="G55" s="4" t="n">
        <v>3428</v>
      </c>
      <c r="H55" s="4" t="inlineStr">
        <is>
          <t>Call</t>
        </is>
      </c>
      <c r="I55" s="5" t="n">
        <v>40347</v>
      </c>
      <c r="J55" s="46">
        <f>FindImpliedVol(A55, D55, G55, I55)</f>
        <v/>
      </c>
      <c r="K55" s="30">
        <f>VLOOKUP(I55,PriceData!$A$5:$D$7,MATCH($E55,PriceData!$A$4:$D$4,0),FALSE)</f>
        <v/>
      </c>
      <c r="L55" s="2">
        <f>BSPrice($B55,$J55, $K55, $C55, ($I55-$B$1)/365, $G55, $H55, $D55)</f>
        <v/>
      </c>
      <c r="M55" s="2">
        <f>F55*L55</f>
        <v/>
      </c>
      <c r="N55" s="4" t="inlineStr">
        <is>
          <t>Exch</t>
        </is>
      </c>
      <c r="P55" s="60">
        <f>BSDelta(B55, J55, K55, C55, (I55-$B$1)/365, G55, H55, D55)</f>
        <v/>
      </c>
      <c r="Q55" s="60">
        <f>BSGamma(B55, J55, K55, C55, (I55-$B$1)/365, G55, D55)</f>
        <v/>
      </c>
      <c r="R55" s="58">
        <f>BSVega(B55, J55, K55, C55, (I55-$B$1)/365,G55, D55)</f>
        <v/>
      </c>
      <c r="S55" s="58">
        <f>BSVolga(B55, J55, K55, C55, (I55-$B$1)/365,G55, D55)</f>
        <v/>
      </c>
      <c r="T55" s="58">
        <f>BSVanna(B55,J55,K55, C55, (I55-$B$1)/365, G55, D55)</f>
        <v/>
      </c>
      <c r="U55" s="2">
        <f>BSRho(B55, J55, K55, C55, (I55-$B$1)/365, G55, H55, D55)</f>
        <v/>
      </c>
      <c r="V55" s="65">
        <f>$F55*$P55</f>
        <v/>
      </c>
      <c r="W55" s="65">
        <f>$F55*$Q55</f>
        <v/>
      </c>
      <c r="X55" s="78">
        <f>$F55*R55</f>
        <v/>
      </c>
      <c r="Y55" s="78">
        <f>$F55*S55</f>
        <v/>
      </c>
      <c r="Z55" s="78">
        <f>$F55*T55</f>
        <v/>
      </c>
      <c r="AA55" s="78">
        <f>$F55*U55</f>
        <v/>
      </c>
      <c r="AB55" s="78">
        <f>(BSPrice($B55*0.8,$J55, $K55, $C55, ($I55-$B$1)/365, $G55, $H55, $D55) - BSPrice($B55,$J55, $K55, $C55, ($I55-$B$1)/365, $G55, $H55, $D55)) * $F55</f>
        <v/>
      </c>
      <c r="AC55" s="78">
        <f>(BSPrice($B55*0.9,$J55, $K55, $C55, ($I55-$B$1)/365, $G55, $H55, $D55) - BSPrice($B55,$J55, $K55, $C55, ($I55-$B$1)/365, $G55, $H55, $D55)) * $F55</f>
        <v/>
      </c>
      <c r="AD55" s="78">
        <f>(BSPrice($B55*0.95,$J55, $K55, $C55, ($I55-$B$1)/365, $G55, $H55, $D55) - BSPrice($B55,$J55, $K55, $C55, ($I55-$B$1)/365, $G55, $H55, $D55)) * $F55</f>
        <v/>
      </c>
      <c r="AE55" s="78">
        <f>(BSPrice($B55*0.98,$J55, $K55, $C55, ($I55-$B$1)/365, $G55, $H55, $D55) - BSPrice($B55,$J55, $K55, $C55, ($I55-$B$1)/365, $G55, $H55, $D55)) * $F55</f>
        <v/>
      </c>
      <c r="AF55" s="78">
        <f>(BSPrice($B55*1.02,$J55, $K55, $C55, ($I55-$B$1)/365, $G55, $H55, $D55) - BSPrice($B55,$J55, $K55, $C55, ($I55-$B$1)/365, $G55, $H55, $D55)) * $F55</f>
        <v/>
      </c>
      <c r="AG55" s="78">
        <f>(BSPrice($B55*1.05,$J55, $K55, $C55, ($I55-$B$1)/365, $G55, $H55, $D55) - BSPrice($B55,$J55, $K55, $C55, ($I55-$B$1)/365, $G55, $H55, $D55)) * $F55</f>
        <v/>
      </c>
      <c r="AH55" s="78">
        <f>(BSPrice($B55*1.1,$J55, $K55, $C55, ($I55-$B$1)/365, $G55, $H55, $D55) - BSPrice($B55,$J55, $K55, $C55, ($I55-$B$1)/365, $G55, $H55, $D55)) * $F55</f>
        <v/>
      </c>
      <c r="AI55" s="78">
        <f>(BSPrice($B55*1.2,$J55, $K55, $C55, ($I55-$B$1)/365, $G55, $H55, $D55) - BSPrice($B55,$J55, $K55, $C55, ($I55-$B$1)/365, $G55, $H55, $D55)) * $F55</f>
        <v/>
      </c>
      <c r="AJ55" s="78">
        <f>(BSPrice($B55,$J55-0.1, $K55, $C55, ($I55-$B$1)/365, $G55, $H55, $D55) - BSPrice($B55,$J55, $K55, $C55, ($I55-$B$1)/365, $G55, $H55, $D55)) * $F55</f>
        <v/>
      </c>
      <c r="AK55" s="78">
        <f>(BSPrice($B55,$J55-0.05,$K55,$C55,($I55-$B$1)/365,$G55,$H55,$D55)-BSPrice($B55,$J55,$K55,$C55,($I55-$B$1)/365,$G55,$H55,$D55))*$F55</f>
        <v/>
      </c>
      <c r="AL55" s="78">
        <f>(BSPrice($B55,$J55-0.02, $K55, $C55, ($I55-$B$1)/365, $G55, $H55, $D55) - BSPrice($B55,$J55, $K55, $C55, ($I55-$B$1)/365, $G55, $H55, $D55)) * $F55</f>
        <v/>
      </c>
      <c r="AM55" s="78">
        <f>(BSPrice($B55,$J55-0.01, $K55, $C55, ($I55-$B$1)/365, $G55, $H55, $D55) - BSPrice($B55,$J55, $K55, $C55, ($I55-$B$1)/365, $G55, $H55, $D55)) * $F55</f>
        <v/>
      </c>
      <c r="AN55" s="78">
        <f>(BSPrice($B55,$J55+0.01, $K55, $C55, ($I55-$B$1)/365, $G55, $H55, $D55) - BSPrice($B55,$J55, $K55, $C55, ($I55-$B$1)/365, $G55, $H55, $D55)) * $F55</f>
        <v/>
      </c>
      <c r="AO55" s="78">
        <f>(BSPrice($B55,$J55+0.02, $K55, $C55, ($I55-$B$1)/365, $G55, $H55, $D55) - BSPrice($B55,$J55, $K55, $C55, ($I55-$B$1)/365, $G55, $H55, $D55)) * $F55</f>
        <v/>
      </c>
      <c r="AP55" s="78">
        <f>(BSPrice($B55,$J55+0.05, $K55, $C55, ($I55-$B$1)/365, $G55, $H55, $D55) - BSPrice($B55,$J55, $K55, $C55, ($I55-$B$1)/365, $G55, $H55, $D55)) * $F55</f>
        <v/>
      </c>
      <c r="AQ55" s="78">
        <f>(BSPrice($B55,$J55+0.1, $K55, $C55, ($I55-$B$1)/365, $G55, $H55, $D55) - BSPrice($B55,$J55, $K55, $C55, ($I55-$B$1)/365, $G55, $H55, $D55)) * $F55</f>
        <v/>
      </c>
      <c r="AR55" s="60">
        <f>(BSPrice($B55*0.8,$J55+-0.05, $K55, $C55, ($I55-$B$1)/365, $G55, $H55, $D55) - BSPrice($B55,$J55, $K55, $C55, ($I55-$B$1)/365, $G55, $H55, $D55)) * $F55</f>
        <v/>
      </c>
      <c r="AS55" s="60">
        <f>(BSPrice($B55*0.8,$J55+-0.02, $K55, $C55, ($I55-$B$1)/365, $G55, $H55, $D55) - BSPrice($B55,$J55, $K55, $C55, ($I55-$B$1)/365, $G55, $H55, $D55)) * $F55</f>
        <v/>
      </c>
      <c r="AT55" s="60">
        <f>(BSPrice($B55*0.8,$J55+0, $K55, $C55, ($I55-$B$1)/365, $G55, $H55, $D55) - BSPrice($B55,$J55, $K55, $C55, ($I55-$B$1)/365, $G55, $H55, $D55)) * $F55</f>
        <v/>
      </c>
      <c r="AU55" s="60">
        <f>(BSPrice($B55*0.8,$J55+0.02, $K55, $C55, ($I55-$B$1)/365, $G55, $H55, $D55) - BSPrice($B55,$J55, $K55, $C55, ($I55-$B$1)/365, $G55, $H55, $D55)) * $F55</f>
        <v/>
      </c>
      <c r="AV55" s="60">
        <f>(BSPrice($B55*0.8,$J55+0.05, $K55, $C55, ($I55-$B$1)/365, $G55, $H55, $D55) - BSPrice($B55,$J55, $K55, $C55, ($I55-$B$1)/365, $G55, $H55, $D55)) * $F55</f>
        <v/>
      </c>
      <c r="AW55" s="60">
        <f>(BSPrice($B55*0.8,$J55+0.1, $K55, $C55, ($I55-$B$1)/365, $G55, $H55, $D55) - BSPrice($B55,$J55, $K55, $C55, ($I55-$B$1)/365, $G55, $H55, $D55)) * $F55</f>
        <v/>
      </c>
      <c r="AX55" s="60">
        <f>(BSPrice($B55*0.8,$J55+0.2, $K55, $C55, ($I55-$B$1)/365, $G55, $H55, $D55) - BSPrice($B55,$J55, $K55, $C55, ($I55-$B$1)/365, $G55, $H55, $D55)) * $F55</f>
        <v/>
      </c>
      <c r="AY55" s="60">
        <f>(BSPrice($B55*0.9,$J55+-0.05, $K55, $C55, ($I55-$B$1)/365, $G55, $H55, $D55) - BSPrice($B55,$J55, $K55, $C55, ($I55-$B$1)/365, $G55, $H55, $D55)) * $F55</f>
        <v/>
      </c>
      <c r="AZ55" s="60">
        <f>(BSPrice($B55*0.9,$J55+-0.02, $K55, $C55, ($I55-$B$1)/365, $G55, $H55, $D55) - BSPrice($B55,$J55, $K55, $C55, ($I55-$B$1)/365, $G55, $H55, $D55)) * $F55</f>
        <v/>
      </c>
      <c r="BA55" s="60">
        <f>(BSPrice($B55*0.9,$J55+0, $K55, $C55, ($I55-$B$1)/365, $G55, $H55, $D55) - BSPrice($B55,$J55, $K55, $C55, ($I55-$B$1)/365, $G55, $H55, $D55)) * $F55</f>
        <v/>
      </c>
      <c r="BB55" s="60">
        <f>(BSPrice($B55*0.9,$J55+0.02, $K55, $C55, ($I55-$B$1)/365, $G55, $H55, $D55) - BSPrice($B55,$J55, $K55, $C55, ($I55-$B$1)/365, $G55, $H55, $D55)) * $F55</f>
        <v/>
      </c>
      <c r="BC55" s="60">
        <f>(BSPrice($B55*0.9,$J55+0.05, $K55, $C55, ($I55-$B$1)/365, $G55, $H55, $D55) - BSPrice($B55,$J55, $K55, $C55, ($I55-$B$1)/365, $G55, $H55, $D55)) * $F55</f>
        <v/>
      </c>
      <c r="BD55" s="60">
        <f>(BSPrice($B55*0.9,$J55+0.1, $K55, $C55, ($I55-$B$1)/365, $G55, $H55, $D55) - BSPrice($B55,$J55, $K55, $C55, ($I55-$B$1)/365, $G55, $H55, $D55)) * $F55</f>
        <v/>
      </c>
      <c r="BE55" s="60">
        <f>(BSPrice($B55*0.9,$J55+0.2, $K55, $C55, ($I55-$B$1)/365, $G55, $H55, $D55) - BSPrice($B55,$J55, $K55, $C55, ($I55-$B$1)/365, $G55, $H55, $D55)) * $F55</f>
        <v/>
      </c>
      <c r="BF55" s="60">
        <f>(BSPrice($B55*0.95,$J55+-0.05, $K55, $C55, ($I55-$B$1)/365, $G55, $H55, $D55) - BSPrice($B55,$J55, $K55, $C55, ($I55-$B$1)/365, $G55, $H55, $D55)) * $F55</f>
        <v/>
      </c>
      <c r="BG55" s="60">
        <f>(BSPrice($B55*0.95,$J55+-0.02, $K55, $C55, ($I55-$B$1)/365, $G55, $H55, $D55) - BSPrice($B55,$J55, $K55, $C55, ($I55-$B$1)/365, $G55, $H55, $D55)) * $F55</f>
        <v/>
      </c>
      <c r="BH55" s="60">
        <f>(BSPrice($B55*0.95,$J55+0, $K55, $C55, ($I55-$B$1)/365, $G55, $H55, $D55) - BSPrice($B55,$J55, $K55, $C55, ($I55-$B$1)/365, $G55, $H55, $D55)) * $F55</f>
        <v/>
      </c>
      <c r="BI55" s="60">
        <f>(BSPrice($B55*0.95,$J55+0.02, $K55, $C55, ($I55-$B$1)/365, $G55, $H55, $D55) - BSPrice($B55,$J55, $K55, $C55, ($I55-$B$1)/365, $G55, $H55, $D55)) * $F55</f>
        <v/>
      </c>
      <c r="BJ55" s="60">
        <f>(BSPrice($B55*0.95,$J55+0.05, $K55, $C55, ($I55-$B$1)/365, $G55, $H55, $D55) - BSPrice($B55,$J55, $K55, $C55, ($I55-$B$1)/365, $G55, $H55, $D55)) * $F55</f>
        <v/>
      </c>
      <c r="BK55" s="60">
        <f>(BSPrice($B55*0.95,$J55+0.1, $K55, $C55, ($I55-$B$1)/365, $G55, $H55, $D55) - BSPrice($B55,$J55, $K55, $C55, ($I55-$B$1)/365, $G55, $H55, $D55)) * $F55</f>
        <v/>
      </c>
      <c r="BL55" s="60">
        <f>(BSPrice($B55*0.95,$J55+0.2, $K55, $C55, ($I55-$B$1)/365, $G55, $H55, $D55) - BSPrice($B55,$J55, $K55, $C55, ($I55-$B$1)/365, $G55, $H55, $D55)) * $F55</f>
        <v/>
      </c>
      <c r="BM55" s="60">
        <f>(BSPrice($B55*1,$J55+-0.05, $K55, $C55, ($I55-$B$1)/365, $G55, $H55, $D55) - BSPrice($B55,$J55, $K55, $C55, ($I55-$B$1)/365, $G55, $H55, $D55)) * $F55</f>
        <v/>
      </c>
      <c r="BN55" s="60">
        <f>(BSPrice($B55*1,$J55+-0.02, $K55, $C55, ($I55-$B$1)/365, $G55, $H55, $D55) - BSPrice($B55,$J55, $K55, $C55, ($I55-$B$1)/365, $G55, $H55, $D55)) * $F55</f>
        <v/>
      </c>
      <c r="BO55" s="60">
        <f>(BSPrice($B55*1,$J55+0, $K55, $C55, ($I55-$B$1)/365, $G55, $H55, $D55) - BSPrice($B55,$J55, $K55, $C55, ($I55-$B$1)/365, $G55, $H55, $D55)) * $F55</f>
        <v/>
      </c>
      <c r="BP55" s="60">
        <f>(BSPrice($B55*1,$J55+0.02, $K55, $C55, ($I55-$B$1)/365, $G55, $H55, $D55) - BSPrice($B55,$J55, $K55, $C55, ($I55-$B$1)/365, $G55, $H55, $D55)) * $F55</f>
        <v/>
      </c>
      <c r="BQ55" s="60">
        <f>(BSPrice($B55*1,$J55+0.05, $K55, $C55, ($I55-$B$1)/365, $G55, $H55, $D55) - BSPrice($B55,$J55, $K55, $C55, ($I55-$B$1)/365, $G55, $H55, $D55)) * $F55</f>
        <v/>
      </c>
      <c r="BR55" s="60">
        <f>(BSPrice($B55*1,$J55+0.1, $K55, $C55, ($I55-$B$1)/365, $G55, $H55, $D55) - BSPrice($B55,$J55, $K55, $C55, ($I55-$B$1)/365, $G55, $H55, $D55)) * $F55</f>
        <v/>
      </c>
      <c r="BS55" s="60">
        <f>(BSPrice($B55*1,$J55+0.2, $K55, $C55, ($I55-$B$1)/365, $G55, $H55, $D55) - BSPrice($B55,$J55, $K55, $C55, ($I55-$B$1)/365, $G55, $H55, $D55)) * $F55</f>
        <v/>
      </c>
      <c r="BT55" s="60">
        <f>(BSPrice($B55*1.05,$J55+-0.05, $K55, $C55, ($I55-$B$1)/365, $G55, $H55, $D55) - BSPrice($B55,$J55, $K55, $C55, ($I55-$B$1)/365, $G55, $H55, $D55)) * $F55</f>
        <v/>
      </c>
      <c r="BU55" s="60">
        <f>(BSPrice($B55*1.05,$J55+-0.02, $K55, $C55, ($I55-$B$1)/365, $G55, $H55, $D55) - BSPrice($B55,$J55, $K55, $C55, ($I55-$B$1)/365, $G55, $H55, $D55)) * $F55</f>
        <v/>
      </c>
      <c r="BV55" s="60">
        <f>(BSPrice($B55*1.05,$J55+0, $K55, $C55, ($I55-$B$1)/365, $G55, $H55, $D55) - BSPrice($B55,$J55, $K55, $C55, ($I55-$B$1)/365, $G55, $H55, $D55)) * $F55</f>
        <v/>
      </c>
      <c r="BW55" s="60">
        <f>(BSPrice($B55*1.05,$J55+0.02, $K55, $C55, ($I55-$B$1)/365, $G55, $H55, $D55) - BSPrice($B55,$J55, $K55, $C55, ($I55-$B$1)/365, $G55, $H55, $D55)) * $F55</f>
        <v/>
      </c>
      <c r="BX55" s="60">
        <f>(BSPrice($B55*1.05,$J55+0.05, $K55, $C55, ($I55-$B$1)/365, $G55, $H55, $D55) - BSPrice($B55,$J55, $K55, $C55, ($I55-$B$1)/365, $G55, $H55, $D55)) * $F55</f>
        <v/>
      </c>
      <c r="BY55" s="60">
        <f>(BSPrice($B55*1.05,$J55+0.1, $K55, $C55, ($I55-$B$1)/365, $G55, $H55, $D55) - BSPrice($B55,$J55, $K55, $C55, ($I55-$B$1)/365, $G55, $H55, $D55)) * $F55</f>
        <v/>
      </c>
      <c r="BZ55" s="60">
        <f>(BSPrice($B55*1.05,$J55+0.2, $K55, $C55, ($I55-$B$1)/365, $G55, $H55, $D55) - BSPrice($B55,$J55, $K55, $C55, ($I55-$B$1)/365, $G55, $H55, $D55)) * $F55</f>
        <v/>
      </c>
      <c r="CA55" s="60">
        <f>(BSPrice($B55*1.1,$J55+-0.05, $K55, $C55, ($I55-$B$1)/365, $G55, $H55, $D55) - BSPrice($B55,$J55, $K55, $C55, ($I55-$B$1)/365, $G55, $H55, $D55)) * $F55</f>
        <v/>
      </c>
      <c r="CB55" s="60">
        <f>(BSPrice($B55*1.1,$J55+-0.02, $K55, $C55, ($I55-$B$1)/365, $G55, $H55, $D55) - BSPrice($B55,$J55, $K55, $C55, ($I55-$B$1)/365, $G55, $H55, $D55)) * $F55</f>
        <v/>
      </c>
      <c r="CC55" s="60">
        <f>(BSPrice($B55*1.1,$J55+0, $K55, $C55, ($I55-$B$1)/365, $G55, $H55, $D55) - BSPrice($B55,$J55, $K55, $C55, ($I55-$B$1)/365, $G55, $H55, $D55)) * $F55</f>
        <v/>
      </c>
      <c r="CD55" s="60">
        <f>(BSPrice($B55*1.1,$J55+0.02, $K55, $C55, ($I55-$B$1)/365, $G55, $H55, $D55) - BSPrice($B55,$J55, $K55, $C55, ($I55-$B$1)/365, $G55, $H55, $D55)) * $F55</f>
        <v/>
      </c>
      <c r="CE55" s="60">
        <f>(BSPrice($B55*1.1,$J55+0.05, $K55, $C55, ($I55-$B$1)/365, $G55, $H55, $D55) - BSPrice($B55,$J55, $K55, $C55, ($I55-$B$1)/365, $G55, $H55, $D55)) * $F55</f>
        <v/>
      </c>
      <c r="CF55" s="60">
        <f>(BSPrice($B55*1.1,$J55+0.1, $K55, $C55, ($I55-$B$1)/365, $G55, $H55, $D55) - BSPrice($B55,$J55, $K55, $C55, ($I55-$B$1)/365, $G55, $H55, $D55)) * $F55</f>
        <v/>
      </c>
      <c r="CG55" s="60">
        <f>(BSPrice($B55*1.1,$J55+0.2, $K55, $C55, ($I55-$B$1)/365, $G55, $H55, $D55) - BSPrice($B55,$J55, $K55, $C55, ($I55-$B$1)/365, $G55, $H55, $D55)) * $F55</f>
        <v/>
      </c>
      <c r="CH55" s="60">
        <f>(BSPrice($B55*1.2,$J55+-0.05, $K55, $C55, ($I55-$B$1)/365, $G55, $H55, $D55) - BSPrice($B55,$J55, $K55, $C55, ($I55-$B$1)/365, $G55, $H55, $D55)) * $F55</f>
        <v/>
      </c>
      <c r="CI55" s="60">
        <f>(BSPrice($B55*1.2,$J55+-0.02, $K55, $C55, ($I55-$B$1)/365, $G55, $H55, $D55) - BSPrice($B55,$J55, $K55, $C55, ($I55-$B$1)/365, $G55, $H55, $D55)) * $F55</f>
        <v/>
      </c>
      <c r="CJ55" s="60">
        <f>(BSPrice($B55*1.2,$J55+0, $K55, $C55, ($I55-$B$1)/365, $G55, $H55, $D55) - BSPrice($B55,$J55, $K55, $C55, ($I55-$B$1)/365, $G55, $H55, $D55)) * $F55</f>
        <v/>
      </c>
      <c r="CK55" s="60">
        <f>(BSPrice($B55*1.2,$J55+0.02, $K55, $C55, ($I55-$B$1)/365, $G55, $H55, $D55) - BSPrice($B55,$J55, $K55, $C55, ($I55-$B$1)/365, $G55, $H55, $D55)) * $F55</f>
        <v/>
      </c>
      <c r="CL55" s="60">
        <f>(BSPrice($B55*1.2,$J55+0.05, $K55, $C55, ($I55-$B$1)/365, $G55, $H55, $D55) - BSPrice($B55,$J55, $K55, $C55, ($I55-$B$1)/365, $G55, $H55, $D55)) * $F55</f>
        <v/>
      </c>
      <c r="CM55" s="60">
        <f>(BSPrice($B55*1.2,$J55+0.1, $K55, $C55, ($I55-$B$1)/365, $G55, $H55, $D55) - BSPrice($B55,$J55, $K55, $C55, ($I55-$B$1)/365, $G55, $H55, $D55)) * $F55</f>
        <v/>
      </c>
      <c r="CN55" s="60">
        <f>(BSPrice($B55*1.2,$J55+0.2, $K55, $C55, ($I55-$B$1)/365, $G55, $H55, $D55) - BSPrice($B55,$J55, $K55, $C55, ($I55-$B$1)/365, $G55, $H55, $D55)) * $F55</f>
        <v/>
      </c>
    </row>
    <row r="56">
      <c r="A56" s="3" t="inlineStr">
        <is>
          <t>SX5E Index</t>
        </is>
      </c>
      <c r="B56" s="4">
        <f>VLOOKUP(A56,PriceData!$K$4:$L$6,2,FALSE)</f>
        <v/>
      </c>
      <c r="C56" s="46">
        <f>VLOOKUP(A56,PriceData!$K$4:$M$6,3,FALSE)</f>
        <v/>
      </c>
      <c r="D56" s="4" t="inlineStr">
        <is>
          <t>Option</t>
        </is>
      </c>
      <c r="E56" s="4" t="inlineStr">
        <is>
          <t>EUR</t>
        </is>
      </c>
      <c r="F56" s="4" t="n">
        <v>-10</v>
      </c>
      <c r="G56" s="4" t="n">
        <v>3166</v>
      </c>
      <c r="H56" s="4" t="inlineStr">
        <is>
          <t>Call</t>
        </is>
      </c>
      <c r="I56" s="5" t="n">
        <v>40347</v>
      </c>
      <c r="J56" s="46">
        <f>FindImpliedVol(A56, D56, G56, I56)</f>
        <v/>
      </c>
      <c r="K56" s="30">
        <f>VLOOKUP(I56,PriceData!$A$5:$D$7,MATCH($E56,PriceData!$A$4:$D$4,0),FALSE)</f>
        <v/>
      </c>
      <c r="L56" s="2">
        <f>BSPrice($B56,$J56, $K56, $C56, ($I56-$B$1)/365, $G56, $H56, $D56)</f>
        <v/>
      </c>
      <c r="M56" s="2">
        <f>F56*L56</f>
        <v/>
      </c>
      <c r="N56" s="4" t="inlineStr">
        <is>
          <t>Darklays Capital</t>
        </is>
      </c>
      <c r="P56" s="60">
        <f>BSDelta(B56, J56, K56, C56, (I56-$B$1)/365, G56, H56, D56)</f>
        <v/>
      </c>
      <c r="Q56" s="60">
        <f>BSGamma(B56, J56, K56, C56, (I56-$B$1)/365, G56, D56)</f>
        <v/>
      </c>
      <c r="R56" s="58">
        <f>BSVega(B56, J56, K56, C56, (I56-$B$1)/365,G56, D56)</f>
        <v/>
      </c>
      <c r="S56" s="58">
        <f>BSVolga(B56, J56, K56, C56, (I56-$B$1)/365,G56, D56)</f>
        <v/>
      </c>
      <c r="T56" s="58">
        <f>BSVanna(B56,J56,K56, C56, (I56-$B$1)/365, G56, D56)</f>
        <v/>
      </c>
      <c r="U56" s="2">
        <f>BSRho(B56, J56, K56, C56, (I56-$B$1)/365, G56, H56, D56)</f>
        <v/>
      </c>
      <c r="V56" s="65">
        <f>$F56*$P56</f>
        <v/>
      </c>
      <c r="W56" s="65">
        <f>$F56*$Q56</f>
        <v/>
      </c>
      <c r="X56" s="78">
        <f>$F56*R56</f>
        <v/>
      </c>
      <c r="Y56" s="78">
        <f>$F56*S56</f>
        <v/>
      </c>
      <c r="Z56" s="78">
        <f>$F56*T56</f>
        <v/>
      </c>
      <c r="AA56" s="78">
        <f>$F56*U56</f>
        <v/>
      </c>
      <c r="AB56" s="78">
        <f>(BSPrice($B56*0.8,$J56, $K56, $C56, ($I56-$B$1)/365, $G56, $H56, $D56) - BSPrice($B56,$J56, $K56, $C56, ($I56-$B$1)/365, $G56, $H56, $D56)) * $F56</f>
        <v/>
      </c>
      <c r="AC56" s="78">
        <f>(BSPrice($B56*0.9,$J56, $K56, $C56, ($I56-$B$1)/365, $G56, $H56, $D56) - BSPrice($B56,$J56, $K56, $C56, ($I56-$B$1)/365, $G56, $H56, $D56)) * $F56</f>
        <v/>
      </c>
      <c r="AD56" s="78">
        <f>(BSPrice($B56*0.95,$J56, $K56, $C56, ($I56-$B$1)/365, $G56, $H56, $D56) - BSPrice($B56,$J56, $K56, $C56, ($I56-$B$1)/365, $G56, $H56, $D56)) * $F56</f>
        <v/>
      </c>
      <c r="AE56" s="78">
        <f>(BSPrice($B56*0.98,$J56, $K56, $C56, ($I56-$B$1)/365, $G56, $H56, $D56) - BSPrice($B56,$J56, $K56, $C56, ($I56-$B$1)/365, $G56, $H56, $D56)) * $F56</f>
        <v/>
      </c>
      <c r="AF56" s="78">
        <f>(BSPrice($B56*1.02,$J56, $K56, $C56, ($I56-$B$1)/365, $G56, $H56, $D56) - BSPrice($B56,$J56, $K56, $C56, ($I56-$B$1)/365, $G56, $H56, $D56)) * $F56</f>
        <v/>
      </c>
      <c r="AG56" s="78">
        <f>(BSPrice($B56*1.05,$J56, $K56, $C56, ($I56-$B$1)/365, $G56, $H56, $D56) - BSPrice($B56,$J56, $K56, $C56, ($I56-$B$1)/365, $G56, $H56, $D56)) * $F56</f>
        <v/>
      </c>
      <c r="AH56" s="78">
        <f>(BSPrice($B56*1.1,$J56, $K56, $C56, ($I56-$B$1)/365, $G56, $H56, $D56) - BSPrice($B56,$J56, $K56, $C56, ($I56-$B$1)/365, $G56, $H56, $D56)) * $F56</f>
        <v/>
      </c>
      <c r="AI56" s="78">
        <f>(BSPrice($B56*1.2,$J56, $K56, $C56, ($I56-$B$1)/365, $G56, $H56, $D56) - BSPrice($B56,$J56, $K56, $C56, ($I56-$B$1)/365, $G56, $H56, $D56)) * $F56</f>
        <v/>
      </c>
      <c r="AJ56" s="78">
        <f>(BSPrice($B56,$J56-0.1, $K56, $C56, ($I56-$B$1)/365, $G56, $H56, $D56) - BSPrice($B56,$J56, $K56, $C56, ($I56-$B$1)/365, $G56, $H56, $D56)) * $F56</f>
        <v/>
      </c>
      <c r="AK56" s="78">
        <f>(BSPrice($B56,$J56-0.05,$K56,$C56,($I56-$B$1)/365,$G56,$H56,$D56)-BSPrice($B56,$J56,$K56,$C56,($I56-$B$1)/365,$G56,$H56,$D56))*$F56</f>
        <v/>
      </c>
      <c r="AL56" s="78">
        <f>(BSPrice($B56,$J56-0.02, $K56, $C56, ($I56-$B$1)/365, $G56, $H56, $D56) - BSPrice($B56,$J56, $K56, $C56, ($I56-$B$1)/365, $G56, $H56, $D56)) * $F56</f>
        <v/>
      </c>
      <c r="AM56" s="78">
        <f>(BSPrice($B56,$J56-0.01, $K56, $C56, ($I56-$B$1)/365, $G56, $H56, $D56) - BSPrice($B56,$J56, $K56, $C56, ($I56-$B$1)/365, $G56, $H56, $D56)) * $F56</f>
        <v/>
      </c>
      <c r="AN56" s="78">
        <f>(BSPrice($B56,$J56+0.01, $K56, $C56, ($I56-$B$1)/365, $G56, $H56, $D56) - BSPrice($B56,$J56, $K56, $C56, ($I56-$B$1)/365, $G56, $H56, $D56)) * $F56</f>
        <v/>
      </c>
      <c r="AO56" s="78">
        <f>(BSPrice($B56,$J56+0.02, $K56, $C56, ($I56-$B$1)/365, $G56, $H56, $D56) - BSPrice($B56,$J56, $K56, $C56, ($I56-$B$1)/365, $G56, $H56, $D56)) * $F56</f>
        <v/>
      </c>
      <c r="AP56" s="78">
        <f>(BSPrice($B56,$J56+0.05, $K56, $C56, ($I56-$B$1)/365, $G56, $H56, $D56) - BSPrice($B56,$J56, $K56, $C56, ($I56-$B$1)/365, $G56, $H56, $D56)) * $F56</f>
        <v/>
      </c>
      <c r="AQ56" s="78">
        <f>(BSPrice($B56,$J56+0.1, $K56, $C56, ($I56-$B$1)/365, $G56, $H56, $D56) - BSPrice($B56,$J56, $K56, $C56, ($I56-$B$1)/365, $G56, $H56, $D56)) * $F56</f>
        <v/>
      </c>
      <c r="AR56" s="60">
        <f>(BSPrice($B56*0.8,$J56+-0.05, $K56, $C56, ($I56-$B$1)/365, $G56, $H56, $D56) - BSPrice($B56,$J56, $K56, $C56, ($I56-$B$1)/365, $G56, $H56, $D56)) * $F56</f>
        <v/>
      </c>
      <c r="AS56" s="60">
        <f>(BSPrice($B56*0.8,$J56+-0.02, $K56, $C56, ($I56-$B$1)/365, $G56, $H56, $D56) - BSPrice($B56,$J56, $K56, $C56, ($I56-$B$1)/365, $G56, $H56, $D56)) * $F56</f>
        <v/>
      </c>
      <c r="AT56" s="60">
        <f>(BSPrice($B56*0.8,$J56+0, $K56, $C56, ($I56-$B$1)/365, $G56, $H56, $D56) - BSPrice($B56,$J56, $K56, $C56, ($I56-$B$1)/365, $G56, $H56, $D56)) * $F56</f>
        <v/>
      </c>
      <c r="AU56" s="60">
        <f>(BSPrice($B56*0.8,$J56+0.02, $K56, $C56, ($I56-$B$1)/365, $G56, $H56, $D56) - BSPrice($B56,$J56, $K56, $C56, ($I56-$B$1)/365, $G56, $H56, $D56)) * $F56</f>
        <v/>
      </c>
      <c r="AV56" s="60">
        <f>(BSPrice($B56*0.8,$J56+0.05, $K56, $C56, ($I56-$B$1)/365, $G56, $H56, $D56) - BSPrice($B56,$J56, $K56, $C56, ($I56-$B$1)/365, $G56, $H56, $D56)) * $F56</f>
        <v/>
      </c>
      <c r="AW56" s="60">
        <f>(BSPrice($B56*0.8,$J56+0.1, $K56, $C56, ($I56-$B$1)/365, $G56, $H56, $D56) - BSPrice($B56,$J56, $K56, $C56, ($I56-$B$1)/365, $G56, $H56, $D56)) * $F56</f>
        <v/>
      </c>
      <c r="AX56" s="60">
        <f>(BSPrice($B56*0.8,$J56+0.2, $K56, $C56, ($I56-$B$1)/365, $G56, $H56, $D56) - BSPrice($B56,$J56, $K56, $C56, ($I56-$B$1)/365, $G56, $H56, $D56)) * $F56</f>
        <v/>
      </c>
      <c r="AY56" s="60">
        <f>(BSPrice($B56*0.9,$J56+-0.05, $K56, $C56, ($I56-$B$1)/365, $G56, $H56, $D56) - BSPrice($B56,$J56, $K56, $C56, ($I56-$B$1)/365, $G56, $H56, $D56)) * $F56</f>
        <v/>
      </c>
      <c r="AZ56" s="60">
        <f>(BSPrice($B56*0.9,$J56+-0.02, $K56, $C56, ($I56-$B$1)/365, $G56, $H56, $D56) - BSPrice($B56,$J56, $K56, $C56, ($I56-$B$1)/365, $G56, $H56, $D56)) * $F56</f>
        <v/>
      </c>
      <c r="BA56" s="60">
        <f>(BSPrice($B56*0.9,$J56+0, $K56, $C56, ($I56-$B$1)/365, $G56, $H56, $D56) - BSPrice($B56,$J56, $K56, $C56, ($I56-$B$1)/365, $G56, $H56, $D56)) * $F56</f>
        <v/>
      </c>
      <c r="BB56" s="60">
        <f>(BSPrice($B56*0.9,$J56+0.02, $K56, $C56, ($I56-$B$1)/365, $G56, $H56, $D56) - BSPrice($B56,$J56, $K56, $C56, ($I56-$B$1)/365, $G56, $H56, $D56)) * $F56</f>
        <v/>
      </c>
      <c r="BC56" s="60">
        <f>(BSPrice($B56*0.9,$J56+0.05, $K56, $C56, ($I56-$B$1)/365, $G56, $H56, $D56) - BSPrice($B56,$J56, $K56, $C56, ($I56-$B$1)/365, $G56, $H56, $D56)) * $F56</f>
        <v/>
      </c>
      <c r="BD56" s="60">
        <f>(BSPrice($B56*0.9,$J56+0.1, $K56, $C56, ($I56-$B$1)/365, $G56, $H56, $D56) - BSPrice($B56,$J56, $K56, $C56, ($I56-$B$1)/365, $G56, $H56, $D56)) * $F56</f>
        <v/>
      </c>
      <c r="BE56" s="60">
        <f>(BSPrice($B56*0.9,$J56+0.2, $K56, $C56, ($I56-$B$1)/365, $G56, $H56, $D56) - BSPrice($B56,$J56, $K56, $C56, ($I56-$B$1)/365, $G56, $H56, $D56)) * $F56</f>
        <v/>
      </c>
      <c r="BF56" s="60">
        <f>(BSPrice($B56*0.95,$J56+-0.05, $K56, $C56, ($I56-$B$1)/365, $G56, $H56, $D56) - BSPrice($B56,$J56, $K56, $C56, ($I56-$B$1)/365, $G56, $H56, $D56)) * $F56</f>
        <v/>
      </c>
      <c r="BG56" s="60">
        <f>(BSPrice($B56*0.95,$J56+-0.02, $K56, $C56, ($I56-$B$1)/365, $G56, $H56, $D56) - BSPrice($B56,$J56, $K56, $C56, ($I56-$B$1)/365, $G56, $H56, $D56)) * $F56</f>
        <v/>
      </c>
      <c r="BH56" s="60">
        <f>(BSPrice($B56*0.95,$J56+0, $K56, $C56, ($I56-$B$1)/365, $G56, $H56, $D56) - BSPrice($B56,$J56, $K56, $C56, ($I56-$B$1)/365, $G56, $H56, $D56)) * $F56</f>
        <v/>
      </c>
      <c r="BI56" s="60">
        <f>(BSPrice($B56*0.95,$J56+0.02, $K56, $C56, ($I56-$B$1)/365, $G56, $H56, $D56) - BSPrice($B56,$J56, $K56, $C56, ($I56-$B$1)/365, $G56, $H56, $D56)) * $F56</f>
        <v/>
      </c>
      <c r="BJ56" s="60">
        <f>(BSPrice($B56*0.95,$J56+0.05, $K56, $C56, ($I56-$B$1)/365, $G56, $H56, $D56) - BSPrice($B56,$J56, $K56, $C56, ($I56-$B$1)/365, $G56, $H56, $D56)) * $F56</f>
        <v/>
      </c>
      <c r="BK56" s="60">
        <f>(BSPrice($B56*0.95,$J56+0.1, $K56, $C56, ($I56-$B$1)/365, $G56, $H56, $D56) - BSPrice($B56,$J56, $K56, $C56, ($I56-$B$1)/365, $G56, $H56, $D56)) * $F56</f>
        <v/>
      </c>
      <c r="BL56" s="60">
        <f>(BSPrice($B56*0.95,$J56+0.2, $K56, $C56, ($I56-$B$1)/365, $G56, $H56, $D56) - BSPrice($B56,$J56, $K56, $C56, ($I56-$B$1)/365, $G56, $H56, $D56)) * $F56</f>
        <v/>
      </c>
      <c r="BM56" s="60">
        <f>(BSPrice($B56*1,$J56+-0.05, $K56, $C56, ($I56-$B$1)/365, $G56, $H56, $D56) - BSPrice($B56,$J56, $K56, $C56, ($I56-$B$1)/365, $G56, $H56, $D56)) * $F56</f>
        <v/>
      </c>
      <c r="BN56" s="60">
        <f>(BSPrice($B56*1,$J56+-0.02, $K56, $C56, ($I56-$B$1)/365, $G56, $H56, $D56) - BSPrice($B56,$J56, $K56, $C56, ($I56-$B$1)/365, $G56, $H56, $D56)) * $F56</f>
        <v/>
      </c>
      <c r="BO56" s="60">
        <f>(BSPrice($B56*1,$J56+0, $K56, $C56, ($I56-$B$1)/365, $G56, $H56, $D56) - BSPrice($B56,$J56, $K56, $C56, ($I56-$B$1)/365, $G56, $H56, $D56)) * $F56</f>
        <v/>
      </c>
      <c r="BP56" s="60">
        <f>(BSPrice($B56*1,$J56+0.02, $K56, $C56, ($I56-$B$1)/365, $G56, $H56, $D56) - BSPrice($B56,$J56, $K56, $C56, ($I56-$B$1)/365, $G56, $H56, $D56)) * $F56</f>
        <v/>
      </c>
      <c r="BQ56" s="60">
        <f>(BSPrice($B56*1,$J56+0.05, $K56, $C56, ($I56-$B$1)/365, $G56, $H56, $D56) - BSPrice($B56,$J56, $K56, $C56, ($I56-$B$1)/365, $G56, $H56, $D56)) * $F56</f>
        <v/>
      </c>
      <c r="BR56" s="60">
        <f>(BSPrice($B56*1,$J56+0.1, $K56, $C56, ($I56-$B$1)/365, $G56, $H56, $D56) - BSPrice($B56,$J56, $K56, $C56, ($I56-$B$1)/365, $G56, $H56, $D56)) * $F56</f>
        <v/>
      </c>
      <c r="BS56" s="60">
        <f>(BSPrice($B56*1,$J56+0.2, $K56, $C56, ($I56-$B$1)/365, $G56, $H56, $D56) - BSPrice($B56,$J56, $K56, $C56, ($I56-$B$1)/365, $G56, $H56, $D56)) * $F56</f>
        <v/>
      </c>
      <c r="BT56" s="60">
        <f>(BSPrice($B56*1.05,$J56+-0.05, $K56, $C56, ($I56-$B$1)/365, $G56, $H56, $D56) - BSPrice($B56,$J56, $K56, $C56, ($I56-$B$1)/365, $G56, $H56, $D56)) * $F56</f>
        <v/>
      </c>
      <c r="BU56" s="60">
        <f>(BSPrice($B56*1.05,$J56+-0.02, $K56, $C56, ($I56-$B$1)/365, $G56, $H56, $D56) - BSPrice($B56,$J56, $K56, $C56, ($I56-$B$1)/365, $G56, $H56, $D56)) * $F56</f>
        <v/>
      </c>
      <c r="BV56" s="60">
        <f>(BSPrice($B56*1.05,$J56+0, $K56, $C56, ($I56-$B$1)/365, $G56, $H56, $D56) - BSPrice($B56,$J56, $K56, $C56, ($I56-$B$1)/365, $G56, $H56, $D56)) * $F56</f>
        <v/>
      </c>
      <c r="BW56" s="60">
        <f>(BSPrice($B56*1.05,$J56+0.02, $K56, $C56, ($I56-$B$1)/365, $G56, $H56, $D56) - BSPrice($B56,$J56, $K56, $C56, ($I56-$B$1)/365, $G56, $H56, $D56)) * $F56</f>
        <v/>
      </c>
      <c r="BX56" s="60">
        <f>(BSPrice($B56*1.05,$J56+0.05, $K56, $C56, ($I56-$B$1)/365, $G56, $H56, $D56) - BSPrice($B56,$J56, $K56, $C56, ($I56-$B$1)/365, $G56, $H56, $D56)) * $F56</f>
        <v/>
      </c>
      <c r="BY56" s="60">
        <f>(BSPrice($B56*1.05,$J56+0.1, $K56, $C56, ($I56-$B$1)/365, $G56, $H56, $D56) - BSPrice($B56,$J56, $K56, $C56, ($I56-$B$1)/365, $G56, $H56, $D56)) * $F56</f>
        <v/>
      </c>
      <c r="BZ56" s="60">
        <f>(BSPrice($B56*1.05,$J56+0.2, $K56, $C56, ($I56-$B$1)/365, $G56, $H56, $D56) - BSPrice($B56,$J56, $K56, $C56, ($I56-$B$1)/365, $G56, $H56, $D56)) * $F56</f>
        <v/>
      </c>
      <c r="CA56" s="60">
        <f>(BSPrice($B56*1.1,$J56+-0.05, $K56, $C56, ($I56-$B$1)/365, $G56, $H56, $D56) - BSPrice($B56,$J56, $K56, $C56, ($I56-$B$1)/365, $G56, $H56, $D56)) * $F56</f>
        <v/>
      </c>
      <c r="CB56" s="60">
        <f>(BSPrice($B56*1.1,$J56+-0.02, $K56, $C56, ($I56-$B$1)/365, $G56, $H56, $D56) - BSPrice($B56,$J56, $K56, $C56, ($I56-$B$1)/365, $G56, $H56, $D56)) * $F56</f>
        <v/>
      </c>
      <c r="CC56" s="60">
        <f>(BSPrice($B56*1.1,$J56+0, $K56, $C56, ($I56-$B$1)/365, $G56, $H56, $D56) - BSPrice($B56,$J56, $K56, $C56, ($I56-$B$1)/365, $G56, $H56, $D56)) * $F56</f>
        <v/>
      </c>
      <c r="CD56" s="60">
        <f>(BSPrice($B56*1.1,$J56+0.02, $K56, $C56, ($I56-$B$1)/365, $G56, $H56, $D56) - BSPrice($B56,$J56, $K56, $C56, ($I56-$B$1)/365, $G56, $H56, $D56)) * $F56</f>
        <v/>
      </c>
      <c r="CE56" s="60">
        <f>(BSPrice($B56*1.1,$J56+0.05, $K56, $C56, ($I56-$B$1)/365, $G56, $H56, $D56) - BSPrice($B56,$J56, $K56, $C56, ($I56-$B$1)/365, $G56, $H56, $D56)) * $F56</f>
        <v/>
      </c>
      <c r="CF56" s="60">
        <f>(BSPrice($B56*1.1,$J56+0.1, $K56, $C56, ($I56-$B$1)/365, $G56, $H56, $D56) - BSPrice($B56,$J56, $K56, $C56, ($I56-$B$1)/365, $G56, $H56, $D56)) * $F56</f>
        <v/>
      </c>
      <c r="CG56" s="60">
        <f>(BSPrice($B56*1.1,$J56+0.2, $K56, $C56, ($I56-$B$1)/365, $G56, $H56, $D56) - BSPrice($B56,$J56, $K56, $C56, ($I56-$B$1)/365, $G56, $H56, $D56)) * $F56</f>
        <v/>
      </c>
      <c r="CH56" s="60">
        <f>(BSPrice($B56*1.2,$J56+-0.05, $K56, $C56, ($I56-$B$1)/365, $G56, $H56, $D56) - BSPrice($B56,$J56, $K56, $C56, ($I56-$B$1)/365, $G56, $H56, $D56)) * $F56</f>
        <v/>
      </c>
      <c r="CI56" s="60">
        <f>(BSPrice($B56*1.2,$J56+-0.02, $K56, $C56, ($I56-$B$1)/365, $G56, $H56, $D56) - BSPrice($B56,$J56, $K56, $C56, ($I56-$B$1)/365, $G56, $H56, $D56)) * $F56</f>
        <v/>
      </c>
      <c r="CJ56" s="60">
        <f>(BSPrice($B56*1.2,$J56+0, $K56, $C56, ($I56-$B$1)/365, $G56, $H56, $D56) - BSPrice($B56,$J56, $K56, $C56, ($I56-$B$1)/365, $G56, $H56, $D56)) * $F56</f>
        <v/>
      </c>
      <c r="CK56" s="60">
        <f>(BSPrice($B56*1.2,$J56+0.02, $K56, $C56, ($I56-$B$1)/365, $G56, $H56, $D56) - BSPrice($B56,$J56, $K56, $C56, ($I56-$B$1)/365, $G56, $H56, $D56)) * $F56</f>
        <v/>
      </c>
      <c r="CL56" s="60">
        <f>(BSPrice($B56*1.2,$J56+0.05, $K56, $C56, ($I56-$B$1)/365, $G56, $H56, $D56) - BSPrice($B56,$J56, $K56, $C56, ($I56-$B$1)/365, $G56, $H56, $D56)) * $F56</f>
        <v/>
      </c>
      <c r="CM56" s="60">
        <f>(BSPrice($B56*1.2,$J56+0.1, $K56, $C56, ($I56-$B$1)/365, $G56, $H56, $D56) - BSPrice($B56,$J56, $K56, $C56, ($I56-$B$1)/365, $G56, $H56, $D56)) * $F56</f>
        <v/>
      </c>
      <c r="CN56" s="60">
        <f>(BSPrice($B56*1.2,$J56+0.2, $K56, $C56, ($I56-$B$1)/365, $G56, $H56, $D56) - BSPrice($B56,$J56, $K56, $C56, ($I56-$B$1)/365, $G56, $H56, $D56)) * $F56</f>
        <v/>
      </c>
    </row>
    <row r="57">
      <c r="A57" s="3" t="inlineStr">
        <is>
          <t>SX5E Index</t>
        </is>
      </c>
      <c r="B57" s="4">
        <f>VLOOKUP(A57,PriceData!$K$4:$L$6,2,FALSE)</f>
        <v/>
      </c>
      <c r="C57" s="46">
        <f>VLOOKUP(A57,PriceData!$K$4:$M$6,3,FALSE)</f>
        <v/>
      </c>
      <c r="D57" s="4" t="inlineStr">
        <is>
          <t>Option</t>
        </is>
      </c>
      <c r="E57" s="4" t="inlineStr">
        <is>
          <t>EUR</t>
        </is>
      </c>
      <c r="F57" s="4" t="n">
        <v>-20</v>
      </c>
      <c r="G57" s="4" t="n">
        <v>2731</v>
      </c>
      <c r="H57" s="4" t="inlineStr">
        <is>
          <t>Put</t>
        </is>
      </c>
      <c r="I57" s="5" t="n">
        <v>40347</v>
      </c>
      <c r="J57" s="46">
        <f>FindImpliedVol(A57, D57, G57, I57)</f>
        <v/>
      </c>
      <c r="K57" s="30">
        <f>VLOOKUP(I57,PriceData!$A$5:$D$7,MATCH($E57,PriceData!$A$4:$D$4,0),FALSE)</f>
        <v/>
      </c>
      <c r="L57" s="2">
        <f>BSPrice($B57,$J57, $K57, $C57, ($I57-$B$1)/365, $G57, $H57, $D57)</f>
        <v/>
      </c>
      <c r="M57" s="2">
        <f>F57*L57</f>
        <v/>
      </c>
      <c r="N57" s="4" t="inlineStr">
        <is>
          <t>Exch</t>
        </is>
      </c>
      <c r="P57" s="60">
        <f>BSDelta(B57, J57, K57, C57, (I57-$B$1)/365, G57, H57, D57)</f>
        <v/>
      </c>
      <c r="Q57" s="60">
        <f>BSGamma(B57, J57, K57, C57, (I57-$B$1)/365, G57, D57)</f>
        <v/>
      </c>
      <c r="R57" s="58">
        <f>BSVega(B57, J57, K57, C57, (I57-$B$1)/365,G57, D57)</f>
        <v/>
      </c>
      <c r="S57" s="58">
        <f>BSVolga(B57, J57, K57, C57, (I57-$B$1)/365,G57, D57)</f>
        <v/>
      </c>
      <c r="T57" s="58">
        <f>BSVanna(B57,J57,K57, C57, (I57-$B$1)/365, G57, D57)</f>
        <v/>
      </c>
      <c r="U57" s="2">
        <f>BSRho(B57, J57, K57, C57, (I57-$B$1)/365, G57, H57, D57)</f>
        <v/>
      </c>
      <c r="V57" s="65">
        <f>$F57*$P57</f>
        <v/>
      </c>
      <c r="W57" s="65">
        <f>$F57*$Q57</f>
        <v/>
      </c>
      <c r="X57" s="78">
        <f>$F57*R57</f>
        <v/>
      </c>
      <c r="Y57" s="78">
        <f>$F57*S57</f>
        <v/>
      </c>
      <c r="Z57" s="78">
        <f>$F57*T57</f>
        <v/>
      </c>
      <c r="AA57" s="78">
        <f>$F57*U57</f>
        <v/>
      </c>
      <c r="AB57" s="78">
        <f>(BSPrice($B57*0.8,$J57, $K57, $C57, ($I57-$B$1)/365, $G57, $H57, $D57) - BSPrice($B57,$J57, $K57, $C57, ($I57-$B$1)/365, $G57, $H57, $D57)) * $F57</f>
        <v/>
      </c>
      <c r="AC57" s="78">
        <f>(BSPrice($B57*0.9,$J57, $K57, $C57, ($I57-$B$1)/365, $G57, $H57, $D57) - BSPrice($B57,$J57, $K57, $C57, ($I57-$B$1)/365, $G57, $H57, $D57)) * $F57</f>
        <v/>
      </c>
      <c r="AD57" s="78">
        <f>(BSPrice($B57*0.95,$J57, $K57, $C57, ($I57-$B$1)/365, $G57, $H57, $D57) - BSPrice($B57,$J57, $K57, $C57, ($I57-$B$1)/365, $G57, $H57, $D57)) * $F57</f>
        <v/>
      </c>
      <c r="AE57" s="78">
        <f>(BSPrice($B57*0.98,$J57, $K57, $C57, ($I57-$B$1)/365, $G57, $H57, $D57) - BSPrice($B57,$J57, $K57, $C57, ($I57-$B$1)/365, $G57, $H57, $D57)) * $F57</f>
        <v/>
      </c>
      <c r="AF57" s="78">
        <f>(BSPrice($B57*1.02,$J57, $K57, $C57, ($I57-$B$1)/365, $G57, $H57, $D57) - BSPrice($B57,$J57, $K57, $C57, ($I57-$B$1)/365, $G57, $H57, $D57)) * $F57</f>
        <v/>
      </c>
      <c r="AG57" s="78">
        <f>(BSPrice($B57*1.05,$J57, $K57, $C57, ($I57-$B$1)/365, $G57, $H57, $D57) - BSPrice($B57,$J57, $K57, $C57, ($I57-$B$1)/365, $G57, $H57, $D57)) * $F57</f>
        <v/>
      </c>
      <c r="AH57" s="78">
        <f>(BSPrice($B57*1.1,$J57, $K57, $C57, ($I57-$B$1)/365, $G57, $H57, $D57) - BSPrice($B57,$J57, $K57, $C57, ($I57-$B$1)/365, $G57, $H57, $D57)) * $F57</f>
        <v/>
      </c>
      <c r="AI57" s="78">
        <f>(BSPrice($B57*1.2,$J57, $K57, $C57, ($I57-$B$1)/365, $G57, $H57, $D57) - BSPrice($B57,$J57, $K57, $C57, ($I57-$B$1)/365, $G57, $H57, $D57)) * $F57</f>
        <v/>
      </c>
      <c r="AJ57" s="78">
        <f>(BSPrice($B57,$J57-0.1, $K57, $C57, ($I57-$B$1)/365, $G57, $H57, $D57) - BSPrice($B57,$J57, $K57, $C57, ($I57-$B$1)/365, $G57, $H57, $D57)) * $F57</f>
        <v/>
      </c>
      <c r="AK57" s="78">
        <f>(BSPrice($B57,$J57-0.05,$K57,$C57,($I57-$B$1)/365,$G57,$H57,$D57)-BSPrice($B57,$J57,$K57,$C57,($I57-$B$1)/365,$G57,$H57,$D57))*$F57</f>
        <v/>
      </c>
      <c r="AL57" s="78">
        <f>(BSPrice($B57,$J57-0.02, $K57, $C57, ($I57-$B$1)/365, $G57, $H57, $D57) - BSPrice($B57,$J57, $K57, $C57, ($I57-$B$1)/365, $G57, $H57, $D57)) * $F57</f>
        <v/>
      </c>
      <c r="AM57" s="78">
        <f>(BSPrice($B57,$J57-0.01, $K57, $C57, ($I57-$B$1)/365, $G57, $H57, $D57) - BSPrice($B57,$J57, $K57, $C57, ($I57-$B$1)/365, $G57, $H57, $D57)) * $F57</f>
        <v/>
      </c>
      <c r="AN57" s="78">
        <f>(BSPrice($B57,$J57+0.01, $K57, $C57, ($I57-$B$1)/365, $G57, $H57, $D57) - BSPrice($B57,$J57, $K57, $C57, ($I57-$B$1)/365, $G57, $H57, $D57)) * $F57</f>
        <v/>
      </c>
      <c r="AO57" s="78">
        <f>(BSPrice($B57,$J57+0.02, $K57, $C57, ($I57-$B$1)/365, $G57, $H57, $D57) - BSPrice($B57,$J57, $K57, $C57, ($I57-$B$1)/365, $G57, $H57, $D57)) * $F57</f>
        <v/>
      </c>
      <c r="AP57" s="78">
        <f>(BSPrice($B57,$J57+0.05, $K57, $C57, ($I57-$B$1)/365, $G57, $H57, $D57) - BSPrice($B57,$J57, $K57, $C57, ($I57-$B$1)/365, $G57, $H57, $D57)) * $F57</f>
        <v/>
      </c>
      <c r="AQ57" s="78">
        <f>(BSPrice($B57,$J57+0.1, $K57, $C57, ($I57-$B$1)/365, $G57, $H57, $D57) - BSPrice($B57,$J57, $K57, $C57, ($I57-$B$1)/365, $G57, $H57, $D57)) * $F57</f>
        <v/>
      </c>
      <c r="AR57" s="60">
        <f>(BSPrice($B57*0.8,$J57+-0.05, $K57, $C57, ($I57-$B$1)/365, $G57, $H57, $D57) - BSPrice($B57,$J57, $K57, $C57, ($I57-$B$1)/365, $G57, $H57, $D57)) * $F57</f>
        <v/>
      </c>
      <c r="AS57" s="60">
        <f>(BSPrice($B57*0.8,$J57+-0.02, $K57, $C57, ($I57-$B$1)/365, $G57, $H57, $D57) - BSPrice($B57,$J57, $K57, $C57, ($I57-$B$1)/365, $G57, $H57, $D57)) * $F57</f>
        <v/>
      </c>
      <c r="AT57" s="60">
        <f>(BSPrice($B57*0.8,$J57+0, $K57, $C57, ($I57-$B$1)/365, $G57, $H57, $D57) - BSPrice($B57,$J57, $K57, $C57, ($I57-$B$1)/365, $G57, $H57, $D57)) * $F57</f>
        <v/>
      </c>
      <c r="AU57" s="60">
        <f>(BSPrice($B57*0.8,$J57+0.02, $K57, $C57, ($I57-$B$1)/365, $G57, $H57, $D57) - BSPrice($B57,$J57, $K57, $C57, ($I57-$B$1)/365, $G57, $H57, $D57)) * $F57</f>
        <v/>
      </c>
      <c r="AV57" s="60">
        <f>(BSPrice($B57*0.8,$J57+0.05, $K57, $C57, ($I57-$B$1)/365, $G57, $H57, $D57) - BSPrice($B57,$J57, $K57, $C57, ($I57-$B$1)/365, $G57, $H57, $D57)) * $F57</f>
        <v/>
      </c>
      <c r="AW57" s="60">
        <f>(BSPrice($B57*0.8,$J57+0.1, $K57, $C57, ($I57-$B$1)/365, $G57, $H57, $D57) - BSPrice($B57,$J57, $K57, $C57, ($I57-$B$1)/365, $G57, $H57, $D57)) * $F57</f>
        <v/>
      </c>
      <c r="AX57" s="60">
        <f>(BSPrice($B57*0.8,$J57+0.2, $K57, $C57, ($I57-$B$1)/365, $G57, $H57, $D57) - BSPrice($B57,$J57, $K57, $C57, ($I57-$B$1)/365, $G57, $H57, $D57)) * $F57</f>
        <v/>
      </c>
      <c r="AY57" s="60">
        <f>(BSPrice($B57*0.9,$J57+-0.05, $K57, $C57, ($I57-$B$1)/365, $G57, $H57, $D57) - BSPrice($B57,$J57, $K57, $C57, ($I57-$B$1)/365, $G57, $H57, $D57)) * $F57</f>
        <v/>
      </c>
      <c r="AZ57" s="60">
        <f>(BSPrice($B57*0.9,$J57+-0.02, $K57, $C57, ($I57-$B$1)/365, $G57, $H57, $D57) - BSPrice($B57,$J57, $K57, $C57, ($I57-$B$1)/365, $G57, $H57, $D57)) * $F57</f>
        <v/>
      </c>
      <c r="BA57" s="60">
        <f>(BSPrice($B57*0.9,$J57+0, $K57, $C57, ($I57-$B$1)/365, $G57, $H57, $D57) - BSPrice($B57,$J57, $K57, $C57, ($I57-$B$1)/365, $G57, $H57, $D57)) * $F57</f>
        <v/>
      </c>
      <c r="BB57" s="60">
        <f>(BSPrice($B57*0.9,$J57+0.02, $K57, $C57, ($I57-$B$1)/365, $G57, $H57, $D57) - BSPrice($B57,$J57, $K57, $C57, ($I57-$B$1)/365, $G57, $H57, $D57)) * $F57</f>
        <v/>
      </c>
      <c r="BC57" s="60">
        <f>(BSPrice($B57*0.9,$J57+0.05, $K57, $C57, ($I57-$B$1)/365, $G57, $H57, $D57) - BSPrice($B57,$J57, $K57, $C57, ($I57-$B$1)/365, $G57, $H57, $D57)) * $F57</f>
        <v/>
      </c>
      <c r="BD57" s="60">
        <f>(BSPrice($B57*0.9,$J57+0.1, $K57, $C57, ($I57-$B$1)/365, $G57, $H57, $D57) - BSPrice($B57,$J57, $K57, $C57, ($I57-$B$1)/365, $G57, $H57, $D57)) * $F57</f>
        <v/>
      </c>
      <c r="BE57" s="60">
        <f>(BSPrice($B57*0.9,$J57+0.2, $K57, $C57, ($I57-$B$1)/365, $G57, $H57, $D57) - BSPrice($B57,$J57, $K57, $C57, ($I57-$B$1)/365, $G57, $H57, $D57)) * $F57</f>
        <v/>
      </c>
      <c r="BF57" s="60">
        <f>(BSPrice($B57*0.95,$J57+-0.05, $K57, $C57, ($I57-$B$1)/365, $G57, $H57, $D57) - BSPrice($B57,$J57, $K57, $C57, ($I57-$B$1)/365, $G57, $H57, $D57)) * $F57</f>
        <v/>
      </c>
      <c r="BG57" s="60">
        <f>(BSPrice($B57*0.95,$J57+-0.02, $K57, $C57, ($I57-$B$1)/365, $G57, $H57, $D57) - BSPrice($B57,$J57, $K57, $C57, ($I57-$B$1)/365, $G57, $H57, $D57)) * $F57</f>
        <v/>
      </c>
      <c r="BH57" s="60">
        <f>(BSPrice($B57*0.95,$J57+0, $K57, $C57, ($I57-$B$1)/365, $G57, $H57, $D57) - BSPrice($B57,$J57, $K57, $C57, ($I57-$B$1)/365, $G57, $H57, $D57)) * $F57</f>
        <v/>
      </c>
      <c r="BI57" s="60">
        <f>(BSPrice($B57*0.95,$J57+0.02, $K57, $C57, ($I57-$B$1)/365, $G57, $H57, $D57) - BSPrice($B57,$J57, $K57, $C57, ($I57-$B$1)/365, $G57, $H57, $D57)) * $F57</f>
        <v/>
      </c>
      <c r="BJ57" s="60">
        <f>(BSPrice($B57*0.95,$J57+0.05, $K57, $C57, ($I57-$B$1)/365, $G57, $H57, $D57) - BSPrice($B57,$J57, $K57, $C57, ($I57-$B$1)/365, $G57, $H57, $D57)) * $F57</f>
        <v/>
      </c>
      <c r="BK57" s="60">
        <f>(BSPrice($B57*0.95,$J57+0.1, $K57, $C57, ($I57-$B$1)/365, $G57, $H57, $D57) - BSPrice($B57,$J57, $K57, $C57, ($I57-$B$1)/365, $G57, $H57, $D57)) * $F57</f>
        <v/>
      </c>
      <c r="BL57" s="60">
        <f>(BSPrice($B57*0.95,$J57+0.2, $K57, $C57, ($I57-$B$1)/365, $G57, $H57, $D57) - BSPrice($B57,$J57, $K57, $C57, ($I57-$B$1)/365, $G57, $H57, $D57)) * $F57</f>
        <v/>
      </c>
      <c r="BM57" s="60">
        <f>(BSPrice($B57*1,$J57+-0.05, $K57, $C57, ($I57-$B$1)/365, $G57, $H57, $D57) - BSPrice($B57,$J57, $K57, $C57, ($I57-$B$1)/365, $G57, $H57, $D57)) * $F57</f>
        <v/>
      </c>
      <c r="BN57" s="60">
        <f>(BSPrice($B57*1,$J57+-0.02, $K57, $C57, ($I57-$B$1)/365, $G57, $H57, $D57) - BSPrice($B57,$J57, $K57, $C57, ($I57-$B$1)/365, $G57, $H57, $D57)) * $F57</f>
        <v/>
      </c>
      <c r="BO57" s="60">
        <f>(BSPrice($B57*1,$J57+0, $K57, $C57, ($I57-$B$1)/365, $G57, $H57, $D57) - BSPrice($B57,$J57, $K57, $C57, ($I57-$B$1)/365, $G57, $H57, $D57)) * $F57</f>
        <v/>
      </c>
      <c r="BP57" s="60">
        <f>(BSPrice($B57*1,$J57+0.02, $K57, $C57, ($I57-$B$1)/365, $G57, $H57, $D57) - BSPrice($B57,$J57, $K57, $C57, ($I57-$B$1)/365, $G57, $H57, $D57)) * $F57</f>
        <v/>
      </c>
      <c r="BQ57" s="60">
        <f>(BSPrice($B57*1,$J57+0.05, $K57, $C57, ($I57-$B$1)/365, $G57, $H57, $D57) - BSPrice($B57,$J57, $K57, $C57, ($I57-$B$1)/365, $G57, $H57, $D57)) * $F57</f>
        <v/>
      </c>
      <c r="BR57" s="60">
        <f>(BSPrice($B57*1,$J57+0.1, $K57, $C57, ($I57-$B$1)/365, $G57, $H57, $D57) - BSPrice($B57,$J57, $K57, $C57, ($I57-$B$1)/365, $G57, $H57, $D57)) * $F57</f>
        <v/>
      </c>
      <c r="BS57" s="60">
        <f>(BSPrice($B57*1,$J57+0.2, $K57, $C57, ($I57-$B$1)/365, $G57, $H57, $D57) - BSPrice($B57,$J57, $K57, $C57, ($I57-$B$1)/365, $G57, $H57, $D57)) * $F57</f>
        <v/>
      </c>
      <c r="BT57" s="60">
        <f>(BSPrice($B57*1.05,$J57+-0.05, $K57, $C57, ($I57-$B$1)/365, $G57, $H57, $D57) - BSPrice($B57,$J57, $K57, $C57, ($I57-$B$1)/365, $G57, $H57, $D57)) * $F57</f>
        <v/>
      </c>
      <c r="BU57" s="60">
        <f>(BSPrice($B57*1.05,$J57+-0.02, $K57, $C57, ($I57-$B$1)/365, $G57, $H57, $D57) - BSPrice($B57,$J57, $K57, $C57, ($I57-$B$1)/365, $G57, $H57, $D57)) * $F57</f>
        <v/>
      </c>
      <c r="BV57" s="60">
        <f>(BSPrice($B57*1.05,$J57+0, $K57, $C57, ($I57-$B$1)/365, $G57, $H57, $D57) - BSPrice($B57,$J57, $K57, $C57, ($I57-$B$1)/365, $G57, $H57, $D57)) * $F57</f>
        <v/>
      </c>
      <c r="BW57" s="60">
        <f>(BSPrice($B57*1.05,$J57+0.02, $K57, $C57, ($I57-$B$1)/365, $G57, $H57, $D57) - BSPrice($B57,$J57, $K57, $C57, ($I57-$B$1)/365, $G57, $H57, $D57)) * $F57</f>
        <v/>
      </c>
      <c r="BX57" s="60">
        <f>(BSPrice($B57*1.05,$J57+0.05, $K57, $C57, ($I57-$B$1)/365, $G57, $H57, $D57) - BSPrice($B57,$J57, $K57, $C57, ($I57-$B$1)/365, $G57, $H57, $D57)) * $F57</f>
        <v/>
      </c>
      <c r="BY57" s="60">
        <f>(BSPrice($B57*1.05,$J57+0.1, $K57, $C57, ($I57-$B$1)/365, $G57, $H57, $D57) - BSPrice($B57,$J57, $K57, $C57, ($I57-$B$1)/365, $G57, $H57, $D57)) * $F57</f>
        <v/>
      </c>
      <c r="BZ57" s="60">
        <f>(BSPrice($B57*1.05,$J57+0.2, $K57, $C57, ($I57-$B$1)/365, $G57, $H57, $D57) - BSPrice($B57,$J57, $K57, $C57, ($I57-$B$1)/365, $G57, $H57, $D57)) * $F57</f>
        <v/>
      </c>
      <c r="CA57" s="60">
        <f>(BSPrice($B57*1.1,$J57+-0.05, $K57, $C57, ($I57-$B$1)/365, $G57, $H57, $D57) - BSPrice($B57,$J57, $K57, $C57, ($I57-$B$1)/365, $G57, $H57, $D57)) * $F57</f>
        <v/>
      </c>
      <c r="CB57" s="60">
        <f>(BSPrice($B57*1.1,$J57+-0.02, $K57, $C57, ($I57-$B$1)/365, $G57, $H57, $D57) - BSPrice($B57,$J57, $K57, $C57, ($I57-$B$1)/365, $G57, $H57, $D57)) * $F57</f>
        <v/>
      </c>
      <c r="CC57" s="60">
        <f>(BSPrice($B57*1.1,$J57+0, $K57, $C57, ($I57-$B$1)/365, $G57, $H57, $D57) - BSPrice($B57,$J57, $K57, $C57, ($I57-$B$1)/365, $G57, $H57, $D57)) * $F57</f>
        <v/>
      </c>
      <c r="CD57" s="60">
        <f>(BSPrice($B57*1.1,$J57+0.02, $K57, $C57, ($I57-$B$1)/365, $G57, $H57, $D57) - BSPrice($B57,$J57, $K57, $C57, ($I57-$B$1)/365, $G57, $H57, $D57)) * $F57</f>
        <v/>
      </c>
      <c r="CE57" s="60">
        <f>(BSPrice($B57*1.1,$J57+0.05, $K57, $C57, ($I57-$B$1)/365, $G57, $H57, $D57) - BSPrice($B57,$J57, $K57, $C57, ($I57-$B$1)/365, $G57, $H57, $D57)) * $F57</f>
        <v/>
      </c>
      <c r="CF57" s="60">
        <f>(BSPrice($B57*1.1,$J57+0.1, $K57, $C57, ($I57-$B$1)/365, $G57, $H57, $D57) - BSPrice($B57,$J57, $K57, $C57, ($I57-$B$1)/365, $G57, $H57, $D57)) * $F57</f>
        <v/>
      </c>
      <c r="CG57" s="60">
        <f>(BSPrice($B57*1.1,$J57+0.2, $K57, $C57, ($I57-$B$1)/365, $G57, $H57, $D57) - BSPrice($B57,$J57, $K57, $C57, ($I57-$B$1)/365, $G57, $H57, $D57)) * $F57</f>
        <v/>
      </c>
      <c r="CH57" s="60">
        <f>(BSPrice($B57*1.2,$J57+-0.05, $K57, $C57, ($I57-$B$1)/365, $G57, $H57, $D57) - BSPrice($B57,$J57, $K57, $C57, ($I57-$B$1)/365, $G57, $H57, $D57)) * $F57</f>
        <v/>
      </c>
      <c r="CI57" s="60">
        <f>(BSPrice($B57*1.2,$J57+-0.02, $K57, $C57, ($I57-$B$1)/365, $G57, $H57, $D57) - BSPrice($B57,$J57, $K57, $C57, ($I57-$B$1)/365, $G57, $H57, $D57)) * $F57</f>
        <v/>
      </c>
      <c r="CJ57" s="60">
        <f>(BSPrice($B57*1.2,$J57+0, $K57, $C57, ($I57-$B$1)/365, $G57, $H57, $D57) - BSPrice($B57,$J57, $K57, $C57, ($I57-$B$1)/365, $G57, $H57, $D57)) * $F57</f>
        <v/>
      </c>
      <c r="CK57" s="60">
        <f>(BSPrice($B57*1.2,$J57+0.02, $K57, $C57, ($I57-$B$1)/365, $G57, $H57, $D57) - BSPrice($B57,$J57, $K57, $C57, ($I57-$B$1)/365, $G57, $H57, $D57)) * $F57</f>
        <v/>
      </c>
      <c r="CL57" s="60">
        <f>(BSPrice($B57*1.2,$J57+0.05, $K57, $C57, ($I57-$B$1)/365, $G57, $H57, $D57) - BSPrice($B57,$J57, $K57, $C57, ($I57-$B$1)/365, $G57, $H57, $D57)) * $F57</f>
        <v/>
      </c>
      <c r="CM57" s="60">
        <f>(BSPrice($B57*1.2,$J57+0.1, $K57, $C57, ($I57-$B$1)/365, $G57, $H57, $D57) - BSPrice($B57,$J57, $K57, $C57, ($I57-$B$1)/365, $G57, $H57, $D57)) * $F57</f>
        <v/>
      </c>
      <c r="CN57" s="60">
        <f>(BSPrice($B57*1.2,$J57+0.2, $K57, $C57, ($I57-$B$1)/365, $G57, $H57, $D57) - BSPrice($B57,$J57, $K57, $C57, ($I57-$B$1)/365, $G57, $H57, $D57)) * $F57</f>
        <v/>
      </c>
    </row>
    <row r="58">
      <c r="A58" s="3" t="inlineStr">
        <is>
          <t>SX5E Index</t>
        </is>
      </c>
      <c r="B58" s="4">
        <f>VLOOKUP(A58,PriceData!$K$4:$L$6,2,FALSE)</f>
        <v/>
      </c>
      <c r="C58" s="46">
        <f>VLOOKUP(A58,PriceData!$K$4:$M$6,3,FALSE)</f>
        <v/>
      </c>
      <c r="D58" s="4" t="inlineStr">
        <is>
          <t>Option</t>
        </is>
      </c>
      <c r="E58" s="4" t="inlineStr">
        <is>
          <t>EUR</t>
        </is>
      </c>
      <c r="F58" s="4" t="n">
        <v>20</v>
      </c>
      <c r="G58" s="4" t="n">
        <v>2731</v>
      </c>
      <c r="H58" s="4" t="inlineStr">
        <is>
          <t>Put</t>
        </is>
      </c>
      <c r="I58" s="5" t="n">
        <v>40347</v>
      </c>
      <c r="J58" s="46">
        <f>FindImpliedVol(A58, D58, G58, I58)</f>
        <v/>
      </c>
      <c r="K58" s="30">
        <f>VLOOKUP(I58,PriceData!$A$5:$D$7,MATCH($E58,PriceData!$A$4:$D$4,0),FALSE)</f>
        <v/>
      </c>
      <c r="L58" s="2">
        <f>BSPrice($B58,$J58, $K58, $C58, ($I58-$B$1)/365, $G58, $H58, $D58)</f>
        <v/>
      </c>
      <c r="M58" s="2">
        <f>F58*L58</f>
        <v/>
      </c>
      <c r="N58" s="4" t="inlineStr">
        <is>
          <t>JP Horgan</t>
        </is>
      </c>
      <c r="P58" s="60">
        <f>BSDelta(B58, J58, K58, C58, (I58-$B$1)/365, G58, H58, D58)</f>
        <v/>
      </c>
      <c r="Q58" s="60">
        <f>BSGamma(B58, J58, K58, C58, (I58-$B$1)/365, G58, D58)</f>
        <v/>
      </c>
      <c r="R58" s="58">
        <f>BSVega(B58, J58, K58, C58, (I58-$B$1)/365,G58, D58)</f>
        <v/>
      </c>
      <c r="S58" s="58">
        <f>BSVolga(B58, J58, K58, C58, (I58-$B$1)/365,G58, D58)</f>
        <v/>
      </c>
      <c r="T58" s="58">
        <f>BSVanna(B58,J58,K58, C58, (I58-$B$1)/365, G58, D58)</f>
        <v/>
      </c>
      <c r="U58" s="2">
        <f>BSRho(B58, J58, K58, C58, (I58-$B$1)/365, G58, H58, D58)</f>
        <v/>
      </c>
      <c r="V58" s="65">
        <f>$F58*$P58</f>
        <v/>
      </c>
      <c r="W58" s="65">
        <f>$F58*$Q58</f>
        <v/>
      </c>
      <c r="X58" s="78">
        <f>$F58*R58</f>
        <v/>
      </c>
      <c r="Y58" s="78">
        <f>$F58*S58</f>
        <v/>
      </c>
      <c r="Z58" s="78">
        <f>$F58*T58</f>
        <v/>
      </c>
      <c r="AA58" s="78">
        <f>$F58*U58</f>
        <v/>
      </c>
      <c r="AB58" s="78">
        <f>(BSPrice($B58*0.8,$J58, $K58, $C58, ($I58-$B$1)/365, $G58, $H58, $D58) - BSPrice($B58,$J58, $K58, $C58, ($I58-$B$1)/365, $G58, $H58, $D58)) * $F58</f>
        <v/>
      </c>
      <c r="AC58" s="78">
        <f>(BSPrice($B58*0.9,$J58, $K58, $C58, ($I58-$B$1)/365, $G58, $H58, $D58) - BSPrice($B58,$J58, $K58, $C58, ($I58-$B$1)/365, $G58, $H58, $D58)) * $F58</f>
        <v/>
      </c>
      <c r="AD58" s="78">
        <f>(BSPrice($B58*0.95,$J58, $K58, $C58, ($I58-$B$1)/365, $G58, $H58, $D58) - BSPrice($B58,$J58, $K58, $C58, ($I58-$B$1)/365, $G58, $H58, $D58)) * $F58</f>
        <v/>
      </c>
      <c r="AE58" s="78">
        <f>(BSPrice($B58*0.98,$J58, $K58, $C58, ($I58-$B$1)/365, $G58, $H58, $D58) - BSPrice($B58,$J58, $K58, $C58, ($I58-$B$1)/365, $G58, $H58, $D58)) * $F58</f>
        <v/>
      </c>
      <c r="AF58" s="78">
        <f>(BSPrice($B58*1.02,$J58, $K58, $C58, ($I58-$B$1)/365, $G58, $H58, $D58) - BSPrice($B58,$J58, $K58, $C58, ($I58-$B$1)/365, $G58, $H58, $D58)) * $F58</f>
        <v/>
      </c>
      <c r="AG58" s="78">
        <f>(BSPrice($B58*1.05,$J58, $K58, $C58, ($I58-$B$1)/365, $G58, $H58, $D58) - BSPrice($B58,$J58, $K58, $C58, ($I58-$B$1)/365, $G58, $H58, $D58)) * $F58</f>
        <v/>
      </c>
      <c r="AH58" s="78">
        <f>(BSPrice($B58*1.1,$J58, $K58, $C58, ($I58-$B$1)/365, $G58, $H58, $D58) - BSPrice($B58,$J58, $K58, $C58, ($I58-$B$1)/365, $G58, $H58, $D58)) * $F58</f>
        <v/>
      </c>
      <c r="AI58" s="78">
        <f>(BSPrice($B58*1.2,$J58, $K58, $C58, ($I58-$B$1)/365, $G58, $H58, $D58) - BSPrice($B58,$J58, $K58, $C58, ($I58-$B$1)/365, $G58, $H58, $D58)) * $F58</f>
        <v/>
      </c>
      <c r="AJ58" s="78">
        <f>(BSPrice($B58,$J58-0.1, $K58, $C58, ($I58-$B$1)/365, $G58, $H58, $D58) - BSPrice($B58,$J58, $K58, $C58, ($I58-$B$1)/365, $G58, $H58, $D58)) * $F58</f>
        <v/>
      </c>
      <c r="AK58" s="78">
        <f>(BSPrice($B58,$J58-0.05,$K58,$C58,($I58-$B$1)/365,$G58,$H58,$D58)-BSPrice($B58,$J58,$K58,$C58,($I58-$B$1)/365,$G58,$H58,$D58))*$F58</f>
        <v/>
      </c>
      <c r="AL58" s="78">
        <f>(BSPrice($B58,$J58-0.02, $K58, $C58, ($I58-$B$1)/365, $G58, $H58, $D58) - BSPrice($B58,$J58, $K58, $C58, ($I58-$B$1)/365, $G58, $H58, $D58)) * $F58</f>
        <v/>
      </c>
      <c r="AM58" s="78">
        <f>(BSPrice($B58,$J58-0.01, $K58, $C58, ($I58-$B$1)/365, $G58, $H58, $D58) - BSPrice($B58,$J58, $K58, $C58, ($I58-$B$1)/365, $G58, $H58, $D58)) * $F58</f>
        <v/>
      </c>
      <c r="AN58" s="78">
        <f>(BSPrice($B58,$J58+0.01, $K58, $C58, ($I58-$B$1)/365, $G58, $H58, $D58) - BSPrice($B58,$J58, $K58, $C58, ($I58-$B$1)/365, $G58, $H58, $D58)) * $F58</f>
        <v/>
      </c>
      <c r="AO58" s="78">
        <f>(BSPrice($B58,$J58+0.02, $K58, $C58, ($I58-$B$1)/365, $G58, $H58, $D58) - BSPrice($B58,$J58, $K58, $C58, ($I58-$B$1)/365, $G58, $H58, $D58)) * $F58</f>
        <v/>
      </c>
      <c r="AP58" s="78">
        <f>(BSPrice($B58,$J58+0.05, $K58, $C58, ($I58-$B$1)/365, $G58, $H58, $D58) - BSPrice($B58,$J58, $K58, $C58, ($I58-$B$1)/365, $G58, $H58, $D58)) * $F58</f>
        <v/>
      </c>
      <c r="AQ58" s="78">
        <f>(BSPrice($B58,$J58+0.1, $K58, $C58, ($I58-$B$1)/365, $G58, $H58, $D58) - BSPrice($B58,$J58, $K58, $C58, ($I58-$B$1)/365, $G58, $H58, $D58)) * $F58</f>
        <v/>
      </c>
      <c r="AR58" s="60">
        <f>(BSPrice($B58*0.8,$J58+-0.05, $K58, $C58, ($I58-$B$1)/365, $G58, $H58, $D58) - BSPrice($B58,$J58, $K58, $C58, ($I58-$B$1)/365, $G58, $H58, $D58)) * $F58</f>
        <v/>
      </c>
      <c r="AS58" s="60">
        <f>(BSPrice($B58*0.8,$J58+-0.02, $K58, $C58, ($I58-$B$1)/365, $G58, $H58, $D58) - BSPrice($B58,$J58, $K58, $C58, ($I58-$B$1)/365, $G58, $H58, $D58)) * $F58</f>
        <v/>
      </c>
      <c r="AT58" s="60">
        <f>(BSPrice($B58*0.8,$J58+0, $K58, $C58, ($I58-$B$1)/365, $G58, $H58, $D58) - BSPrice($B58,$J58, $K58, $C58, ($I58-$B$1)/365, $G58, $H58, $D58)) * $F58</f>
        <v/>
      </c>
      <c r="AU58" s="60">
        <f>(BSPrice($B58*0.8,$J58+0.02, $K58, $C58, ($I58-$B$1)/365, $G58, $H58, $D58) - BSPrice($B58,$J58, $K58, $C58, ($I58-$B$1)/365, $G58, $H58, $D58)) * $F58</f>
        <v/>
      </c>
      <c r="AV58" s="60">
        <f>(BSPrice($B58*0.8,$J58+0.05, $K58, $C58, ($I58-$B$1)/365, $G58, $H58, $D58) - BSPrice($B58,$J58, $K58, $C58, ($I58-$B$1)/365, $G58, $H58, $D58)) * $F58</f>
        <v/>
      </c>
      <c r="AW58" s="60">
        <f>(BSPrice($B58*0.8,$J58+0.1, $K58, $C58, ($I58-$B$1)/365, $G58, $H58, $D58) - BSPrice($B58,$J58, $K58, $C58, ($I58-$B$1)/365, $G58, $H58, $D58)) * $F58</f>
        <v/>
      </c>
      <c r="AX58" s="60">
        <f>(BSPrice($B58*0.8,$J58+0.2, $K58, $C58, ($I58-$B$1)/365, $G58, $H58, $D58) - BSPrice($B58,$J58, $K58, $C58, ($I58-$B$1)/365, $G58, $H58, $D58)) * $F58</f>
        <v/>
      </c>
      <c r="AY58" s="60">
        <f>(BSPrice($B58*0.9,$J58+-0.05, $K58, $C58, ($I58-$B$1)/365, $G58, $H58, $D58) - BSPrice($B58,$J58, $K58, $C58, ($I58-$B$1)/365, $G58, $H58, $D58)) * $F58</f>
        <v/>
      </c>
      <c r="AZ58" s="60">
        <f>(BSPrice($B58*0.9,$J58+-0.02, $K58, $C58, ($I58-$B$1)/365, $G58, $H58, $D58) - BSPrice($B58,$J58, $K58, $C58, ($I58-$B$1)/365, $G58, $H58, $D58)) * $F58</f>
        <v/>
      </c>
      <c r="BA58" s="60">
        <f>(BSPrice($B58*0.9,$J58+0, $K58, $C58, ($I58-$B$1)/365, $G58, $H58, $D58) - BSPrice($B58,$J58, $K58, $C58, ($I58-$B$1)/365, $G58, $H58, $D58)) * $F58</f>
        <v/>
      </c>
      <c r="BB58" s="60">
        <f>(BSPrice($B58*0.9,$J58+0.02, $K58, $C58, ($I58-$B$1)/365, $G58, $H58, $D58) - BSPrice($B58,$J58, $K58, $C58, ($I58-$B$1)/365, $G58, $H58, $D58)) * $F58</f>
        <v/>
      </c>
      <c r="BC58" s="60">
        <f>(BSPrice($B58*0.9,$J58+0.05, $K58, $C58, ($I58-$B$1)/365, $G58, $H58, $D58) - BSPrice($B58,$J58, $K58, $C58, ($I58-$B$1)/365, $G58, $H58, $D58)) * $F58</f>
        <v/>
      </c>
      <c r="BD58" s="60">
        <f>(BSPrice($B58*0.9,$J58+0.1, $K58, $C58, ($I58-$B$1)/365, $G58, $H58, $D58) - BSPrice($B58,$J58, $K58, $C58, ($I58-$B$1)/365, $G58, $H58, $D58)) * $F58</f>
        <v/>
      </c>
      <c r="BE58" s="60">
        <f>(BSPrice($B58*0.9,$J58+0.2, $K58, $C58, ($I58-$B$1)/365, $G58, $H58, $D58) - BSPrice($B58,$J58, $K58, $C58, ($I58-$B$1)/365, $G58, $H58, $D58)) * $F58</f>
        <v/>
      </c>
      <c r="BF58" s="60">
        <f>(BSPrice($B58*0.95,$J58+-0.05, $K58, $C58, ($I58-$B$1)/365, $G58, $H58, $D58) - BSPrice($B58,$J58, $K58, $C58, ($I58-$B$1)/365, $G58, $H58, $D58)) * $F58</f>
        <v/>
      </c>
      <c r="BG58" s="60">
        <f>(BSPrice($B58*0.95,$J58+-0.02, $K58, $C58, ($I58-$B$1)/365, $G58, $H58, $D58) - BSPrice($B58,$J58, $K58, $C58, ($I58-$B$1)/365, $G58, $H58, $D58)) * $F58</f>
        <v/>
      </c>
      <c r="BH58" s="60">
        <f>(BSPrice($B58*0.95,$J58+0, $K58, $C58, ($I58-$B$1)/365, $G58, $H58, $D58) - BSPrice($B58,$J58, $K58, $C58, ($I58-$B$1)/365, $G58, $H58, $D58)) * $F58</f>
        <v/>
      </c>
      <c r="BI58" s="60">
        <f>(BSPrice($B58*0.95,$J58+0.02, $K58, $C58, ($I58-$B$1)/365, $G58, $H58, $D58) - BSPrice($B58,$J58, $K58, $C58, ($I58-$B$1)/365, $G58, $H58, $D58)) * $F58</f>
        <v/>
      </c>
      <c r="BJ58" s="60">
        <f>(BSPrice($B58*0.95,$J58+0.05, $K58, $C58, ($I58-$B$1)/365, $G58, $H58, $D58) - BSPrice($B58,$J58, $K58, $C58, ($I58-$B$1)/365, $G58, $H58, $D58)) * $F58</f>
        <v/>
      </c>
      <c r="BK58" s="60">
        <f>(BSPrice($B58*0.95,$J58+0.1, $K58, $C58, ($I58-$B$1)/365, $G58, $H58, $D58) - BSPrice($B58,$J58, $K58, $C58, ($I58-$B$1)/365, $G58, $H58, $D58)) * $F58</f>
        <v/>
      </c>
      <c r="BL58" s="60">
        <f>(BSPrice($B58*0.95,$J58+0.2, $K58, $C58, ($I58-$B$1)/365, $G58, $H58, $D58) - BSPrice($B58,$J58, $K58, $C58, ($I58-$B$1)/365, $G58, $H58, $D58)) * $F58</f>
        <v/>
      </c>
      <c r="BM58" s="60">
        <f>(BSPrice($B58*1,$J58+-0.05, $K58, $C58, ($I58-$B$1)/365, $G58, $H58, $D58) - BSPrice($B58,$J58, $K58, $C58, ($I58-$B$1)/365, $G58, $H58, $D58)) * $F58</f>
        <v/>
      </c>
      <c r="BN58" s="60">
        <f>(BSPrice($B58*1,$J58+-0.02, $K58, $C58, ($I58-$B$1)/365, $G58, $H58, $D58) - BSPrice($B58,$J58, $K58, $C58, ($I58-$B$1)/365, $G58, $H58, $D58)) * $F58</f>
        <v/>
      </c>
      <c r="BO58" s="60">
        <f>(BSPrice($B58*1,$J58+0, $K58, $C58, ($I58-$B$1)/365, $G58, $H58, $D58) - BSPrice($B58,$J58, $K58, $C58, ($I58-$B$1)/365, $G58, $H58, $D58)) * $F58</f>
        <v/>
      </c>
      <c r="BP58" s="60">
        <f>(BSPrice($B58*1,$J58+0.02, $K58, $C58, ($I58-$B$1)/365, $G58, $H58, $D58) - BSPrice($B58,$J58, $K58, $C58, ($I58-$B$1)/365, $G58, $H58, $D58)) * $F58</f>
        <v/>
      </c>
      <c r="BQ58" s="60">
        <f>(BSPrice($B58*1,$J58+0.05, $K58, $C58, ($I58-$B$1)/365, $G58, $H58, $D58) - BSPrice($B58,$J58, $K58, $C58, ($I58-$B$1)/365, $G58, $H58, $D58)) * $F58</f>
        <v/>
      </c>
      <c r="BR58" s="60">
        <f>(BSPrice($B58*1,$J58+0.1, $K58, $C58, ($I58-$B$1)/365, $G58, $H58, $D58) - BSPrice($B58,$J58, $K58, $C58, ($I58-$B$1)/365, $G58, $H58, $D58)) * $F58</f>
        <v/>
      </c>
      <c r="BS58" s="60">
        <f>(BSPrice($B58*1,$J58+0.2, $K58, $C58, ($I58-$B$1)/365, $G58, $H58, $D58) - BSPrice($B58,$J58, $K58, $C58, ($I58-$B$1)/365, $G58, $H58, $D58)) * $F58</f>
        <v/>
      </c>
      <c r="BT58" s="60">
        <f>(BSPrice($B58*1.05,$J58+-0.05, $K58, $C58, ($I58-$B$1)/365, $G58, $H58, $D58) - BSPrice($B58,$J58, $K58, $C58, ($I58-$B$1)/365, $G58, $H58, $D58)) * $F58</f>
        <v/>
      </c>
      <c r="BU58" s="60">
        <f>(BSPrice($B58*1.05,$J58+-0.02, $K58, $C58, ($I58-$B$1)/365, $G58, $H58, $D58) - BSPrice($B58,$J58, $K58, $C58, ($I58-$B$1)/365, $G58, $H58, $D58)) * $F58</f>
        <v/>
      </c>
      <c r="BV58" s="60">
        <f>(BSPrice($B58*1.05,$J58+0, $K58, $C58, ($I58-$B$1)/365, $G58, $H58, $D58) - BSPrice($B58,$J58, $K58, $C58, ($I58-$B$1)/365, $G58, $H58, $D58)) * $F58</f>
        <v/>
      </c>
      <c r="BW58" s="60">
        <f>(BSPrice($B58*1.05,$J58+0.02, $K58, $C58, ($I58-$B$1)/365, $G58, $H58, $D58) - BSPrice($B58,$J58, $K58, $C58, ($I58-$B$1)/365, $G58, $H58, $D58)) * $F58</f>
        <v/>
      </c>
      <c r="BX58" s="60">
        <f>(BSPrice($B58*1.05,$J58+0.05, $K58, $C58, ($I58-$B$1)/365, $G58, $H58, $D58) - BSPrice($B58,$J58, $K58, $C58, ($I58-$B$1)/365, $G58, $H58, $D58)) * $F58</f>
        <v/>
      </c>
      <c r="BY58" s="60">
        <f>(BSPrice($B58*1.05,$J58+0.1, $K58, $C58, ($I58-$B$1)/365, $G58, $H58, $D58) - BSPrice($B58,$J58, $K58, $C58, ($I58-$B$1)/365, $G58, $H58, $D58)) * $F58</f>
        <v/>
      </c>
      <c r="BZ58" s="60">
        <f>(BSPrice($B58*1.05,$J58+0.2, $K58, $C58, ($I58-$B$1)/365, $G58, $H58, $D58) - BSPrice($B58,$J58, $K58, $C58, ($I58-$B$1)/365, $G58, $H58, $D58)) * $F58</f>
        <v/>
      </c>
      <c r="CA58" s="60">
        <f>(BSPrice($B58*1.1,$J58+-0.05, $K58, $C58, ($I58-$B$1)/365, $G58, $H58, $D58) - BSPrice($B58,$J58, $K58, $C58, ($I58-$B$1)/365, $G58, $H58, $D58)) * $F58</f>
        <v/>
      </c>
      <c r="CB58" s="60">
        <f>(BSPrice($B58*1.1,$J58+-0.02, $K58, $C58, ($I58-$B$1)/365, $G58, $H58, $D58) - BSPrice($B58,$J58, $K58, $C58, ($I58-$B$1)/365, $G58, $H58, $D58)) * $F58</f>
        <v/>
      </c>
      <c r="CC58" s="60">
        <f>(BSPrice($B58*1.1,$J58+0, $K58, $C58, ($I58-$B$1)/365, $G58, $H58, $D58) - BSPrice($B58,$J58, $K58, $C58, ($I58-$B$1)/365, $G58, $H58, $D58)) * $F58</f>
        <v/>
      </c>
      <c r="CD58" s="60">
        <f>(BSPrice($B58*1.1,$J58+0.02, $K58, $C58, ($I58-$B$1)/365, $G58, $H58, $D58) - BSPrice($B58,$J58, $K58, $C58, ($I58-$B$1)/365, $G58, $H58, $D58)) * $F58</f>
        <v/>
      </c>
      <c r="CE58" s="60">
        <f>(BSPrice($B58*1.1,$J58+0.05, $K58, $C58, ($I58-$B$1)/365, $G58, $H58, $D58) - BSPrice($B58,$J58, $K58, $C58, ($I58-$B$1)/365, $G58, $H58, $D58)) * $F58</f>
        <v/>
      </c>
      <c r="CF58" s="60">
        <f>(BSPrice($B58*1.1,$J58+0.1, $K58, $C58, ($I58-$B$1)/365, $G58, $H58, $D58) - BSPrice($B58,$J58, $K58, $C58, ($I58-$B$1)/365, $G58, $H58, $D58)) * $F58</f>
        <v/>
      </c>
      <c r="CG58" s="60">
        <f>(BSPrice($B58*1.1,$J58+0.2, $K58, $C58, ($I58-$B$1)/365, $G58, $H58, $D58) - BSPrice($B58,$J58, $K58, $C58, ($I58-$B$1)/365, $G58, $H58, $D58)) * $F58</f>
        <v/>
      </c>
      <c r="CH58" s="60">
        <f>(BSPrice($B58*1.2,$J58+-0.05, $K58, $C58, ($I58-$B$1)/365, $G58, $H58, $D58) - BSPrice($B58,$J58, $K58, $C58, ($I58-$B$1)/365, $G58, $H58, $D58)) * $F58</f>
        <v/>
      </c>
      <c r="CI58" s="60">
        <f>(BSPrice($B58*1.2,$J58+-0.02, $K58, $C58, ($I58-$B$1)/365, $G58, $H58, $D58) - BSPrice($B58,$J58, $K58, $C58, ($I58-$B$1)/365, $G58, $H58, $D58)) * $F58</f>
        <v/>
      </c>
      <c r="CJ58" s="60">
        <f>(BSPrice($B58*1.2,$J58+0, $K58, $C58, ($I58-$B$1)/365, $G58, $H58, $D58) - BSPrice($B58,$J58, $K58, $C58, ($I58-$B$1)/365, $G58, $H58, $D58)) * $F58</f>
        <v/>
      </c>
      <c r="CK58" s="60">
        <f>(BSPrice($B58*1.2,$J58+0.02, $K58, $C58, ($I58-$B$1)/365, $G58, $H58, $D58) - BSPrice($B58,$J58, $K58, $C58, ($I58-$B$1)/365, $G58, $H58, $D58)) * $F58</f>
        <v/>
      </c>
      <c r="CL58" s="60">
        <f>(BSPrice($B58*1.2,$J58+0.05, $K58, $C58, ($I58-$B$1)/365, $G58, $H58, $D58) - BSPrice($B58,$J58, $K58, $C58, ($I58-$B$1)/365, $G58, $H58, $D58)) * $F58</f>
        <v/>
      </c>
      <c r="CM58" s="60">
        <f>(BSPrice($B58*1.2,$J58+0.1, $K58, $C58, ($I58-$B$1)/365, $G58, $H58, $D58) - BSPrice($B58,$J58, $K58, $C58, ($I58-$B$1)/365, $G58, $H58, $D58)) * $F58</f>
        <v/>
      </c>
      <c r="CN58" s="60">
        <f>(BSPrice($B58*1.2,$J58+0.2, $K58, $C58, ($I58-$B$1)/365, $G58, $H58, $D58) - BSPrice($B58,$J58, $K58, $C58, ($I58-$B$1)/365, $G58, $H58, $D58)) * $F58</f>
        <v/>
      </c>
    </row>
    <row r="59">
      <c r="A59" s="3" t="inlineStr">
        <is>
          <t>SX5E Index</t>
        </is>
      </c>
      <c r="B59" s="4">
        <f>VLOOKUP(A59,PriceData!$K$4:$L$6,2,FALSE)</f>
        <v/>
      </c>
      <c r="C59" s="46">
        <f>VLOOKUP(A59,PriceData!$K$4:$M$6,3,FALSE)</f>
        <v/>
      </c>
      <c r="D59" s="4" t="inlineStr">
        <is>
          <t>Option</t>
        </is>
      </c>
      <c r="E59" s="4" t="inlineStr">
        <is>
          <t>EUR</t>
        </is>
      </c>
      <c r="F59" s="4" t="n">
        <v>-20</v>
      </c>
      <c r="G59" s="4" t="n">
        <v>3341</v>
      </c>
      <c r="H59" s="4" t="inlineStr">
        <is>
          <t>Put</t>
        </is>
      </c>
      <c r="I59" s="5" t="n">
        <v>40438</v>
      </c>
      <c r="J59" s="46">
        <f>FindImpliedVol(A59, D59, G59, I59)</f>
        <v/>
      </c>
      <c r="K59" s="30">
        <f>VLOOKUP(I59,PriceData!$A$5:$D$7,MATCH($E59,PriceData!$A$4:$D$4,0),FALSE)</f>
        <v/>
      </c>
      <c r="L59" s="2">
        <f>BSPrice($B59,$J59, $K59, $C59, ($I59-$B$1)/365, $G59, $H59, $D59)</f>
        <v/>
      </c>
      <c r="M59" s="2">
        <f>F59*L59</f>
        <v/>
      </c>
      <c r="N59" s="4" t="inlineStr">
        <is>
          <t>Exch</t>
        </is>
      </c>
      <c r="P59" s="60">
        <f>BSDelta(B59, J59, K59, C59, (I59-$B$1)/365, G59, H59, D59)</f>
        <v/>
      </c>
      <c r="Q59" s="60">
        <f>BSGamma(B59, J59, K59, C59, (I59-$B$1)/365, G59, D59)</f>
        <v/>
      </c>
      <c r="R59" s="58">
        <f>BSVega(B59, J59, K59, C59, (I59-$B$1)/365,G59, D59)</f>
        <v/>
      </c>
      <c r="S59" s="58">
        <f>BSVolga(B59, J59, K59, C59, (I59-$B$1)/365,G59, D59)</f>
        <v/>
      </c>
      <c r="T59" s="58">
        <f>BSVanna(B59,J59,K59, C59, (I59-$B$1)/365, G59, D59)</f>
        <v/>
      </c>
      <c r="U59" s="2">
        <f>BSRho(B59, J59, K59, C59, (I59-$B$1)/365, G59, H59, D59)</f>
        <v/>
      </c>
      <c r="V59" s="65">
        <f>$F59*$P59</f>
        <v/>
      </c>
      <c r="W59" s="65">
        <f>$F59*$Q59</f>
        <v/>
      </c>
      <c r="X59" s="78">
        <f>$F59*R59</f>
        <v/>
      </c>
      <c r="Y59" s="78">
        <f>$F59*S59</f>
        <v/>
      </c>
      <c r="Z59" s="78">
        <f>$F59*T59</f>
        <v/>
      </c>
      <c r="AA59" s="78">
        <f>$F59*U59</f>
        <v/>
      </c>
      <c r="AB59" s="78">
        <f>(BSPrice($B59*0.8,$J59, $K59, $C59, ($I59-$B$1)/365, $G59, $H59, $D59) - BSPrice($B59,$J59, $K59, $C59, ($I59-$B$1)/365, $G59, $H59, $D59)) * $F59</f>
        <v/>
      </c>
      <c r="AC59" s="78">
        <f>(BSPrice($B59*0.9,$J59, $K59, $C59, ($I59-$B$1)/365, $G59, $H59, $D59) - BSPrice($B59,$J59, $K59, $C59, ($I59-$B$1)/365, $G59, $H59, $D59)) * $F59</f>
        <v/>
      </c>
      <c r="AD59" s="78">
        <f>(BSPrice($B59*0.95,$J59, $K59, $C59, ($I59-$B$1)/365, $G59, $H59, $D59) - BSPrice($B59,$J59, $K59, $C59, ($I59-$B$1)/365, $G59, $H59, $D59)) * $F59</f>
        <v/>
      </c>
      <c r="AE59" s="78">
        <f>(BSPrice($B59*0.98,$J59, $K59, $C59, ($I59-$B$1)/365, $G59, $H59, $D59) - BSPrice($B59,$J59, $K59, $C59, ($I59-$B$1)/365, $G59, $H59, $D59)) * $F59</f>
        <v/>
      </c>
      <c r="AF59" s="78">
        <f>(BSPrice($B59*1.02,$J59, $K59, $C59, ($I59-$B$1)/365, $G59, $H59, $D59) - BSPrice($B59,$J59, $K59, $C59, ($I59-$B$1)/365, $G59, $H59, $D59)) * $F59</f>
        <v/>
      </c>
      <c r="AG59" s="78">
        <f>(BSPrice($B59*1.05,$J59, $K59, $C59, ($I59-$B$1)/365, $G59, $H59, $D59) - BSPrice($B59,$J59, $K59, $C59, ($I59-$B$1)/365, $G59, $H59, $D59)) * $F59</f>
        <v/>
      </c>
      <c r="AH59" s="78">
        <f>(BSPrice($B59*1.1,$J59, $K59, $C59, ($I59-$B$1)/365, $G59, $H59, $D59) - BSPrice($B59,$J59, $K59, $C59, ($I59-$B$1)/365, $G59, $H59, $D59)) * $F59</f>
        <v/>
      </c>
      <c r="AI59" s="78">
        <f>(BSPrice($B59*1.2,$J59, $K59, $C59, ($I59-$B$1)/365, $G59, $H59, $D59) - BSPrice($B59,$J59, $K59, $C59, ($I59-$B$1)/365, $G59, $H59, $D59)) * $F59</f>
        <v/>
      </c>
      <c r="AJ59" s="78">
        <f>(BSPrice($B59,$J59-0.1, $K59, $C59, ($I59-$B$1)/365, $G59, $H59, $D59) - BSPrice($B59,$J59, $K59, $C59, ($I59-$B$1)/365, $G59, $H59, $D59)) * $F59</f>
        <v/>
      </c>
      <c r="AK59" s="78">
        <f>(BSPrice($B59,$J59-0.05,$K59,$C59,($I59-$B$1)/365,$G59,$H59,$D59)-BSPrice($B59,$J59,$K59,$C59,($I59-$B$1)/365,$G59,$H59,$D59))*$F59</f>
        <v/>
      </c>
      <c r="AL59" s="78">
        <f>(BSPrice($B59,$J59-0.02, $K59, $C59, ($I59-$B$1)/365, $G59, $H59, $D59) - BSPrice($B59,$J59, $K59, $C59, ($I59-$B$1)/365, $G59, $H59, $D59)) * $F59</f>
        <v/>
      </c>
      <c r="AM59" s="78">
        <f>(BSPrice($B59,$J59-0.01, $K59, $C59, ($I59-$B$1)/365, $G59, $H59, $D59) - BSPrice($B59,$J59, $K59, $C59, ($I59-$B$1)/365, $G59, $H59, $D59)) * $F59</f>
        <v/>
      </c>
      <c r="AN59" s="78">
        <f>(BSPrice($B59,$J59+0.01, $K59, $C59, ($I59-$B$1)/365, $G59, $H59, $D59) - BSPrice($B59,$J59, $K59, $C59, ($I59-$B$1)/365, $G59, $H59, $D59)) * $F59</f>
        <v/>
      </c>
      <c r="AO59" s="78">
        <f>(BSPrice($B59,$J59+0.02, $K59, $C59, ($I59-$B$1)/365, $G59, $H59, $D59) - BSPrice($B59,$J59, $K59, $C59, ($I59-$B$1)/365, $G59, $H59, $D59)) * $F59</f>
        <v/>
      </c>
      <c r="AP59" s="78">
        <f>(BSPrice($B59,$J59+0.05, $K59, $C59, ($I59-$B$1)/365, $G59, $H59, $D59) - BSPrice($B59,$J59, $K59, $C59, ($I59-$B$1)/365, $G59, $H59, $D59)) * $F59</f>
        <v/>
      </c>
      <c r="AQ59" s="78">
        <f>(BSPrice($B59,$J59+0.1, $K59, $C59, ($I59-$B$1)/365, $G59, $H59, $D59) - BSPrice($B59,$J59, $K59, $C59, ($I59-$B$1)/365, $G59, $H59, $D59)) * $F59</f>
        <v/>
      </c>
      <c r="AR59" s="60">
        <f>(BSPrice($B59*0.8,$J59+-0.05, $K59, $C59, ($I59-$B$1)/365, $G59, $H59, $D59) - BSPrice($B59,$J59, $K59, $C59, ($I59-$B$1)/365, $G59, $H59, $D59)) * $F59</f>
        <v/>
      </c>
      <c r="AS59" s="60">
        <f>(BSPrice($B59*0.8,$J59+-0.02, $K59, $C59, ($I59-$B$1)/365, $G59, $H59, $D59) - BSPrice($B59,$J59, $K59, $C59, ($I59-$B$1)/365, $G59, $H59, $D59)) * $F59</f>
        <v/>
      </c>
      <c r="AT59" s="60">
        <f>(BSPrice($B59*0.8,$J59+0, $K59, $C59, ($I59-$B$1)/365, $G59, $H59, $D59) - BSPrice($B59,$J59, $K59, $C59, ($I59-$B$1)/365, $G59, $H59, $D59)) * $F59</f>
        <v/>
      </c>
      <c r="AU59" s="60">
        <f>(BSPrice($B59*0.8,$J59+0.02, $K59, $C59, ($I59-$B$1)/365, $G59, $H59, $D59) - BSPrice($B59,$J59, $K59, $C59, ($I59-$B$1)/365, $G59, $H59, $D59)) * $F59</f>
        <v/>
      </c>
      <c r="AV59" s="60">
        <f>(BSPrice($B59*0.8,$J59+0.05, $K59, $C59, ($I59-$B$1)/365, $G59, $H59, $D59) - BSPrice($B59,$J59, $K59, $C59, ($I59-$B$1)/365, $G59, $H59, $D59)) * $F59</f>
        <v/>
      </c>
      <c r="AW59" s="60">
        <f>(BSPrice($B59*0.8,$J59+0.1, $K59, $C59, ($I59-$B$1)/365, $G59, $H59, $D59) - BSPrice($B59,$J59, $K59, $C59, ($I59-$B$1)/365, $G59, $H59, $D59)) * $F59</f>
        <v/>
      </c>
      <c r="AX59" s="60">
        <f>(BSPrice($B59*0.8,$J59+0.2, $K59, $C59, ($I59-$B$1)/365, $G59, $H59, $D59) - BSPrice($B59,$J59, $K59, $C59, ($I59-$B$1)/365, $G59, $H59, $D59)) * $F59</f>
        <v/>
      </c>
      <c r="AY59" s="60">
        <f>(BSPrice($B59*0.9,$J59+-0.05, $K59, $C59, ($I59-$B$1)/365, $G59, $H59, $D59) - BSPrice($B59,$J59, $K59, $C59, ($I59-$B$1)/365, $G59, $H59, $D59)) * $F59</f>
        <v/>
      </c>
      <c r="AZ59" s="60">
        <f>(BSPrice($B59*0.9,$J59+-0.02, $K59, $C59, ($I59-$B$1)/365, $G59, $H59, $D59) - BSPrice($B59,$J59, $K59, $C59, ($I59-$B$1)/365, $G59, $H59, $D59)) * $F59</f>
        <v/>
      </c>
      <c r="BA59" s="60">
        <f>(BSPrice($B59*0.9,$J59+0, $K59, $C59, ($I59-$B$1)/365, $G59, $H59, $D59) - BSPrice($B59,$J59, $K59, $C59, ($I59-$B$1)/365, $G59, $H59, $D59)) * $F59</f>
        <v/>
      </c>
      <c r="BB59" s="60">
        <f>(BSPrice($B59*0.9,$J59+0.02, $K59, $C59, ($I59-$B$1)/365, $G59, $H59, $D59) - BSPrice($B59,$J59, $K59, $C59, ($I59-$B$1)/365, $G59, $H59, $D59)) * $F59</f>
        <v/>
      </c>
      <c r="BC59" s="60">
        <f>(BSPrice($B59*0.9,$J59+0.05, $K59, $C59, ($I59-$B$1)/365, $G59, $H59, $D59) - BSPrice($B59,$J59, $K59, $C59, ($I59-$B$1)/365, $G59, $H59, $D59)) * $F59</f>
        <v/>
      </c>
      <c r="BD59" s="60">
        <f>(BSPrice($B59*0.9,$J59+0.1, $K59, $C59, ($I59-$B$1)/365, $G59, $H59, $D59) - BSPrice($B59,$J59, $K59, $C59, ($I59-$B$1)/365, $G59, $H59, $D59)) * $F59</f>
        <v/>
      </c>
      <c r="BE59" s="60">
        <f>(BSPrice($B59*0.9,$J59+0.2, $K59, $C59, ($I59-$B$1)/365, $G59, $H59, $D59) - BSPrice($B59,$J59, $K59, $C59, ($I59-$B$1)/365, $G59, $H59, $D59)) * $F59</f>
        <v/>
      </c>
      <c r="BF59" s="60">
        <f>(BSPrice($B59*0.95,$J59+-0.05, $K59, $C59, ($I59-$B$1)/365, $G59, $H59, $D59) - BSPrice($B59,$J59, $K59, $C59, ($I59-$B$1)/365, $G59, $H59, $D59)) * $F59</f>
        <v/>
      </c>
      <c r="BG59" s="60">
        <f>(BSPrice($B59*0.95,$J59+-0.02, $K59, $C59, ($I59-$B$1)/365, $G59, $H59, $D59) - BSPrice($B59,$J59, $K59, $C59, ($I59-$B$1)/365, $G59, $H59, $D59)) * $F59</f>
        <v/>
      </c>
      <c r="BH59" s="60">
        <f>(BSPrice($B59*0.95,$J59+0, $K59, $C59, ($I59-$B$1)/365, $G59, $H59, $D59) - BSPrice($B59,$J59, $K59, $C59, ($I59-$B$1)/365, $G59, $H59, $D59)) * $F59</f>
        <v/>
      </c>
      <c r="BI59" s="60">
        <f>(BSPrice($B59*0.95,$J59+0.02, $K59, $C59, ($I59-$B$1)/365, $G59, $H59, $D59) - BSPrice($B59,$J59, $K59, $C59, ($I59-$B$1)/365, $G59, $H59, $D59)) * $F59</f>
        <v/>
      </c>
      <c r="BJ59" s="60">
        <f>(BSPrice($B59*0.95,$J59+0.05, $K59, $C59, ($I59-$B$1)/365, $G59, $H59, $D59) - BSPrice($B59,$J59, $K59, $C59, ($I59-$B$1)/365, $G59, $H59, $D59)) * $F59</f>
        <v/>
      </c>
      <c r="BK59" s="60">
        <f>(BSPrice($B59*0.95,$J59+0.1, $K59, $C59, ($I59-$B$1)/365, $G59, $H59, $D59) - BSPrice($B59,$J59, $K59, $C59, ($I59-$B$1)/365, $G59, $H59, $D59)) * $F59</f>
        <v/>
      </c>
      <c r="BL59" s="60">
        <f>(BSPrice($B59*0.95,$J59+0.2, $K59, $C59, ($I59-$B$1)/365, $G59, $H59, $D59) - BSPrice($B59,$J59, $K59, $C59, ($I59-$B$1)/365, $G59, $H59, $D59)) * $F59</f>
        <v/>
      </c>
      <c r="BM59" s="60">
        <f>(BSPrice($B59*1,$J59+-0.05, $K59, $C59, ($I59-$B$1)/365, $G59, $H59, $D59) - BSPrice($B59,$J59, $K59, $C59, ($I59-$B$1)/365, $G59, $H59, $D59)) * $F59</f>
        <v/>
      </c>
      <c r="BN59" s="60">
        <f>(BSPrice($B59*1,$J59+-0.02, $K59, $C59, ($I59-$B$1)/365, $G59, $H59, $D59) - BSPrice($B59,$J59, $K59, $C59, ($I59-$B$1)/365, $G59, $H59, $D59)) * $F59</f>
        <v/>
      </c>
      <c r="BO59" s="60">
        <f>(BSPrice($B59*1,$J59+0, $K59, $C59, ($I59-$B$1)/365, $G59, $H59, $D59) - BSPrice($B59,$J59, $K59, $C59, ($I59-$B$1)/365, $G59, $H59, $D59)) * $F59</f>
        <v/>
      </c>
      <c r="BP59" s="60">
        <f>(BSPrice($B59*1,$J59+0.02, $K59, $C59, ($I59-$B$1)/365, $G59, $H59, $D59) - BSPrice($B59,$J59, $K59, $C59, ($I59-$B$1)/365, $G59, $H59, $D59)) * $F59</f>
        <v/>
      </c>
      <c r="BQ59" s="60">
        <f>(BSPrice($B59*1,$J59+0.05, $K59, $C59, ($I59-$B$1)/365, $G59, $H59, $D59) - BSPrice($B59,$J59, $K59, $C59, ($I59-$B$1)/365, $G59, $H59, $D59)) * $F59</f>
        <v/>
      </c>
      <c r="BR59" s="60">
        <f>(BSPrice($B59*1,$J59+0.1, $K59, $C59, ($I59-$B$1)/365, $G59, $H59, $D59) - BSPrice($B59,$J59, $K59, $C59, ($I59-$B$1)/365, $G59, $H59, $D59)) * $F59</f>
        <v/>
      </c>
      <c r="BS59" s="60">
        <f>(BSPrice($B59*1,$J59+0.2, $K59, $C59, ($I59-$B$1)/365, $G59, $H59, $D59) - BSPrice($B59,$J59, $K59, $C59, ($I59-$B$1)/365, $G59, $H59, $D59)) * $F59</f>
        <v/>
      </c>
      <c r="BT59" s="60">
        <f>(BSPrice($B59*1.05,$J59+-0.05, $K59, $C59, ($I59-$B$1)/365, $G59, $H59, $D59) - BSPrice($B59,$J59, $K59, $C59, ($I59-$B$1)/365, $G59, $H59, $D59)) * $F59</f>
        <v/>
      </c>
      <c r="BU59" s="60">
        <f>(BSPrice($B59*1.05,$J59+-0.02, $K59, $C59, ($I59-$B$1)/365, $G59, $H59, $D59) - BSPrice($B59,$J59, $K59, $C59, ($I59-$B$1)/365, $G59, $H59, $D59)) * $F59</f>
        <v/>
      </c>
      <c r="BV59" s="60">
        <f>(BSPrice($B59*1.05,$J59+0, $K59, $C59, ($I59-$B$1)/365, $G59, $H59, $D59) - BSPrice($B59,$J59, $K59, $C59, ($I59-$B$1)/365, $G59, $H59, $D59)) * $F59</f>
        <v/>
      </c>
      <c r="BW59" s="60">
        <f>(BSPrice($B59*1.05,$J59+0.02, $K59, $C59, ($I59-$B$1)/365, $G59, $H59, $D59) - BSPrice($B59,$J59, $K59, $C59, ($I59-$B$1)/365, $G59, $H59, $D59)) * $F59</f>
        <v/>
      </c>
      <c r="BX59" s="60">
        <f>(BSPrice($B59*1.05,$J59+0.05, $K59, $C59, ($I59-$B$1)/365, $G59, $H59, $D59) - BSPrice($B59,$J59, $K59, $C59, ($I59-$B$1)/365, $G59, $H59, $D59)) * $F59</f>
        <v/>
      </c>
      <c r="BY59" s="60">
        <f>(BSPrice($B59*1.05,$J59+0.1, $K59, $C59, ($I59-$B$1)/365, $G59, $H59, $D59) - BSPrice($B59,$J59, $K59, $C59, ($I59-$B$1)/365, $G59, $H59, $D59)) * $F59</f>
        <v/>
      </c>
      <c r="BZ59" s="60">
        <f>(BSPrice($B59*1.05,$J59+0.2, $K59, $C59, ($I59-$B$1)/365, $G59, $H59, $D59) - BSPrice($B59,$J59, $K59, $C59, ($I59-$B$1)/365, $G59, $H59, $D59)) * $F59</f>
        <v/>
      </c>
      <c r="CA59" s="60">
        <f>(BSPrice($B59*1.1,$J59+-0.05, $K59, $C59, ($I59-$B$1)/365, $G59, $H59, $D59) - BSPrice($B59,$J59, $K59, $C59, ($I59-$B$1)/365, $G59, $H59, $D59)) * $F59</f>
        <v/>
      </c>
      <c r="CB59" s="60">
        <f>(BSPrice($B59*1.1,$J59+-0.02, $K59, $C59, ($I59-$B$1)/365, $G59, $H59, $D59) - BSPrice($B59,$J59, $K59, $C59, ($I59-$B$1)/365, $G59, $H59, $D59)) * $F59</f>
        <v/>
      </c>
      <c r="CC59" s="60">
        <f>(BSPrice($B59*1.1,$J59+0, $K59, $C59, ($I59-$B$1)/365, $G59, $H59, $D59) - BSPrice($B59,$J59, $K59, $C59, ($I59-$B$1)/365, $G59, $H59, $D59)) * $F59</f>
        <v/>
      </c>
      <c r="CD59" s="60">
        <f>(BSPrice($B59*1.1,$J59+0.02, $K59, $C59, ($I59-$B$1)/365, $G59, $H59, $D59) - BSPrice($B59,$J59, $K59, $C59, ($I59-$B$1)/365, $G59, $H59, $D59)) * $F59</f>
        <v/>
      </c>
      <c r="CE59" s="60">
        <f>(BSPrice($B59*1.1,$J59+0.05, $K59, $C59, ($I59-$B$1)/365, $G59, $H59, $D59) - BSPrice($B59,$J59, $K59, $C59, ($I59-$B$1)/365, $G59, $H59, $D59)) * $F59</f>
        <v/>
      </c>
      <c r="CF59" s="60">
        <f>(BSPrice($B59*1.1,$J59+0.1, $K59, $C59, ($I59-$B$1)/365, $G59, $H59, $D59) - BSPrice($B59,$J59, $K59, $C59, ($I59-$B$1)/365, $G59, $H59, $D59)) * $F59</f>
        <v/>
      </c>
      <c r="CG59" s="60">
        <f>(BSPrice($B59*1.1,$J59+0.2, $K59, $C59, ($I59-$B$1)/365, $G59, $H59, $D59) - BSPrice($B59,$J59, $K59, $C59, ($I59-$B$1)/365, $G59, $H59, $D59)) * $F59</f>
        <v/>
      </c>
      <c r="CH59" s="60">
        <f>(BSPrice($B59*1.2,$J59+-0.05, $K59, $C59, ($I59-$B$1)/365, $G59, $H59, $D59) - BSPrice($B59,$J59, $K59, $C59, ($I59-$B$1)/365, $G59, $H59, $D59)) * $F59</f>
        <v/>
      </c>
      <c r="CI59" s="60">
        <f>(BSPrice($B59*1.2,$J59+-0.02, $K59, $C59, ($I59-$B$1)/365, $G59, $H59, $D59) - BSPrice($B59,$J59, $K59, $C59, ($I59-$B$1)/365, $G59, $H59, $D59)) * $F59</f>
        <v/>
      </c>
      <c r="CJ59" s="60">
        <f>(BSPrice($B59*1.2,$J59+0, $K59, $C59, ($I59-$B$1)/365, $G59, $H59, $D59) - BSPrice($B59,$J59, $K59, $C59, ($I59-$B$1)/365, $G59, $H59, $D59)) * $F59</f>
        <v/>
      </c>
      <c r="CK59" s="60">
        <f>(BSPrice($B59*1.2,$J59+0.02, $K59, $C59, ($I59-$B$1)/365, $G59, $H59, $D59) - BSPrice($B59,$J59, $K59, $C59, ($I59-$B$1)/365, $G59, $H59, $D59)) * $F59</f>
        <v/>
      </c>
      <c r="CL59" s="60">
        <f>(BSPrice($B59*1.2,$J59+0.05, $K59, $C59, ($I59-$B$1)/365, $G59, $H59, $D59) - BSPrice($B59,$J59, $K59, $C59, ($I59-$B$1)/365, $G59, $H59, $D59)) * $F59</f>
        <v/>
      </c>
      <c r="CM59" s="60">
        <f>(BSPrice($B59*1.2,$J59+0.1, $K59, $C59, ($I59-$B$1)/365, $G59, $H59, $D59) - BSPrice($B59,$J59, $K59, $C59, ($I59-$B$1)/365, $G59, $H59, $D59)) * $F59</f>
        <v/>
      </c>
      <c r="CN59" s="60">
        <f>(BSPrice($B59*1.2,$J59+0.2, $K59, $C59, ($I59-$B$1)/365, $G59, $H59, $D59) - BSPrice($B59,$J59, $K59, $C59, ($I59-$B$1)/365, $G59, $H59, $D59)) * $F59</f>
        <v/>
      </c>
    </row>
    <row r="60">
      <c r="A60" s="3" t="inlineStr">
        <is>
          <t>SX5E Index</t>
        </is>
      </c>
      <c r="B60" s="4">
        <f>VLOOKUP(A60,PriceData!$K$4:$L$6,2,FALSE)</f>
        <v/>
      </c>
      <c r="C60" s="46">
        <f>VLOOKUP(A60,PriceData!$K$4:$M$6,3,FALSE)</f>
        <v/>
      </c>
      <c r="D60" s="4" t="inlineStr">
        <is>
          <t>Option</t>
        </is>
      </c>
      <c r="E60" s="4" t="inlineStr">
        <is>
          <t>EUR</t>
        </is>
      </c>
      <c r="F60" s="4" t="n">
        <v>-20</v>
      </c>
      <c r="G60" s="4" t="n">
        <v>2731</v>
      </c>
      <c r="H60" s="4" t="inlineStr">
        <is>
          <t>Put</t>
        </is>
      </c>
      <c r="I60" s="5" t="n">
        <v>40438</v>
      </c>
      <c r="J60" s="46">
        <f>FindImpliedVol(A60, D60, G60, I60)</f>
        <v/>
      </c>
      <c r="K60" s="30">
        <f>VLOOKUP(I60,PriceData!$A$5:$D$7,MATCH($E60,PriceData!$A$4:$D$4,0),FALSE)</f>
        <v/>
      </c>
      <c r="L60" s="2">
        <f>BSPrice($B60,$J60, $K60, $C60, ($I60-$B$1)/365, $G60, $H60, $D60)</f>
        <v/>
      </c>
      <c r="M60" s="2">
        <f>F60*L60</f>
        <v/>
      </c>
      <c r="N60" s="4" t="inlineStr">
        <is>
          <t>Exch</t>
        </is>
      </c>
      <c r="P60" s="60">
        <f>BSDelta(B60, J60, K60, C60, (I60-$B$1)/365, G60, H60, D60)</f>
        <v/>
      </c>
      <c r="Q60" s="60">
        <f>BSGamma(B60, J60, K60, C60, (I60-$B$1)/365, G60, D60)</f>
        <v/>
      </c>
      <c r="R60" s="58">
        <f>BSVega(B60, J60, K60, C60, (I60-$B$1)/365,G60, D60)</f>
        <v/>
      </c>
      <c r="S60" s="58">
        <f>BSVolga(B60, J60, K60, C60, (I60-$B$1)/365,G60, D60)</f>
        <v/>
      </c>
      <c r="T60" s="58">
        <f>BSVanna(B60,J60,K60, C60, (I60-$B$1)/365, G60, D60)</f>
        <v/>
      </c>
      <c r="U60" s="2">
        <f>BSRho(B60, J60, K60, C60, (I60-$B$1)/365, G60, H60, D60)</f>
        <v/>
      </c>
      <c r="V60" s="65">
        <f>$F60*$P60</f>
        <v/>
      </c>
      <c r="W60" s="65">
        <f>$F60*$Q60</f>
        <v/>
      </c>
      <c r="X60" s="78">
        <f>$F60*R60</f>
        <v/>
      </c>
      <c r="Y60" s="78">
        <f>$F60*S60</f>
        <v/>
      </c>
      <c r="Z60" s="78">
        <f>$F60*T60</f>
        <v/>
      </c>
      <c r="AA60" s="78">
        <f>$F60*U60</f>
        <v/>
      </c>
      <c r="AB60" s="78">
        <f>(BSPrice($B60*0.8,$J60, $K60, $C60, ($I60-$B$1)/365, $G60, $H60, $D60) - BSPrice($B60,$J60, $K60, $C60, ($I60-$B$1)/365, $G60, $H60, $D60)) * $F60</f>
        <v/>
      </c>
      <c r="AC60" s="78">
        <f>(BSPrice($B60*0.9,$J60, $K60, $C60, ($I60-$B$1)/365, $G60, $H60, $D60) - BSPrice($B60,$J60, $K60, $C60, ($I60-$B$1)/365, $G60, $H60, $D60)) * $F60</f>
        <v/>
      </c>
      <c r="AD60" s="78">
        <f>(BSPrice($B60*0.95,$J60, $K60, $C60, ($I60-$B$1)/365, $G60, $H60, $D60) - BSPrice($B60,$J60, $K60, $C60, ($I60-$B$1)/365, $G60, $H60, $D60)) * $F60</f>
        <v/>
      </c>
      <c r="AE60" s="78">
        <f>(BSPrice($B60*0.98,$J60, $K60, $C60, ($I60-$B$1)/365, $G60, $H60, $D60) - BSPrice($B60,$J60, $K60, $C60, ($I60-$B$1)/365, $G60, $H60, $D60)) * $F60</f>
        <v/>
      </c>
      <c r="AF60" s="78">
        <f>(BSPrice($B60*1.02,$J60, $K60, $C60, ($I60-$B$1)/365, $G60, $H60, $D60) - BSPrice($B60,$J60, $K60, $C60, ($I60-$B$1)/365, $G60, $H60, $D60)) * $F60</f>
        <v/>
      </c>
      <c r="AG60" s="78">
        <f>(BSPrice($B60*1.05,$J60, $K60, $C60, ($I60-$B$1)/365, $G60, $H60, $D60) - BSPrice($B60,$J60, $K60, $C60, ($I60-$B$1)/365, $G60, $H60, $D60)) * $F60</f>
        <v/>
      </c>
      <c r="AH60" s="78">
        <f>(BSPrice($B60*1.1,$J60, $K60, $C60, ($I60-$B$1)/365, $G60, $H60, $D60) - BSPrice($B60,$J60, $K60, $C60, ($I60-$B$1)/365, $G60, $H60, $D60)) * $F60</f>
        <v/>
      </c>
      <c r="AI60" s="78">
        <f>(BSPrice($B60*1.2,$J60, $K60, $C60, ($I60-$B$1)/365, $G60, $H60, $D60) - BSPrice($B60,$J60, $K60, $C60, ($I60-$B$1)/365, $G60, $H60, $D60)) * $F60</f>
        <v/>
      </c>
      <c r="AJ60" s="78">
        <f>(BSPrice($B60,$J60-0.1, $K60, $C60, ($I60-$B$1)/365, $G60, $H60, $D60) - BSPrice($B60,$J60, $K60, $C60, ($I60-$B$1)/365, $G60, $H60, $D60)) * $F60</f>
        <v/>
      </c>
      <c r="AK60" s="78">
        <f>(BSPrice($B60,$J60-0.05,$K60,$C60,($I60-$B$1)/365,$G60,$H60,$D60)-BSPrice($B60,$J60,$K60,$C60,($I60-$B$1)/365,$G60,$H60,$D60))*$F60</f>
        <v/>
      </c>
      <c r="AL60" s="78">
        <f>(BSPrice($B60,$J60-0.02, $K60, $C60, ($I60-$B$1)/365, $G60, $H60, $D60) - BSPrice($B60,$J60, $K60, $C60, ($I60-$B$1)/365, $G60, $H60, $D60)) * $F60</f>
        <v/>
      </c>
      <c r="AM60" s="78">
        <f>(BSPrice($B60,$J60-0.01, $K60, $C60, ($I60-$B$1)/365, $G60, $H60, $D60) - BSPrice($B60,$J60, $K60, $C60, ($I60-$B$1)/365, $G60, $H60, $D60)) * $F60</f>
        <v/>
      </c>
      <c r="AN60" s="78">
        <f>(BSPrice($B60,$J60+0.01, $K60, $C60, ($I60-$B$1)/365, $G60, $H60, $D60) - BSPrice($B60,$J60, $K60, $C60, ($I60-$B$1)/365, $G60, $H60, $D60)) * $F60</f>
        <v/>
      </c>
      <c r="AO60" s="78">
        <f>(BSPrice($B60,$J60+0.02, $K60, $C60, ($I60-$B$1)/365, $G60, $H60, $D60) - BSPrice($B60,$J60, $K60, $C60, ($I60-$B$1)/365, $G60, $H60, $D60)) * $F60</f>
        <v/>
      </c>
      <c r="AP60" s="78">
        <f>(BSPrice($B60,$J60+0.05, $K60, $C60, ($I60-$B$1)/365, $G60, $H60, $D60) - BSPrice($B60,$J60, $K60, $C60, ($I60-$B$1)/365, $G60, $H60, $D60)) * $F60</f>
        <v/>
      </c>
      <c r="AQ60" s="78">
        <f>(BSPrice($B60,$J60+0.1, $K60, $C60, ($I60-$B$1)/365, $G60, $H60, $D60) - BSPrice($B60,$J60, $K60, $C60, ($I60-$B$1)/365, $G60, $H60, $D60)) * $F60</f>
        <v/>
      </c>
      <c r="AR60" s="60">
        <f>(BSPrice($B60*0.8,$J60+-0.05, $K60, $C60, ($I60-$B$1)/365, $G60, $H60, $D60) - BSPrice($B60,$J60, $K60, $C60, ($I60-$B$1)/365, $G60, $H60, $D60)) * $F60</f>
        <v/>
      </c>
      <c r="AS60" s="60">
        <f>(BSPrice($B60*0.8,$J60+-0.02, $K60, $C60, ($I60-$B$1)/365, $G60, $H60, $D60) - BSPrice($B60,$J60, $K60, $C60, ($I60-$B$1)/365, $G60, $H60, $D60)) * $F60</f>
        <v/>
      </c>
      <c r="AT60" s="60">
        <f>(BSPrice($B60*0.8,$J60+0, $K60, $C60, ($I60-$B$1)/365, $G60, $H60, $D60) - BSPrice($B60,$J60, $K60, $C60, ($I60-$B$1)/365, $G60, $H60, $D60)) * $F60</f>
        <v/>
      </c>
      <c r="AU60" s="60">
        <f>(BSPrice($B60*0.8,$J60+0.02, $K60, $C60, ($I60-$B$1)/365, $G60, $H60, $D60) - BSPrice($B60,$J60, $K60, $C60, ($I60-$B$1)/365, $G60, $H60, $D60)) * $F60</f>
        <v/>
      </c>
      <c r="AV60" s="60">
        <f>(BSPrice($B60*0.8,$J60+0.05, $K60, $C60, ($I60-$B$1)/365, $G60, $H60, $D60) - BSPrice($B60,$J60, $K60, $C60, ($I60-$B$1)/365, $G60, $H60, $D60)) * $F60</f>
        <v/>
      </c>
      <c r="AW60" s="60">
        <f>(BSPrice($B60*0.8,$J60+0.1, $K60, $C60, ($I60-$B$1)/365, $G60, $H60, $D60) - BSPrice($B60,$J60, $K60, $C60, ($I60-$B$1)/365, $G60, $H60, $D60)) * $F60</f>
        <v/>
      </c>
      <c r="AX60" s="60">
        <f>(BSPrice($B60*0.8,$J60+0.2, $K60, $C60, ($I60-$B$1)/365, $G60, $H60, $D60) - BSPrice($B60,$J60, $K60, $C60, ($I60-$B$1)/365, $G60, $H60, $D60)) * $F60</f>
        <v/>
      </c>
      <c r="AY60" s="60">
        <f>(BSPrice($B60*0.9,$J60+-0.05, $K60, $C60, ($I60-$B$1)/365, $G60, $H60, $D60) - BSPrice($B60,$J60, $K60, $C60, ($I60-$B$1)/365, $G60, $H60, $D60)) * $F60</f>
        <v/>
      </c>
      <c r="AZ60" s="60">
        <f>(BSPrice($B60*0.9,$J60+-0.02, $K60, $C60, ($I60-$B$1)/365, $G60, $H60, $D60) - BSPrice($B60,$J60, $K60, $C60, ($I60-$B$1)/365, $G60, $H60, $D60)) * $F60</f>
        <v/>
      </c>
      <c r="BA60" s="60">
        <f>(BSPrice($B60*0.9,$J60+0, $K60, $C60, ($I60-$B$1)/365, $G60, $H60, $D60) - BSPrice($B60,$J60, $K60, $C60, ($I60-$B$1)/365, $G60, $H60, $D60)) * $F60</f>
        <v/>
      </c>
      <c r="BB60" s="60">
        <f>(BSPrice($B60*0.9,$J60+0.02, $K60, $C60, ($I60-$B$1)/365, $G60, $H60, $D60) - BSPrice($B60,$J60, $K60, $C60, ($I60-$B$1)/365, $G60, $H60, $D60)) * $F60</f>
        <v/>
      </c>
      <c r="BC60" s="60">
        <f>(BSPrice($B60*0.9,$J60+0.05, $K60, $C60, ($I60-$B$1)/365, $G60, $H60, $D60) - BSPrice($B60,$J60, $K60, $C60, ($I60-$B$1)/365, $G60, $H60, $D60)) * $F60</f>
        <v/>
      </c>
      <c r="BD60" s="60">
        <f>(BSPrice($B60*0.9,$J60+0.1, $K60, $C60, ($I60-$B$1)/365, $G60, $H60, $D60) - BSPrice($B60,$J60, $K60, $C60, ($I60-$B$1)/365, $G60, $H60, $D60)) * $F60</f>
        <v/>
      </c>
      <c r="BE60" s="60">
        <f>(BSPrice($B60*0.9,$J60+0.2, $K60, $C60, ($I60-$B$1)/365, $G60, $H60, $D60) - BSPrice($B60,$J60, $K60, $C60, ($I60-$B$1)/365, $G60, $H60, $D60)) * $F60</f>
        <v/>
      </c>
      <c r="BF60" s="60">
        <f>(BSPrice($B60*0.95,$J60+-0.05, $K60, $C60, ($I60-$B$1)/365, $G60, $H60, $D60) - BSPrice($B60,$J60, $K60, $C60, ($I60-$B$1)/365, $G60, $H60, $D60)) * $F60</f>
        <v/>
      </c>
      <c r="BG60" s="60">
        <f>(BSPrice($B60*0.95,$J60+-0.02, $K60, $C60, ($I60-$B$1)/365, $G60, $H60, $D60) - BSPrice($B60,$J60, $K60, $C60, ($I60-$B$1)/365, $G60, $H60, $D60)) * $F60</f>
        <v/>
      </c>
      <c r="BH60" s="60">
        <f>(BSPrice($B60*0.95,$J60+0, $K60, $C60, ($I60-$B$1)/365, $G60, $H60, $D60) - BSPrice($B60,$J60, $K60, $C60, ($I60-$B$1)/365, $G60, $H60, $D60)) * $F60</f>
        <v/>
      </c>
      <c r="BI60" s="60">
        <f>(BSPrice($B60*0.95,$J60+0.02, $K60, $C60, ($I60-$B$1)/365, $G60, $H60, $D60) - BSPrice($B60,$J60, $K60, $C60, ($I60-$B$1)/365, $G60, $H60, $D60)) * $F60</f>
        <v/>
      </c>
      <c r="BJ60" s="60">
        <f>(BSPrice($B60*0.95,$J60+0.05, $K60, $C60, ($I60-$B$1)/365, $G60, $H60, $D60) - BSPrice($B60,$J60, $K60, $C60, ($I60-$B$1)/365, $G60, $H60, $D60)) * $F60</f>
        <v/>
      </c>
      <c r="BK60" s="60">
        <f>(BSPrice($B60*0.95,$J60+0.1, $K60, $C60, ($I60-$B$1)/365, $G60, $H60, $D60) - BSPrice($B60,$J60, $K60, $C60, ($I60-$B$1)/365, $G60, $H60, $D60)) * $F60</f>
        <v/>
      </c>
      <c r="BL60" s="60">
        <f>(BSPrice($B60*0.95,$J60+0.2, $K60, $C60, ($I60-$B$1)/365, $G60, $H60, $D60) - BSPrice($B60,$J60, $K60, $C60, ($I60-$B$1)/365, $G60, $H60, $D60)) * $F60</f>
        <v/>
      </c>
      <c r="BM60" s="60">
        <f>(BSPrice($B60*1,$J60+-0.05, $K60, $C60, ($I60-$B$1)/365, $G60, $H60, $D60) - BSPrice($B60,$J60, $K60, $C60, ($I60-$B$1)/365, $G60, $H60, $D60)) * $F60</f>
        <v/>
      </c>
      <c r="BN60" s="60">
        <f>(BSPrice($B60*1,$J60+-0.02, $K60, $C60, ($I60-$B$1)/365, $G60, $H60, $D60) - BSPrice($B60,$J60, $K60, $C60, ($I60-$B$1)/365, $G60, $H60, $D60)) * $F60</f>
        <v/>
      </c>
      <c r="BO60" s="60">
        <f>(BSPrice($B60*1,$J60+0, $K60, $C60, ($I60-$B$1)/365, $G60, $H60, $D60) - BSPrice($B60,$J60, $K60, $C60, ($I60-$B$1)/365, $G60, $H60, $D60)) * $F60</f>
        <v/>
      </c>
      <c r="BP60" s="60">
        <f>(BSPrice($B60*1,$J60+0.02, $K60, $C60, ($I60-$B$1)/365, $G60, $H60, $D60) - BSPrice($B60,$J60, $K60, $C60, ($I60-$B$1)/365, $G60, $H60, $D60)) * $F60</f>
        <v/>
      </c>
      <c r="BQ60" s="60">
        <f>(BSPrice($B60*1,$J60+0.05, $K60, $C60, ($I60-$B$1)/365, $G60, $H60, $D60) - BSPrice($B60,$J60, $K60, $C60, ($I60-$B$1)/365, $G60, $H60, $D60)) * $F60</f>
        <v/>
      </c>
      <c r="BR60" s="60">
        <f>(BSPrice($B60*1,$J60+0.1, $K60, $C60, ($I60-$B$1)/365, $G60, $H60, $D60) - BSPrice($B60,$J60, $K60, $C60, ($I60-$B$1)/365, $G60, $H60, $D60)) * $F60</f>
        <v/>
      </c>
      <c r="BS60" s="60">
        <f>(BSPrice($B60*1,$J60+0.2, $K60, $C60, ($I60-$B$1)/365, $G60, $H60, $D60) - BSPrice($B60,$J60, $K60, $C60, ($I60-$B$1)/365, $G60, $H60, $D60)) * $F60</f>
        <v/>
      </c>
      <c r="BT60" s="60">
        <f>(BSPrice($B60*1.05,$J60+-0.05, $K60, $C60, ($I60-$B$1)/365, $G60, $H60, $D60) - BSPrice($B60,$J60, $K60, $C60, ($I60-$B$1)/365, $G60, $H60, $D60)) * $F60</f>
        <v/>
      </c>
      <c r="BU60" s="60">
        <f>(BSPrice($B60*1.05,$J60+-0.02, $K60, $C60, ($I60-$B$1)/365, $G60, $H60, $D60) - BSPrice($B60,$J60, $K60, $C60, ($I60-$B$1)/365, $G60, $H60, $D60)) * $F60</f>
        <v/>
      </c>
      <c r="BV60" s="60">
        <f>(BSPrice($B60*1.05,$J60+0, $K60, $C60, ($I60-$B$1)/365, $G60, $H60, $D60) - BSPrice($B60,$J60, $K60, $C60, ($I60-$B$1)/365, $G60, $H60, $D60)) * $F60</f>
        <v/>
      </c>
      <c r="BW60" s="60">
        <f>(BSPrice($B60*1.05,$J60+0.02, $K60, $C60, ($I60-$B$1)/365, $G60, $H60, $D60) - BSPrice($B60,$J60, $K60, $C60, ($I60-$B$1)/365, $G60, $H60, $D60)) * $F60</f>
        <v/>
      </c>
      <c r="BX60" s="60">
        <f>(BSPrice($B60*1.05,$J60+0.05, $K60, $C60, ($I60-$B$1)/365, $G60, $H60, $D60) - BSPrice($B60,$J60, $K60, $C60, ($I60-$B$1)/365, $G60, $H60, $D60)) * $F60</f>
        <v/>
      </c>
      <c r="BY60" s="60">
        <f>(BSPrice($B60*1.05,$J60+0.1, $K60, $C60, ($I60-$B$1)/365, $G60, $H60, $D60) - BSPrice($B60,$J60, $K60, $C60, ($I60-$B$1)/365, $G60, $H60, $D60)) * $F60</f>
        <v/>
      </c>
      <c r="BZ60" s="60">
        <f>(BSPrice($B60*1.05,$J60+0.2, $K60, $C60, ($I60-$B$1)/365, $G60, $H60, $D60) - BSPrice($B60,$J60, $K60, $C60, ($I60-$B$1)/365, $G60, $H60, $D60)) * $F60</f>
        <v/>
      </c>
      <c r="CA60" s="60">
        <f>(BSPrice($B60*1.1,$J60+-0.05, $K60, $C60, ($I60-$B$1)/365, $G60, $H60, $D60) - BSPrice($B60,$J60, $K60, $C60, ($I60-$B$1)/365, $G60, $H60, $D60)) * $F60</f>
        <v/>
      </c>
      <c r="CB60" s="60">
        <f>(BSPrice($B60*1.1,$J60+-0.02, $K60, $C60, ($I60-$B$1)/365, $G60, $H60, $D60) - BSPrice($B60,$J60, $K60, $C60, ($I60-$B$1)/365, $G60, $H60, $D60)) * $F60</f>
        <v/>
      </c>
      <c r="CC60" s="60">
        <f>(BSPrice($B60*1.1,$J60+0, $K60, $C60, ($I60-$B$1)/365, $G60, $H60, $D60) - BSPrice($B60,$J60, $K60, $C60, ($I60-$B$1)/365, $G60, $H60, $D60)) * $F60</f>
        <v/>
      </c>
      <c r="CD60" s="60">
        <f>(BSPrice($B60*1.1,$J60+0.02, $K60, $C60, ($I60-$B$1)/365, $G60, $H60, $D60) - BSPrice($B60,$J60, $K60, $C60, ($I60-$B$1)/365, $G60, $H60, $D60)) * $F60</f>
        <v/>
      </c>
      <c r="CE60" s="60">
        <f>(BSPrice($B60*1.1,$J60+0.05, $K60, $C60, ($I60-$B$1)/365, $G60, $H60, $D60) - BSPrice($B60,$J60, $K60, $C60, ($I60-$B$1)/365, $G60, $H60, $D60)) * $F60</f>
        <v/>
      </c>
      <c r="CF60" s="60">
        <f>(BSPrice($B60*1.1,$J60+0.1, $K60, $C60, ($I60-$B$1)/365, $G60, $H60, $D60) - BSPrice($B60,$J60, $K60, $C60, ($I60-$B$1)/365, $G60, $H60, $D60)) * $F60</f>
        <v/>
      </c>
      <c r="CG60" s="60">
        <f>(BSPrice($B60*1.1,$J60+0.2, $K60, $C60, ($I60-$B$1)/365, $G60, $H60, $D60) - BSPrice($B60,$J60, $K60, $C60, ($I60-$B$1)/365, $G60, $H60, $D60)) * $F60</f>
        <v/>
      </c>
      <c r="CH60" s="60">
        <f>(BSPrice($B60*1.2,$J60+-0.05, $K60, $C60, ($I60-$B$1)/365, $G60, $H60, $D60) - BSPrice($B60,$J60, $K60, $C60, ($I60-$B$1)/365, $G60, $H60, $D60)) * $F60</f>
        <v/>
      </c>
      <c r="CI60" s="60">
        <f>(BSPrice($B60*1.2,$J60+-0.02, $K60, $C60, ($I60-$B$1)/365, $G60, $H60, $D60) - BSPrice($B60,$J60, $K60, $C60, ($I60-$B$1)/365, $G60, $H60, $D60)) * $F60</f>
        <v/>
      </c>
      <c r="CJ60" s="60">
        <f>(BSPrice($B60*1.2,$J60+0, $K60, $C60, ($I60-$B$1)/365, $G60, $H60, $D60) - BSPrice($B60,$J60, $K60, $C60, ($I60-$B$1)/365, $G60, $H60, $D60)) * $F60</f>
        <v/>
      </c>
      <c r="CK60" s="60">
        <f>(BSPrice($B60*1.2,$J60+0.02, $K60, $C60, ($I60-$B$1)/365, $G60, $H60, $D60) - BSPrice($B60,$J60, $K60, $C60, ($I60-$B$1)/365, $G60, $H60, $D60)) * $F60</f>
        <v/>
      </c>
      <c r="CL60" s="60">
        <f>(BSPrice($B60*1.2,$J60+0.05, $K60, $C60, ($I60-$B$1)/365, $G60, $H60, $D60) - BSPrice($B60,$J60, $K60, $C60, ($I60-$B$1)/365, $G60, $H60, $D60)) * $F60</f>
        <v/>
      </c>
      <c r="CM60" s="60">
        <f>(BSPrice($B60*1.2,$J60+0.1, $K60, $C60, ($I60-$B$1)/365, $G60, $H60, $D60) - BSPrice($B60,$J60, $K60, $C60, ($I60-$B$1)/365, $G60, $H60, $D60)) * $F60</f>
        <v/>
      </c>
      <c r="CN60" s="60">
        <f>(BSPrice($B60*1.2,$J60+0.2, $K60, $C60, ($I60-$B$1)/365, $G60, $H60, $D60) - BSPrice($B60,$J60, $K60, $C60, ($I60-$B$1)/365, $G60, $H60, $D60)) * $F60</f>
        <v/>
      </c>
    </row>
    <row r="61">
      <c r="A61" s="3" t="inlineStr">
        <is>
          <t>SX5E Index</t>
        </is>
      </c>
      <c r="B61" s="4">
        <f>VLOOKUP(A61,PriceData!$K$4:$L$6,2,FALSE)</f>
        <v/>
      </c>
      <c r="C61" s="46">
        <f>VLOOKUP(A61,PriceData!$K$4:$M$6,3,FALSE)</f>
        <v/>
      </c>
      <c r="D61" s="4" t="inlineStr">
        <is>
          <t>Option</t>
        </is>
      </c>
      <c r="E61" s="4" t="inlineStr">
        <is>
          <t>EUR</t>
        </is>
      </c>
      <c r="F61" s="4" t="n">
        <v>5</v>
      </c>
      <c r="G61" s="4" t="n">
        <v>2556</v>
      </c>
      <c r="H61" s="4" t="inlineStr">
        <is>
          <t>Put</t>
        </is>
      </c>
      <c r="I61" s="5" t="n">
        <v>40438</v>
      </c>
      <c r="J61" s="46">
        <f>FindImpliedVol(A61, D61, G61, I61)</f>
        <v/>
      </c>
      <c r="K61" s="30">
        <f>VLOOKUP(I61,PriceData!$A$5:$D$7,MATCH($E61,PriceData!$A$4:$D$4,0),FALSE)</f>
        <v/>
      </c>
      <c r="L61" s="2">
        <f>BSPrice($B61,$J61, $K61, $C61, ($I61-$B$1)/365, $G61, $H61, $D61)</f>
        <v/>
      </c>
      <c r="M61" s="2">
        <f>F61*L61</f>
        <v/>
      </c>
      <c r="N61" s="4" t="inlineStr">
        <is>
          <t>Darklays Capital</t>
        </is>
      </c>
      <c r="P61" s="60">
        <f>BSDelta(B61, J61, K61, C61, (I61-$B$1)/365, G61, H61, D61)</f>
        <v/>
      </c>
      <c r="Q61" s="60">
        <f>BSGamma(B61, J61, K61, C61, (I61-$B$1)/365, G61, D61)</f>
        <v/>
      </c>
      <c r="R61" s="58">
        <f>BSVega(B61, J61, K61, C61, (I61-$B$1)/365,G61, D61)</f>
        <v/>
      </c>
      <c r="S61" s="58">
        <f>BSVolga(B61, J61, K61, C61, (I61-$B$1)/365,G61, D61)</f>
        <v/>
      </c>
      <c r="T61" s="58">
        <f>BSVanna(B61,J61,K61, C61, (I61-$B$1)/365, G61, D61)</f>
        <v/>
      </c>
      <c r="U61" s="2">
        <f>BSRho(B61, J61, K61, C61, (I61-$B$1)/365, G61, H61, D61)</f>
        <v/>
      </c>
      <c r="V61" s="65">
        <f>$F61*$P61</f>
        <v/>
      </c>
      <c r="W61" s="65">
        <f>$F61*$Q61</f>
        <v/>
      </c>
      <c r="X61" s="78">
        <f>$F61*R61</f>
        <v/>
      </c>
      <c r="Y61" s="78">
        <f>$F61*S61</f>
        <v/>
      </c>
      <c r="Z61" s="78">
        <f>$F61*T61</f>
        <v/>
      </c>
      <c r="AA61" s="78">
        <f>$F61*U61</f>
        <v/>
      </c>
      <c r="AB61" s="78">
        <f>(BSPrice($B61*0.8,$J61, $K61, $C61, ($I61-$B$1)/365, $G61, $H61, $D61) - BSPrice($B61,$J61, $K61, $C61, ($I61-$B$1)/365, $G61, $H61, $D61)) * $F61</f>
        <v/>
      </c>
      <c r="AC61" s="78">
        <f>(BSPrice($B61*0.9,$J61, $K61, $C61, ($I61-$B$1)/365, $G61, $H61, $D61) - BSPrice($B61,$J61, $K61, $C61, ($I61-$B$1)/365, $G61, $H61, $D61)) * $F61</f>
        <v/>
      </c>
      <c r="AD61" s="78">
        <f>(BSPrice($B61*0.95,$J61, $K61, $C61, ($I61-$B$1)/365, $G61, $H61, $D61) - BSPrice($B61,$J61, $K61, $C61, ($I61-$B$1)/365, $G61, $H61, $D61)) * $F61</f>
        <v/>
      </c>
      <c r="AE61" s="78">
        <f>(BSPrice($B61*0.98,$J61, $K61, $C61, ($I61-$B$1)/365, $G61, $H61, $D61) - BSPrice($B61,$J61, $K61, $C61, ($I61-$B$1)/365, $G61, $H61, $D61)) * $F61</f>
        <v/>
      </c>
      <c r="AF61" s="78">
        <f>(BSPrice($B61*1.02,$J61, $K61, $C61, ($I61-$B$1)/365, $G61, $H61, $D61) - BSPrice($B61,$J61, $K61, $C61, ($I61-$B$1)/365, $G61, $H61, $D61)) * $F61</f>
        <v/>
      </c>
      <c r="AG61" s="78">
        <f>(BSPrice($B61*1.05,$J61, $K61, $C61, ($I61-$B$1)/365, $G61, $H61, $D61) - BSPrice($B61,$J61, $K61, $C61, ($I61-$B$1)/365, $G61, $H61, $D61)) * $F61</f>
        <v/>
      </c>
      <c r="AH61" s="78">
        <f>(BSPrice($B61*1.1,$J61, $K61, $C61, ($I61-$B$1)/365, $G61, $H61, $D61) - BSPrice($B61,$J61, $K61, $C61, ($I61-$B$1)/365, $G61, $H61, $D61)) * $F61</f>
        <v/>
      </c>
      <c r="AI61" s="78">
        <f>(BSPrice($B61*1.2,$J61, $K61, $C61, ($I61-$B$1)/365, $G61, $H61, $D61) - BSPrice($B61,$J61, $K61, $C61, ($I61-$B$1)/365, $G61, $H61, $D61)) * $F61</f>
        <v/>
      </c>
      <c r="AJ61" s="78">
        <f>(BSPrice($B61,$J61-0.1, $K61, $C61, ($I61-$B$1)/365, $G61, $H61, $D61) - BSPrice($B61,$J61, $K61, $C61, ($I61-$B$1)/365, $G61, $H61, $D61)) * $F61</f>
        <v/>
      </c>
      <c r="AK61" s="78">
        <f>(BSPrice($B61,$J61-0.05,$K61,$C61,($I61-$B$1)/365,$G61,$H61,$D61)-BSPrice($B61,$J61,$K61,$C61,($I61-$B$1)/365,$G61,$H61,$D61))*$F61</f>
        <v/>
      </c>
      <c r="AL61" s="78">
        <f>(BSPrice($B61,$J61-0.02, $K61, $C61, ($I61-$B$1)/365, $G61, $H61, $D61) - BSPrice($B61,$J61, $K61, $C61, ($I61-$B$1)/365, $G61, $H61, $D61)) * $F61</f>
        <v/>
      </c>
      <c r="AM61" s="78">
        <f>(BSPrice($B61,$J61-0.01, $K61, $C61, ($I61-$B$1)/365, $G61, $H61, $D61) - BSPrice($B61,$J61, $K61, $C61, ($I61-$B$1)/365, $G61, $H61, $D61)) * $F61</f>
        <v/>
      </c>
      <c r="AN61" s="78">
        <f>(BSPrice($B61,$J61+0.01, $K61, $C61, ($I61-$B$1)/365, $G61, $H61, $D61) - BSPrice($B61,$J61, $K61, $C61, ($I61-$B$1)/365, $G61, $H61, $D61)) * $F61</f>
        <v/>
      </c>
      <c r="AO61" s="78">
        <f>(BSPrice($B61,$J61+0.02, $K61, $C61, ($I61-$B$1)/365, $G61, $H61, $D61) - BSPrice($B61,$J61, $K61, $C61, ($I61-$B$1)/365, $G61, $H61, $D61)) * $F61</f>
        <v/>
      </c>
      <c r="AP61" s="78">
        <f>(BSPrice($B61,$J61+0.05, $K61, $C61, ($I61-$B$1)/365, $G61, $H61, $D61) - BSPrice($B61,$J61, $K61, $C61, ($I61-$B$1)/365, $G61, $H61, $D61)) * $F61</f>
        <v/>
      </c>
      <c r="AQ61" s="78">
        <f>(BSPrice($B61,$J61+0.1, $K61, $C61, ($I61-$B$1)/365, $G61, $H61, $D61) - BSPrice($B61,$J61, $K61, $C61, ($I61-$B$1)/365, $G61, $H61, $D61)) * $F61</f>
        <v/>
      </c>
      <c r="AR61" s="60">
        <f>(BSPrice($B61*0.8,$J61+-0.05, $K61, $C61, ($I61-$B$1)/365, $G61, $H61, $D61) - BSPrice($B61,$J61, $K61, $C61, ($I61-$B$1)/365, $G61, $H61, $D61)) * $F61</f>
        <v/>
      </c>
      <c r="AS61" s="60">
        <f>(BSPrice($B61*0.8,$J61+-0.02, $K61, $C61, ($I61-$B$1)/365, $G61, $H61, $D61) - BSPrice($B61,$J61, $K61, $C61, ($I61-$B$1)/365, $G61, $H61, $D61)) * $F61</f>
        <v/>
      </c>
      <c r="AT61" s="60">
        <f>(BSPrice($B61*0.8,$J61+0, $K61, $C61, ($I61-$B$1)/365, $G61, $H61, $D61) - BSPrice($B61,$J61, $K61, $C61, ($I61-$B$1)/365, $G61, $H61, $D61)) * $F61</f>
        <v/>
      </c>
      <c r="AU61" s="60">
        <f>(BSPrice($B61*0.8,$J61+0.02, $K61, $C61, ($I61-$B$1)/365, $G61, $H61, $D61) - BSPrice($B61,$J61, $K61, $C61, ($I61-$B$1)/365, $G61, $H61, $D61)) * $F61</f>
        <v/>
      </c>
      <c r="AV61" s="60">
        <f>(BSPrice($B61*0.8,$J61+0.05, $K61, $C61, ($I61-$B$1)/365, $G61, $H61, $D61) - BSPrice($B61,$J61, $K61, $C61, ($I61-$B$1)/365, $G61, $H61, $D61)) * $F61</f>
        <v/>
      </c>
      <c r="AW61" s="60">
        <f>(BSPrice($B61*0.8,$J61+0.1, $K61, $C61, ($I61-$B$1)/365, $G61, $H61, $D61) - BSPrice($B61,$J61, $K61, $C61, ($I61-$B$1)/365, $G61, $H61, $D61)) * $F61</f>
        <v/>
      </c>
      <c r="AX61" s="60">
        <f>(BSPrice($B61*0.8,$J61+0.2, $K61, $C61, ($I61-$B$1)/365, $G61, $H61, $D61) - BSPrice($B61,$J61, $K61, $C61, ($I61-$B$1)/365, $G61, $H61, $D61)) * $F61</f>
        <v/>
      </c>
      <c r="AY61" s="60">
        <f>(BSPrice($B61*0.9,$J61+-0.05, $K61, $C61, ($I61-$B$1)/365, $G61, $H61, $D61) - BSPrice($B61,$J61, $K61, $C61, ($I61-$B$1)/365, $G61, $H61, $D61)) * $F61</f>
        <v/>
      </c>
      <c r="AZ61" s="60">
        <f>(BSPrice($B61*0.9,$J61+-0.02, $K61, $C61, ($I61-$B$1)/365, $G61, $H61, $D61) - BSPrice($B61,$J61, $K61, $C61, ($I61-$B$1)/365, $G61, $H61, $D61)) * $F61</f>
        <v/>
      </c>
      <c r="BA61" s="60">
        <f>(BSPrice($B61*0.9,$J61+0, $K61, $C61, ($I61-$B$1)/365, $G61, $H61, $D61) - BSPrice($B61,$J61, $K61, $C61, ($I61-$B$1)/365, $G61, $H61, $D61)) * $F61</f>
        <v/>
      </c>
      <c r="BB61" s="60">
        <f>(BSPrice($B61*0.9,$J61+0.02, $K61, $C61, ($I61-$B$1)/365, $G61, $H61, $D61) - BSPrice($B61,$J61, $K61, $C61, ($I61-$B$1)/365, $G61, $H61, $D61)) * $F61</f>
        <v/>
      </c>
      <c r="BC61" s="60">
        <f>(BSPrice($B61*0.9,$J61+0.05, $K61, $C61, ($I61-$B$1)/365, $G61, $H61, $D61) - BSPrice($B61,$J61, $K61, $C61, ($I61-$B$1)/365, $G61, $H61, $D61)) * $F61</f>
        <v/>
      </c>
      <c r="BD61" s="60">
        <f>(BSPrice($B61*0.9,$J61+0.1, $K61, $C61, ($I61-$B$1)/365, $G61, $H61, $D61) - BSPrice($B61,$J61, $K61, $C61, ($I61-$B$1)/365, $G61, $H61, $D61)) * $F61</f>
        <v/>
      </c>
      <c r="BE61" s="60">
        <f>(BSPrice($B61*0.9,$J61+0.2, $K61, $C61, ($I61-$B$1)/365, $G61, $H61, $D61) - BSPrice($B61,$J61, $K61, $C61, ($I61-$B$1)/365, $G61, $H61, $D61)) * $F61</f>
        <v/>
      </c>
      <c r="BF61" s="60">
        <f>(BSPrice($B61*0.95,$J61+-0.05, $K61, $C61, ($I61-$B$1)/365, $G61, $H61, $D61) - BSPrice($B61,$J61, $K61, $C61, ($I61-$B$1)/365, $G61, $H61, $D61)) * $F61</f>
        <v/>
      </c>
      <c r="BG61" s="60">
        <f>(BSPrice($B61*0.95,$J61+-0.02, $K61, $C61, ($I61-$B$1)/365, $G61, $H61, $D61) - BSPrice($B61,$J61, $K61, $C61, ($I61-$B$1)/365, $G61, $H61, $D61)) * $F61</f>
        <v/>
      </c>
      <c r="BH61" s="60">
        <f>(BSPrice($B61*0.95,$J61+0, $K61, $C61, ($I61-$B$1)/365, $G61, $H61, $D61) - BSPrice($B61,$J61, $K61, $C61, ($I61-$B$1)/365, $G61, $H61, $D61)) * $F61</f>
        <v/>
      </c>
      <c r="BI61" s="60">
        <f>(BSPrice($B61*0.95,$J61+0.02, $K61, $C61, ($I61-$B$1)/365, $G61, $H61, $D61) - BSPrice($B61,$J61, $K61, $C61, ($I61-$B$1)/365, $G61, $H61, $D61)) * $F61</f>
        <v/>
      </c>
      <c r="BJ61" s="60">
        <f>(BSPrice($B61*0.95,$J61+0.05, $K61, $C61, ($I61-$B$1)/365, $G61, $H61, $D61) - BSPrice($B61,$J61, $K61, $C61, ($I61-$B$1)/365, $G61, $H61, $D61)) * $F61</f>
        <v/>
      </c>
      <c r="BK61" s="60">
        <f>(BSPrice($B61*0.95,$J61+0.1, $K61, $C61, ($I61-$B$1)/365, $G61, $H61, $D61) - BSPrice($B61,$J61, $K61, $C61, ($I61-$B$1)/365, $G61, $H61, $D61)) * $F61</f>
        <v/>
      </c>
      <c r="BL61" s="60">
        <f>(BSPrice($B61*0.95,$J61+0.2, $K61, $C61, ($I61-$B$1)/365, $G61, $H61, $D61) - BSPrice($B61,$J61, $K61, $C61, ($I61-$B$1)/365, $G61, $H61, $D61)) * $F61</f>
        <v/>
      </c>
      <c r="BM61" s="60">
        <f>(BSPrice($B61*1,$J61+-0.05, $K61, $C61, ($I61-$B$1)/365, $G61, $H61, $D61) - BSPrice($B61,$J61, $K61, $C61, ($I61-$B$1)/365, $G61, $H61, $D61)) * $F61</f>
        <v/>
      </c>
      <c r="BN61" s="60">
        <f>(BSPrice($B61*1,$J61+-0.02, $K61, $C61, ($I61-$B$1)/365, $G61, $H61, $D61) - BSPrice($B61,$J61, $K61, $C61, ($I61-$B$1)/365, $G61, $H61, $D61)) * $F61</f>
        <v/>
      </c>
      <c r="BO61" s="60">
        <f>(BSPrice($B61*1,$J61+0, $K61, $C61, ($I61-$B$1)/365, $G61, $H61, $D61) - BSPrice($B61,$J61, $K61, $C61, ($I61-$B$1)/365, $G61, $H61, $D61)) * $F61</f>
        <v/>
      </c>
      <c r="BP61" s="60">
        <f>(BSPrice($B61*1,$J61+0.02, $K61, $C61, ($I61-$B$1)/365, $G61, $H61, $D61) - BSPrice($B61,$J61, $K61, $C61, ($I61-$B$1)/365, $G61, $H61, $D61)) * $F61</f>
        <v/>
      </c>
      <c r="BQ61" s="60">
        <f>(BSPrice($B61*1,$J61+0.05, $K61, $C61, ($I61-$B$1)/365, $G61, $H61, $D61) - BSPrice($B61,$J61, $K61, $C61, ($I61-$B$1)/365, $G61, $H61, $D61)) * $F61</f>
        <v/>
      </c>
      <c r="BR61" s="60">
        <f>(BSPrice($B61*1,$J61+0.1, $K61, $C61, ($I61-$B$1)/365, $G61, $H61, $D61) - BSPrice($B61,$J61, $K61, $C61, ($I61-$B$1)/365, $G61, $H61, $D61)) * $F61</f>
        <v/>
      </c>
      <c r="BS61" s="60">
        <f>(BSPrice($B61*1,$J61+0.2, $K61, $C61, ($I61-$B$1)/365, $G61, $H61, $D61) - BSPrice($B61,$J61, $K61, $C61, ($I61-$B$1)/365, $G61, $H61, $D61)) * $F61</f>
        <v/>
      </c>
      <c r="BT61" s="60">
        <f>(BSPrice($B61*1.05,$J61+-0.05, $K61, $C61, ($I61-$B$1)/365, $G61, $H61, $D61) - BSPrice($B61,$J61, $K61, $C61, ($I61-$B$1)/365, $G61, $H61, $D61)) * $F61</f>
        <v/>
      </c>
      <c r="BU61" s="60">
        <f>(BSPrice($B61*1.05,$J61+-0.02, $K61, $C61, ($I61-$B$1)/365, $G61, $H61, $D61) - BSPrice($B61,$J61, $K61, $C61, ($I61-$B$1)/365, $G61, $H61, $D61)) * $F61</f>
        <v/>
      </c>
      <c r="BV61" s="60">
        <f>(BSPrice($B61*1.05,$J61+0, $K61, $C61, ($I61-$B$1)/365, $G61, $H61, $D61) - BSPrice($B61,$J61, $K61, $C61, ($I61-$B$1)/365, $G61, $H61, $D61)) * $F61</f>
        <v/>
      </c>
      <c r="BW61" s="60">
        <f>(BSPrice($B61*1.05,$J61+0.02, $K61, $C61, ($I61-$B$1)/365, $G61, $H61, $D61) - BSPrice($B61,$J61, $K61, $C61, ($I61-$B$1)/365, $G61, $H61, $D61)) * $F61</f>
        <v/>
      </c>
      <c r="BX61" s="60">
        <f>(BSPrice($B61*1.05,$J61+0.05, $K61, $C61, ($I61-$B$1)/365, $G61, $H61, $D61) - BSPrice($B61,$J61, $K61, $C61, ($I61-$B$1)/365, $G61, $H61, $D61)) * $F61</f>
        <v/>
      </c>
      <c r="BY61" s="60">
        <f>(BSPrice($B61*1.05,$J61+0.1, $K61, $C61, ($I61-$B$1)/365, $G61, $H61, $D61) - BSPrice($B61,$J61, $K61, $C61, ($I61-$B$1)/365, $G61, $H61, $D61)) * $F61</f>
        <v/>
      </c>
      <c r="BZ61" s="60">
        <f>(BSPrice($B61*1.05,$J61+0.2, $K61, $C61, ($I61-$B$1)/365, $G61, $H61, $D61) - BSPrice($B61,$J61, $K61, $C61, ($I61-$B$1)/365, $G61, $H61, $D61)) * $F61</f>
        <v/>
      </c>
      <c r="CA61" s="60">
        <f>(BSPrice($B61*1.1,$J61+-0.05, $K61, $C61, ($I61-$B$1)/365, $G61, $H61, $D61) - BSPrice($B61,$J61, $K61, $C61, ($I61-$B$1)/365, $G61, $H61, $D61)) * $F61</f>
        <v/>
      </c>
      <c r="CB61" s="60">
        <f>(BSPrice($B61*1.1,$J61+-0.02, $K61, $C61, ($I61-$B$1)/365, $G61, $H61, $D61) - BSPrice($B61,$J61, $K61, $C61, ($I61-$B$1)/365, $G61, $H61, $D61)) * $F61</f>
        <v/>
      </c>
      <c r="CC61" s="60">
        <f>(BSPrice($B61*1.1,$J61+0, $K61, $C61, ($I61-$B$1)/365, $G61, $H61, $D61) - BSPrice($B61,$J61, $K61, $C61, ($I61-$B$1)/365, $G61, $H61, $D61)) * $F61</f>
        <v/>
      </c>
      <c r="CD61" s="60">
        <f>(BSPrice($B61*1.1,$J61+0.02, $K61, $C61, ($I61-$B$1)/365, $G61, $H61, $D61) - BSPrice($B61,$J61, $K61, $C61, ($I61-$B$1)/365, $G61, $H61, $D61)) * $F61</f>
        <v/>
      </c>
      <c r="CE61" s="60">
        <f>(BSPrice($B61*1.1,$J61+0.05, $K61, $C61, ($I61-$B$1)/365, $G61, $H61, $D61) - BSPrice($B61,$J61, $K61, $C61, ($I61-$B$1)/365, $G61, $H61, $D61)) * $F61</f>
        <v/>
      </c>
      <c r="CF61" s="60">
        <f>(BSPrice($B61*1.1,$J61+0.1, $K61, $C61, ($I61-$B$1)/365, $G61, $H61, $D61) - BSPrice($B61,$J61, $K61, $C61, ($I61-$B$1)/365, $G61, $H61, $D61)) * $F61</f>
        <v/>
      </c>
      <c r="CG61" s="60">
        <f>(BSPrice($B61*1.1,$J61+0.2, $K61, $C61, ($I61-$B$1)/365, $G61, $H61, $D61) - BSPrice($B61,$J61, $K61, $C61, ($I61-$B$1)/365, $G61, $H61, $D61)) * $F61</f>
        <v/>
      </c>
      <c r="CH61" s="60">
        <f>(BSPrice($B61*1.2,$J61+-0.05, $K61, $C61, ($I61-$B$1)/365, $G61, $H61, $D61) - BSPrice($B61,$J61, $K61, $C61, ($I61-$B$1)/365, $G61, $H61, $D61)) * $F61</f>
        <v/>
      </c>
      <c r="CI61" s="60">
        <f>(BSPrice($B61*1.2,$J61+-0.02, $K61, $C61, ($I61-$B$1)/365, $G61, $H61, $D61) - BSPrice($B61,$J61, $K61, $C61, ($I61-$B$1)/365, $G61, $H61, $D61)) * $F61</f>
        <v/>
      </c>
      <c r="CJ61" s="60">
        <f>(BSPrice($B61*1.2,$J61+0, $K61, $C61, ($I61-$B$1)/365, $G61, $H61, $D61) - BSPrice($B61,$J61, $K61, $C61, ($I61-$B$1)/365, $G61, $H61, $D61)) * $F61</f>
        <v/>
      </c>
      <c r="CK61" s="60">
        <f>(BSPrice($B61*1.2,$J61+0.02, $K61, $C61, ($I61-$B$1)/365, $G61, $H61, $D61) - BSPrice($B61,$J61, $K61, $C61, ($I61-$B$1)/365, $G61, $H61, $D61)) * $F61</f>
        <v/>
      </c>
      <c r="CL61" s="60">
        <f>(BSPrice($B61*1.2,$J61+0.05, $K61, $C61, ($I61-$B$1)/365, $G61, $H61, $D61) - BSPrice($B61,$J61, $K61, $C61, ($I61-$B$1)/365, $G61, $H61, $D61)) * $F61</f>
        <v/>
      </c>
      <c r="CM61" s="60">
        <f>(BSPrice($B61*1.2,$J61+0.1, $K61, $C61, ($I61-$B$1)/365, $G61, $H61, $D61) - BSPrice($B61,$J61, $K61, $C61, ($I61-$B$1)/365, $G61, $H61, $D61)) * $F61</f>
        <v/>
      </c>
      <c r="CN61" s="60">
        <f>(BSPrice($B61*1.2,$J61+0.2, $K61, $C61, ($I61-$B$1)/365, $G61, $H61, $D61) - BSPrice($B61,$J61, $K61, $C61, ($I61-$B$1)/365, $G61, $H61, $D61)) * $F61</f>
        <v/>
      </c>
    </row>
    <row r="62">
      <c r="A62" s="3" t="inlineStr">
        <is>
          <t>NKY Index</t>
        </is>
      </c>
      <c r="B62" s="4">
        <f>VLOOKUP(A62,PriceData!$K$4:$L$6,2,FALSE)</f>
        <v/>
      </c>
      <c r="C62" s="46">
        <f>VLOOKUP(A62,PriceData!$K$4:$M$6,3,FALSE)</f>
        <v/>
      </c>
      <c r="D62" s="4" t="inlineStr">
        <is>
          <t>Future</t>
        </is>
      </c>
      <c r="E62" s="4" t="inlineStr">
        <is>
          <t>JPY</t>
        </is>
      </c>
      <c r="F62" s="4" t="n">
        <v>-10</v>
      </c>
      <c r="H62" s="4" t="n"/>
      <c r="I62" s="5" t="n">
        <v>40256</v>
      </c>
      <c r="J62" s="46" t="n"/>
      <c r="K62" s="30" t="n"/>
      <c r="L62" s="2">
        <f>BSPrice($B62,$J62, $K62, $C62, ($I62-$B$1)/365, $G62, $H62, $D62)</f>
        <v/>
      </c>
      <c r="M62" s="2">
        <f>F62*L62</f>
        <v/>
      </c>
      <c r="N62" s="4" t="inlineStr">
        <is>
          <t>Exch</t>
        </is>
      </c>
      <c r="P62" s="60">
        <f>BSDelta(B62, J62, K62, C62, (I62-$B$1)/365, G62, H62, D62)</f>
        <v/>
      </c>
      <c r="Q62" s="60">
        <f>BSGamma(B62, J62, K62, C62, (I62-$B$1)/365, G62, D62)</f>
        <v/>
      </c>
      <c r="R62" s="58">
        <f>BSVega(B62, J62, K62, C62, (I62-$B$1)/365,G62, D62)</f>
        <v/>
      </c>
      <c r="S62" s="58">
        <f>BSVolga(B62, J62, K62, C62, (I62-$B$1)/365,G62, D62)</f>
        <v/>
      </c>
      <c r="T62" s="58">
        <f>BSVanna(B62,J62,K62, C62, (I62-$B$1)/365, G62, D62)</f>
        <v/>
      </c>
      <c r="U62" s="2">
        <f>BSRho(B62, J62, K62, C62, (I62-$B$1)/365, G62, H62, D62)</f>
        <v/>
      </c>
      <c r="V62" s="65">
        <f>$F62*$P62</f>
        <v/>
      </c>
      <c r="W62" s="65">
        <f>$F62*$Q62</f>
        <v/>
      </c>
      <c r="X62" s="78">
        <f>$F62*R62</f>
        <v/>
      </c>
      <c r="Y62" s="78">
        <f>$F62*S62</f>
        <v/>
      </c>
      <c r="Z62" s="78">
        <f>$F62*T62</f>
        <v/>
      </c>
      <c r="AA62" s="78">
        <f>$F62*U62</f>
        <v/>
      </c>
      <c r="AB62" s="78">
        <f>(BSPrice($B62*0.8,$J62, $K62, $C62, ($I62-$B$1)/365, $G62, $H62, $D62) - BSPrice($B62,$J62, $K62, $C62, ($I62-$B$1)/365, $G62, $H62, $D62)) * $F62</f>
        <v/>
      </c>
      <c r="AC62" s="78">
        <f>(BSPrice($B62*0.9,$J62, $K62, $C62, ($I62-$B$1)/365, $G62, $H62, $D62) - BSPrice($B62,$J62, $K62, $C62, ($I62-$B$1)/365, $G62, $H62, $D62)) * $F62</f>
        <v/>
      </c>
      <c r="AD62" s="78">
        <f>(BSPrice($B62*0.95,$J62, $K62, $C62, ($I62-$B$1)/365, $G62, $H62, $D62) - BSPrice($B62,$J62, $K62, $C62, ($I62-$B$1)/365, $G62, $H62, $D62)) * $F62</f>
        <v/>
      </c>
      <c r="AE62" s="78">
        <f>(BSPrice($B62*0.98,$J62, $K62, $C62, ($I62-$B$1)/365, $G62, $H62, $D62) - BSPrice($B62,$J62, $K62, $C62, ($I62-$B$1)/365, $G62, $H62, $D62)) * $F62</f>
        <v/>
      </c>
      <c r="AF62" s="78">
        <f>(BSPrice($B62*1.02,$J62, $K62, $C62, ($I62-$B$1)/365, $G62, $H62, $D62) - BSPrice($B62,$J62, $K62, $C62, ($I62-$B$1)/365, $G62, $H62, $D62)) * $F62</f>
        <v/>
      </c>
      <c r="AG62" s="78">
        <f>(BSPrice($B62*1.05,$J62, $K62, $C62, ($I62-$B$1)/365, $G62, $H62, $D62) - BSPrice($B62,$J62, $K62, $C62, ($I62-$B$1)/365, $G62, $H62, $D62)) * $F62</f>
        <v/>
      </c>
      <c r="AH62" s="78">
        <f>(BSPrice($B62*1.1,$J62, $K62, $C62, ($I62-$B$1)/365, $G62, $H62, $D62) - BSPrice($B62,$J62, $K62, $C62, ($I62-$B$1)/365, $G62, $H62, $D62)) * $F62</f>
        <v/>
      </c>
      <c r="AI62" s="78">
        <f>(BSPrice($B62*1.2,$J62, $K62, $C62, ($I62-$B$1)/365, $G62, $H62, $D62) - BSPrice($B62,$J62, $K62, $C62, ($I62-$B$1)/365, $G62, $H62, $D62)) * $F62</f>
        <v/>
      </c>
      <c r="AJ62" s="78">
        <f>(BSPrice($B62,$J62-0.1, $K62, $C62, ($I62-$B$1)/365, $G62, $H62, $D62) - BSPrice($B62,$J62, $K62, $C62, ($I62-$B$1)/365, $G62, $H62, $D62)) * $F62</f>
        <v/>
      </c>
      <c r="AK62" s="78">
        <f>(BSPrice($B62,$J62-0.05,$K62,$C62,($I62-$B$1)/365,$G62,$H62,$D62)-BSPrice($B62,$J62,$K62,$C62,($I62-$B$1)/365,$G62,$H62,$D62))*$F62</f>
        <v/>
      </c>
      <c r="AL62" s="78">
        <f>(BSPrice($B62,$J62-0.02, $K62, $C62, ($I62-$B$1)/365, $G62, $H62, $D62) - BSPrice($B62,$J62, $K62, $C62, ($I62-$B$1)/365, $G62, $H62, $D62)) * $F62</f>
        <v/>
      </c>
      <c r="AM62" s="78">
        <f>(BSPrice($B62,$J62-0.01, $K62, $C62, ($I62-$B$1)/365, $G62, $H62, $D62) - BSPrice($B62,$J62, $K62, $C62, ($I62-$B$1)/365, $G62, $H62, $D62)) * $F62</f>
        <v/>
      </c>
      <c r="AN62" s="78">
        <f>(BSPrice($B62,$J62+0.01, $K62, $C62, ($I62-$B$1)/365, $G62, $H62, $D62) - BSPrice($B62,$J62, $K62, $C62, ($I62-$B$1)/365, $G62, $H62, $D62)) * $F62</f>
        <v/>
      </c>
      <c r="AO62" s="78">
        <f>(BSPrice($B62,$J62+0.02, $K62, $C62, ($I62-$B$1)/365, $G62, $H62, $D62) - BSPrice($B62,$J62, $K62, $C62, ($I62-$B$1)/365, $G62, $H62, $D62)) * $F62</f>
        <v/>
      </c>
      <c r="AP62" s="78">
        <f>(BSPrice($B62,$J62+0.05, $K62, $C62, ($I62-$B$1)/365, $G62, $H62, $D62) - BSPrice($B62,$J62, $K62, $C62, ($I62-$B$1)/365, $G62, $H62, $D62)) * $F62</f>
        <v/>
      </c>
      <c r="AQ62" s="78">
        <f>(BSPrice($B62,$J62+0.1, $K62, $C62, ($I62-$B$1)/365, $G62, $H62, $D62) - BSPrice($B62,$J62, $K62, $C62, ($I62-$B$1)/365, $G62, $H62, $D62)) * $F62</f>
        <v/>
      </c>
      <c r="AR62" s="60">
        <f>(BSPrice($B62*0.8,$J62+-0.05, $K62, $C62, ($I62-$B$1)/365, $G62, $H62, $D62) - BSPrice($B62,$J62, $K62, $C62, ($I62-$B$1)/365, $G62, $H62, $D62)) * $F62</f>
        <v/>
      </c>
      <c r="AS62" s="60">
        <f>(BSPrice($B62*0.8,$J62+-0.02, $K62, $C62, ($I62-$B$1)/365, $G62, $H62, $D62) - BSPrice($B62,$J62, $K62, $C62, ($I62-$B$1)/365, $G62, $H62, $D62)) * $F62</f>
        <v/>
      </c>
      <c r="AT62" s="60">
        <f>(BSPrice($B62*0.8,$J62+0, $K62, $C62, ($I62-$B$1)/365, $G62, $H62, $D62) - BSPrice($B62,$J62, $K62, $C62, ($I62-$B$1)/365, $G62, $H62, $D62)) * $F62</f>
        <v/>
      </c>
      <c r="AU62" s="60">
        <f>(BSPrice($B62*0.8,$J62+0.02, $K62, $C62, ($I62-$B$1)/365, $G62, $H62, $D62) - BSPrice($B62,$J62, $K62, $C62, ($I62-$B$1)/365, $G62, $H62, $D62)) * $F62</f>
        <v/>
      </c>
      <c r="AV62" s="60">
        <f>(BSPrice($B62*0.8,$J62+0.05, $K62, $C62, ($I62-$B$1)/365, $G62, $H62, $D62) - BSPrice($B62,$J62, $K62, $C62, ($I62-$B$1)/365, $G62, $H62, $D62)) * $F62</f>
        <v/>
      </c>
      <c r="AW62" s="60">
        <f>(BSPrice($B62*0.8,$J62+0.1, $K62, $C62, ($I62-$B$1)/365, $G62, $H62, $D62) - BSPrice($B62,$J62, $K62, $C62, ($I62-$B$1)/365, $G62, $H62, $D62)) * $F62</f>
        <v/>
      </c>
      <c r="AX62" s="60">
        <f>(BSPrice($B62*0.8,$J62+0.2, $K62, $C62, ($I62-$B$1)/365, $G62, $H62, $D62) - BSPrice($B62,$J62, $K62, $C62, ($I62-$B$1)/365, $G62, $H62, $D62)) * $F62</f>
        <v/>
      </c>
      <c r="AY62" s="60">
        <f>(BSPrice($B62*0.9,$J62+-0.05, $K62, $C62, ($I62-$B$1)/365, $G62, $H62, $D62) - BSPrice($B62,$J62, $K62, $C62, ($I62-$B$1)/365, $G62, $H62, $D62)) * $F62</f>
        <v/>
      </c>
      <c r="AZ62" s="60">
        <f>(BSPrice($B62*0.9,$J62+-0.02, $K62, $C62, ($I62-$B$1)/365, $G62, $H62, $D62) - BSPrice($B62,$J62, $K62, $C62, ($I62-$B$1)/365, $G62, $H62, $D62)) * $F62</f>
        <v/>
      </c>
      <c r="BA62" s="60">
        <f>(BSPrice($B62*0.9,$J62+0, $K62, $C62, ($I62-$B$1)/365, $G62, $H62, $D62) - BSPrice($B62,$J62, $K62, $C62, ($I62-$B$1)/365, $G62, $H62, $D62)) * $F62</f>
        <v/>
      </c>
      <c r="BB62" s="60">
        <f>(BSPrice($B62*0.9,$J62+0.02, $K62, $C62, ($I62-$B$1)/365, $G62, $H62, $D62) - BSPrice($B62,$J62, $K62, $C62, ($I62-$B$1)/365, $G62, $H62, $D62)) * $F62</f>
        <v/>
      </c>
      <c r="BC62" s="60">
        <f>(BSPrice($B62*0.9,$J62+0.05, $K62, $C62, ($I62-$B$1)/365, $G62, $H62, $D62) - BSPrice($B62,$J62, $K62, $C62, ($I62-$B$1)/365, $G62, $H62, $D62)) * $F62</f>
        <v/>
      </c>
      <c r="BD62" s="60">
        <f>(BSPrice($B62*0.9,$J62+0.1, $K62, $C62, ($I62-$B$1)/365, $G62, $H62, $D62) - BSPrice($B62,$J62, $K62, $C62, ($I62-$B$1)/365, $G62, $H62, $D62)) * $F62</f>
        <v/>
      </c>
      <c r="BE62" s="60">
        <f>(BSPrice($B62*0.9,$J62+0.2, $K62, $C62, ($I62-$B$1)/365, $G62, $H62, $D62) - BSPrice($B62,$J62, $K62, $C62, ($I62-$B$1)/365, $G62, $H62, $D62)) * $F62</f>
        <v/>
      </c>
      <c r="BF62" s="60">
        <f>(BSPrice($B62*0.95,$J62+-0.05, $K62, $C62, ($I62-$B$1)/365, $G62, $H62, $D62) - BSPrice($B62,$J62, $K62, $C62, ($I62-$B$1)/365, $G62, $H62, $D62)) * $F62</f>
        <v/>
      </c>
      <c r="BG62" s="60">
        <f>(BSPrice($B62*0.95,$J62+-0.02, $K62, $C62, ($I62-$B$1)/365, $G62, $H62, $D62) - BSPrice($B62,$J62, $K62, $C62, ($I62-$B$1)/365, $G62, $H62, $D62)) * $F62</f>
        <v/>
      </c>
      <c r="BH62" s="60">
        <f>(BSPrice($B62*0.95,$J62+0, $K62, $C62, ($I62-$B$1)/365, $G62, $H62, $D62) - BSPrice($B62,$J62, $K62, $C62, ($I62-$B$1)/365, $G62, $H62, $D62)) * $F62</f>
        <v/>
      </c>
      <c r="BI62" s="60">
        <f>(BSPrice($B62*0.95,$J62+0.02, $K62, $C62, ($I62-$B$1)/365, $G62, $H62, $D62) - BSPrice($B62,$J62, $K62, $C62, ($I62-$B$1)/365, $G62, $H62, $D62)) * $F62</f>
        <v/>
      </c>
      <c r="BJ62" s="60">
        <f>(BSPrice($B62*0.95,$J62+0.05, $K62, $C62, ($I62-$B$1)/365, $G62, $H62, $D62) - BSPrice($B62,$J62, $K62, $C62, ($I62-$B$1)/365, $G62, $H62, $D62)) * $F62</f>
        <v/>
      </c>
      <c r="BK62" s="60">
        <f>(BSPrice($B62*0.95,$J62+0.1, $K62, $C62, ($I62-$B$1)/365, $G62, $H62, $D62) - BSPrice($B62,$J62, $K62, $C62, ($I62-$B$1)/365, $G62, $H62, $D62)) * $F62</f>
        <v/>
      </c>
      <c r="BL62" s="60">
        <f>(BSPrice($B62*0.95,$J62+0.2, $K62, $C62, ($I62-$B$1)/365, $G62, $H62, $D62) - BSPrice($B62,$J62, $K62, $C62, ($I62-$B$1)/365, $G62, $H62, $D62)) * $F62</f>
        <v/>
      </c>
      <c r="BM62" s="60">
        <f>(BSPrice($B62*1,$J62+-0.05, $K62, $C62, ($I62-$B$1)/365, $G62, $H62, $D62) - BSPrice($B62,$J62, $K62, $C62, ($I62-$B$1)/365, $G62, $H62, $D62)) * $F62</f>
        <v/>
      </c>
      <c r="BN62" s="60">
        <f>(BSPrice($B62*1,$J62+-0.02, $K62, $C62, ($I62-$B$1)/365, $G62, $H62, $D62) - BSPrice($B62,$J62, $K62, $C62, ($I62-$B$1)/365, $G62, $H62, $D62)) * $F62</f>
        <v/>
      </c>
      <c r="BO62" s="60">
        <f>(BSPrice($B62*1,$J62+0, $K62, $C62, ($I62-$B$1)/365, $G62, $H62, $D62) - BSPrice($B62,$J62, $K62, $C62, ($I62-$B$1)/365, $G62, $H62, $D62)) * $F62</f>
        <v/>
      </c>
      <c r="BP62" s="60">
        <f>(BSPrice($B62*1,$J62+0.02, $K62, $C62, ($I62-$B$1)/365, $G62, $H62, $D62) - BSPrice($B62,$J62, $K62, $C62, ($I62-$B$1)/365, $G62, $H62, $D62)) * $F62</f>
        <v/>
      </c>
      <c r="BQ62" s="60">
        <f>(BSPrice($B62*1,$J62+0.05, $K62, $C62, ($I62-$B$1)/365, $G62, $H62, $D62) - BSPrice($B62,$J62, $K62, $C62, ($I62-$B$1)/365, $G62, $H62, $D62)) * $F62</f>
        <v/>
      </c>
      <c r="BR62" s="60">
        <f>(BSPrice($B62*1,$J62+0.1, $K62, $C62, ($I62-$B$1)/365, $G62, $H62, $D62) - BSPrice($B62,$J62, $K62, $C62, ($I62-$B$1)/365, $G62, $H62, $D62)) * $F62</f>
        <v/>
      </c>
      <c r="BS62" s="60">
        <f>(BSPrice($B62*1,$J62+0.2, $K62, $C62, ($I62-$B$1)/365, $G62, $H62, $D62) - BSPrice($B62,$J62, $K62, $C62, ($I62-$B$1)/365, $G62, $H62, $D62)) * $F62</f>
        <v/>
      </c>
      <c r="BT62" s="60">
        <f>(BSPrice($B62*1.05,$J62+-0.05, $K62, $C62, ($I62-$B$1)/365, $G62, $H62, $D62) - BSPrice($B62,$J62, $K62, $C62, ($I62-$B$1)/365, $G62, $H62, $D62)) * $F62</f>
        <v/>
      </c>
      <c r="BU62" s="60">
        <f>(BSPrice($B62*1.05,$J62+-0.02, $K62, $C62, ($I62-$B$1)/365, $G62, $H62, $D62) - BSPrice($B62,$J62, $K62, $C62, ($I62-$B$1)/365, $G62, $H62, $D62)) * $F62</f>
        <v/>
      </c>
      <c r="BV62" s="60">
        <f>(BSPrice($B62*1.05,$J62+0, $K62, $C62, ($I62-$B$1)/365, $G62, $H62, $D62) - BSPrice($B62,$J62, $K62, $C62, ($I62-$B$1)/365, $G62, $H62, $D62)) * $F62</f>
        <v/>
      </c>
      <c r="BW62" s="60">
        <f>(BSPrice($B62*1.05,$J62+0.02, $K62, $C62, ($I62-$B$1)/365, $G62, $H62, $D62) - BSPrice($B62,$J62, $K62, $C62, ($I62-$B$1)/365, $G62, $H62, $D62)) * $F62</f>
        <v/>
      </c>
      <c r="BX62" s="60">
        <f>(BSPrice($B62*1.05,$J62+0.05, $K62, $C62, ($I62-$B$1)/365, $G62, $H62, $D62) - BSPrice($B62,$J62, $K62, $C62, ($I62-$B$1)/365, $G62, $H62, $D62)) * $F62</f>
        <v/>
      </c>
      <c r="BY62" s="60">
        <f>(BSPrice($B62*1.05,$J62+0.1, $K62, $C62, ($I62-$B$1)/365, $G62, $H62, $D62) - BSPrice($B62,$J62, $K62, $C62, ($I62-$B$1)/365, $G62, $H62, $D62)) * $F62</f>
        <v/>
      </c>
      <c r="BZ62" s="60">
        <f>(BSPrice($B62*1.05,$J62+0.2, $K62, $C62, ($I62-$B$1)/365, $G62, $H62, $D62) - BSPrice($B62,$J62, $K62, $C62, ($I62-$B$1)/365, $G62, $H62, $D62)) * $F62</f>
        <v/>
      </c>
      <c r="CA62" s="60">
        <f>(BSPrice($B62*1.1,$J62+-0.05, $K62, $C62, ($I62-$B$1)/365, $G62, $H62, $D62) - BSPrice($B62,$J62, $K62, $C62, ($I62-$B$1)/365, $G62, $H62, $D62)) * $F62</f>
        <v/>
      </c>
      <c r="CB62" s="60">
        <f>(BSPrice($B62*1.1,$J62+-0.02, $K62, $C62, ($I62-$B$1)/365, $G62, $H62, $D62) - BSPrice($B62,$J62, $K62, $C62, ($I62-$B$1)/365, $G62, $H62, $D62)) * $F62</f>
        <v/>
      </c>
      <c r="CC62" s="60">
        <f>(BSPrice($B62*1.1,$J62+0, $K62, $C62, ($I62-$B$1)/365, $G62, $H62, $D62) - BSPrice($B62,$J62, $K62, $C62, ($I62-$B$1)/365, $G62, $H62, $D62)) * $F62</f>
        <v/>
      </c>
      <c r="CD62" s="60">
        <f>(BSPrice($B62*1.1,$J62+0.02, $K62, $C62, ($I62-$B$1)/365, $G62, $H62, $D62) - BSPrice($B62,$J62, $K62, $C62, ($I62-$B$1)/365, $G62, $H62, $D62)) * $F62</f>
        <v/>
      </c>
      <c r="CE62" s="60">
        <f>(BSPrice($B62*1.1,$J62+0.05, $K62, $C62, ($I62-$B$1)/365, $G62, $H62, $D62) - BSPrice($B62,$J62, $K62, $C62, ($I62-$B$1)/365, $G62, $H62, $D62)) * $F62</f>
        <v/>
      </c>
      <c r="CF62" s="60">
        <f>(BSPrice($B62*1.1,$J62+0.1, $K62, $C62, ($I62-$B$1)/365, $G62, $H62, $D62) - BSPrice($B62,$J62, $K62, $C62, ($I62-$B$1)/365, $G62, $H62, $D62)) * $F62</f>
        <v/>
      </c>
      <c r="CG62" s="60">
        <f>(BSPrice($B62*1.1,$J62+0.2, $K62, $C62, ($I62-$B$1)/365, $G62, $H62, $D62) - BSPrice($B62,$J62, $K62, $C62, ($I62-$B$1)/365, $G62, $H62, $D62)) * $F62</f>
        <v/>
      </c>
      <c r="CH62" s="60">
        <f>(BSPrice($B62*1.2,$J62+-0.05, $K62, $C62, ($I62-$B$1)/365, $G62, $H62, $D62) - BSPrice($B62,$J62, $K62, $C62, ($I62-$B$1)/365, $G62, $H62, $D62)) * $F62</f>
        <v/>
      </c>
      <c r="CI62" s="60">
        <f>(BSPrice($B62*1.2,$J62+-0.02, $K62, $C62, ($I62-$B$1)/365, $G62, $H62, $D62) - BSPrice($B62,$J62, $K62, $C62, ($I62-$B$1)/365, $G62, $H62, $D62)) * $F62</f>
        <v/>
      </c>
      <c r="CJ62" s="60">
        <f>(BSPrice($B62*1.2,$J62+0, $K62, $C62, ($I62-$B$1)/365, $G62, $H62, $D62) - BSPrice($B62,$J62, $K62, $C62, ($I62-$B$1)/365, $G62, $H62, $D62)) * $F62</f>
        <v/>
      </c>
      <c r="CK62" s="60">
        <f>(BSPrice($B62*1.2,$J62+0.02, $K62, $C62, ($I62-$B$1)/365, $G62, $H62, $D62) - BSPrice($B62,$J62, $K62, $C62, ($I62-$B$1)/365, $G62, $H62, $D62)) * $F62</f>
        <v/>
      </c>
      <c r="CL62" s="60">
        <f>(BSPrice($B62*1.2,$J62+0.05, $K62, $C62, ($I62-$B$1)/365, $G62, $H62, $D62) - BSPrice($B62,$J62, $K62, $C62, ($I62-$B$1)/365, $G62, $H62, $D62)) * $F62</f>
        <v/>
      </c>
      <c r="CM62" s="60">
        <f>(BSPrice($B62*1.2,$J62+0.1, $K62, $C62, ($I62-$B$1)/365, $G62, $H62, $D62) - BSPrice($B62,$J62, $K62, $C62, ($I62-$B$1)/365, $G62, $H62, $D62)) * $F62</f>
        <v/>
      </c>
      <c r="CN62" s="60">
        <f>(BSPrice($B62*1.2,$J62+0.2, $K62, $C62, ($I62-$B$1)/365, $G62, $H62, $D62) - BSPrice($B62,$J62, $K62, $C62, ($I62-$B$1)/365, $G62, $H62, $D62)) * $F62</f>
        <v/>
      </c>
    </row>
    <row r="63">
      <c r="A63" s="3" t="inlineStr">
        <is>
          <t>NKY Index</t>
        </is>
      </c>
      <c r="B63" s="4">
        <f>VLOOKUP(A63,PriceData!$K$4:$L$6,2,FALSE)</f>
        <v/>
      </c>
      <c r="C63" s="46">
        <f>VLOOKUP(A63,PriceData!$K$4:$M$6,3,FALSE)</f>
        <v/>
      </c>
      <c r="D63" s="4" t="inlineStr">
        <is>
          <t>Option</t>
        </is>
      </c>
      <c r="E63" s="4" t="inlineStr">
        <is>
          <t>JPY</t>
        </is>
      </c>
      <c r="F63" s="4" t="n">
        <v>-20</v>
      </c>
      <c r="G63" t="n">
        <v>10022</v>
      </c>
      <c r="H63" s="4" t="inlineStr">
        <is>
          <t>Call</t>
        </is>
      </c>
      <c r="I63" s="5" t="n">
        <v>40256</v>
      </c>
      <c r="J63" s="46">
        <f>FindImpliedVol(A63, D63, G63, I63)</f>
        <v/>
      </c>
      <c r="K63" s="30">
        <f>VLOOKUP(I63,PriceData!$A$5:$D$7,MATCH($E63,PriceData!$A$4:$D$4,0),FALSE)</f>
        <v/>
      </c>
      <c r="L63" s="2">
        <f>BSPrice($B63,$J63, $K63, $C63, ($I63-$B$1)/365, $G63, $H63, $D63)</f>
        <v/>
      </c>
      <c r="M63" s="2">
        <f>F63*L63</f>
        <v/>
      </c>
      <c r="N63" s="4" t="inlineStr">
        <is>
          <t>Exch</t>
        </is>
      </c>
      <c r="P63" s="60">
        <f>BSDelta(B63, J63, K63, C63, (I63-$B$1)/365, G63, H63, D63)</f>
        <v/>
      </c>
      <c r="Q63" s="60">
        <f>BSGamma(B63, J63, K63, C63, (I63-$B$1)/365, G63, D63)</f>
        <v/>
      </c>
      <c r="R63" s="58">
        <f>BSVega(B63, J63, K63, C63, (I63-$B$1)/365,G63, D63)</f>
        <v/>
      </c>
      <c r="S63" s="58">
        <f>BSVolga(B63, J63, K63, C63, (I63-$B$1)/365,G63, D63)</f>
        <v/>
      </c>
      <c r="T63" s="58">
        <f>BSVanna(B63,J63,K63, C63, (I63-$B$1)/365, G63, D63)</f>
        <v/>
      </c>
      <c r="U63" s="2">
        <f>BSRho(B63, J63, K63, C63, (I63-$B$1)/365, G63, H63, D63)</f>
        <v/>
      </c>
      <c r="V63" s="65">
        <f>$F63*$P63</f>
        <v/>
      </c>
      <c r="W63" s="65">
        <f>$F63*$Q63</f>
        <v/>
      </c>
      <c r="X63" s="78">
        <f>$F63*R63</f>
        <v/>
      </c>
      <c r="Y63" s="78">
        <f>$F63*S63</f>
        <v/>
      </c>
      <c r="Z63" s="78">
        <f>$F63*T63</f>
        <v/>
      </c>
      <c r="AA63" s="78">
        <f>$F63*U63</f>
        <v/>
      </c>
      <c r="AB63" s="78">
        <f>(BSPrice($B63*0.8,$J63, $K63, $C63, ($I63-$B$1)/365, $G63, $H63, $D63) - BSPrice($B63,$J63, $K63, $C63, ($I63-$B$1)/365, $G63, $H63, $D63)) * $F63</f>
        <v/>
      </c>
      <c r="AC63" s="78">
        <f>(BSPrice($B63*0.9,$J63, $K63, $C63, ($I63-$B$1)/365, $G63, $H63, $D63) - BSPrice($B63,$J63, $K63, $C63, ($I63-$B$1)/365, $G63, $H63, $D63)) * $F63</f>
        <v/>
      </c>
      <c r="AD63" s="78">
        <f>(BSPrice($B63*0.95,$J63, $K63, $C63, ($I63-$B$1)/365, $G63, $H63, $D63) - BSPrice($B63,$J63, $K63, $C63, ($I63-$B$1)/365, $G63, $H63, $D63)) * $F63</f>
        <v/>
      </c>
      <c r="AE63" s="78">
        <f>(BSPrice($B63*0.98,$J63, $K63, $C63, ($I63-$B$1)/365, $G63, $H63, $D63) - BSPrice($B63,$J63, $K63, $C63, ($I63-$B$1)/365, $G63, $H63, $D63)) * $F63</f>
        <v/>
      </c>
      <c r="AF63" s="78">
        <f>(BSPrice($B63*1.02,$J63, $K63, $C63, ($I63-$B$1)/365, $G63, $H63, $D63) - BSPrice($B63,$J63, $K63, $C63, ($I63-$B$1)/365, $G63, $H63, $D63)) * $F63</f>
        <v/>
      </c>
      <c r="AG63" s="78">
        <f>(BSPrice($B63*1.05,$J63, $K63, $C63, ($I63-$B$1)/365, $G63, $H63, $D63) - BSPrice($B63,$J63, $K63, $C63, ($I63-$B$1)/365, $G63, $H63, $D63)) * $F63</f>
        <v/>
      </c>
      <c r="AH63" s="78">
        <f>(BSPrice($B63*1.1,$J63, $K63, $C63, ($I63-$B$1)/365, $G63, $H63, $D63) - BSPrice($B63,$J63, $K63, $C63, ($I63-$B$1)/365, $G63, $H63, $D63)) * $F63</f>
        <v/>
      </c>
      <c r="AI63" s="78">
        <f>(BSPrice($B63*1.2,$J63, $K63, $C63, ($I63-$B$1)/365, $G63, $H63, $D63) - BSPrice($B63,$J63, $K63, $C63, ($I63-$B$1)/365, $G63, $H63, $D63)) * $F63</f>
        <v/>
      </c>
      <c r="AJ63" s="78">
        <f>(BSPrice($B63,$J63-0.1, $K63, $C63, ($I63-$B$1)/365, $G63, $H63, $D63) - BSPrice($B63,$J63, $K63, $C63, ($I63-$B$1)/365, $G63, $H63, $D63)) * $F63</f>
        <v/>
      </c>
      <c r="AK63" s="78">
        <f>(BSPrice($B63,$J63-0.05,$K63,$C63,($I63-$B$1)/365,$G63,$H63,$D63)-BSPrice($B63,$J63,$K63,$C63,($I63-$B$1)/365,$G63,$H63,$D63))*$F63</f>
        <v/>
      </c>
      <c r="AL63" s="78">
        <f>(BSPrice($B63,$J63-0.02, $K63, $C63, ($I63-$B$1)/365, $G63, $H63, $D63) - BSPrice($B63,$J63, $K63, $C63, ($I63-$B$1)/365, $G63, $H63, $D63)) * $F63</f>
        <v/>
      </c>
      <c r="AM63" s="78">
        <f>(BSPrice($B63,$J63-0.01, $K63, $C63, ($I63-$B$1)/365, $G63, $H63, $D63) - BSPrice($B63,$J63, $K63, $C63, ($I63-$B$1)/365, $G63, $H63, $D63)) * $F63</f>
        <v/>
      </c>
      <c r="AN63" s="78">
        <f>(BSPrice($B63,$J63+0.01, $K63, $C63, ($I63-$B$1)/365, $G63, $H63, $D63) - BSPrice($B63,$J63, $K63, $C63, ($I63-$B$1)/365, $G63, $H63, $D63)) * $F63</f>
        <v/>
      </c>
      <c r="AO63" s="78">
        <f>(BSPrice($B63,$J63+0.02, $K63, $C63, ($I63-$B$1)/365, $G63, $H63, $D63) - BSPrice($B63,$J63, $K63, $C63, ($I63-$B$1)/365, $G63, $H63, $D63)) * $F63</f>
        <v/>
      </c>
      <c r="AP63" s="78">
        <f>(BSPrice($B63,$J63+0.05, $K63, $C63, ($I63-$B$1)/365, $G63, $H63, $D63) - BSPrice($B63,$J63, $K63, $C63, ($I63-$B$1)/365, $G63, $H63, $D63)) * $F63</f>
        <v/>
      </c>
      <c r="AQ63" s="78">
        <f>(BSPrice($B63,$J63+0.1, $K63, $C63, ($I63-$B$1)/365, $G63, $H63, $D63) - BSPrice($B63,$J63, $K63, $C63, ($I63-$B$1)/365, $G63, $H63, $D63)) * $F63</f>
        <v/>
      </c>
      <c r="AR63" s="60">
        <f>(BSPrice($B63*0.8,$J63+-0.05, $K63, $C63, ($I63-$B$1)/365, $G63, $H63, $D63) - BSPrice($B63,$J63, $K63, $C63, ($I63-$B$1)/365, $G63, $H63, $D63)) * $F63</f>
        <v/>
      </c>
      <c r="AS63" s="60">
        <f>(BSPrice($B63*0.8,$J63+-0.02, $K63, $C63, ($I63-$B$1)/365, $G63, $H63, $D63) - BSPrice($B63,$J63, $K63, $C63, ($I63-$B$1)/365, $G63, $H63, $D63)) * $F63</f>
        <v/>
      </c>
      <c r="AT63" s="60">
        <f>(BSPrice($B63*0.8,$J63+0, $K63, $C63, ($I63-$B$1)/365, $G63, $H63, $D63) - BSPrice($B63,$J63, $K63, $C63, ($I63-$B$1)/365, $G63, $H63, $D63)) * $F63</f>
        <v/>
      </c>
      <c r="AU63" s="60">
        <f>(BSPrice($B63*0.8,$J63+0.02, $K63, $C63, ($I63-$B$1)/365, $G63, $H63, $D63) - BSPrice($B63,$J63, $K63, $C63, ($I63-$B$1)/365, $G63, $H63, $D63)) * $F63</f>
        <v/>
      </c>
      <c r="AV63" s="60">
        <f>(BSPrice($B63*0.8,$J63+0.05, $K63, $C63, ($I63-$B$1)/365, $G63, $H63, $D63) - BSPrice($B63,$J63, $K63, $C63, ($I63-$B$1)/365, $G63, $H63, $D63)) * $F63</f>
        <v/>
      </c>
      <c r="AW63" s="60">
        <f>(BSPrice($B63*0.8,$J63+0.1, $K63, $C63, ($I63-$B$1)/365, $G63, $H63, $D63) - BSPrice($B63,$J63, $K63, $C63, ($I63-$B$1)/365, $G63, $H63, $D63)) * $F63</f>
        <v/>
      </c>
      <c r="AX63" s="60">
        <f>(BSPrice($B63*0.8,$J63+0.2, $K63, $C63, ($I63-$B$1)/365, $G63, $H63, $D63) - BSPrice($B63,$J63, $K63, $C63, ($I63-$B$1)/365, $G63, $H63, $D63)) * $F63</f>
        <v/>
      </c>
      <c r="AY63" s="60">
        <f>(BSPrice($B63*0.9,$J63+-0.05, $K63, $C63, ($I63-$B$1)/365, $G63, $H63, $D63) - BSPrice($B63,$J63, $K63, $C63, ($I63-$B$1)/365, $G63, $H63, $D63)) * $F63</f>
        <v/>
      </c>
      <c r="AZ63" s="60">
        <f>(BSPrice($B63*0.9,$J63+-0.02, $K63, $C63, ($I63-$B$1)/365, $G63, $H63, $D63) - BSPrice($B63,$J63, $K63, $C63, ($I63-$B$1)/365, $G63, $H63, $D63)) * $F63</f>
        <v/>
      </c>
      <c r="BA63" s="60">
        <f>(BSPrice($B63*0.9,$J63+0, $K63, $C63, ($I63-$B$1)/365, $G63, $H63, $D63) - BSPrice($B63,$J63, $K63, $C63, ($I63-$B$1)/365, $G63, $H63, $D63)) * $F63</f>
        <v/>
      </c>
      <c r="BB63" s="60">
        <f>(BSPrice($B63*0.9,$J63+0.02, $K63, $C63, ($I63-$B$1)/365, $G63, $H63, $D63) - BSPrice($B63,$J63, $K63, $C63, ($I63-$B$1)/365, $G63, $H63, $D63)) * $F63</f>
        <v/>
      </c>
      <c r="BC63" s="60">
        <f>(BSPrice($B63*0.9,$J63+0.05, $K63, $C63, ($I63-$B$1)/365, $G63, $H63, $D63) - BSPrice($B63,$J63, $K63, $C63, ($I63-$B$1)/365, $G63, $H63, $D63)) * $F63</f>
        <v/>
      </c>
      <c r="BD63" s="60">
        <f>(BSPrice($B63*0.9,$J63+0.1, $K63, $C63, ($I63-$B$1)/365, $G63, $H63, $D63) - BSPrice($B63,$J63, $K63, $C63, ($I63-$B$1)/365, $G63, $H63, $D63)) * $F63</f>
        <v/>
      </c>
      <c r="BE63" s="60">
        <f>(BSPrice($B63*0.9,$J63+0.2, $K63, $C63, ($I63-$B$1)/365, $G63, $H63, $D63) - BSPrice($B63,$J63, $K63, $C63, ($I63-$B$1)/365, $G63, $H63, $D63)) * $F63</f>
        <v/>
      </c>
      <c r="BF63" s="60">
        <f>(BSPrice($B63*0.95,$J63+-0.05, $K63, $C63, ($I63-$B$1)/365, $G63, $H63, $D63) - BSPrice($B63,$J63, $K63, $C63, ($I63-$B$1)/365, $G63, $H63, $D63)) * $F63</f>
        <v/>
      </c>
      <c r="BG63" s="60">
        <f>(BSPrice($B63*0.95,$J63+-0.02, $K63, $C63, ($I63-$B$1)/365, $G63, $H63, $D63) - BSPrice($B63,$J63, $K63, $C63, ($I63-$B$1)/365, $G63, $H63, $D63)) * $F63</f>
        <v/>
      </c>
      <c r="BH63" s="60">
        <f>(BSPrice($B63*0.95,$J63+0, $K63, $C63, ($I63-$B$1)/365, $G63, $H63, $D63) - BSPrice($B63,$J63, $K63, $C63, ($I63-$B$1)/365, $G63, $H63, $D63)) * $F63</f>
        <v/>
      </c>
      <c r="BI63" s="60">
        <f>(BSPrice($B63*0.95,$J63+0.02, $K63, $C63, ($I63-$B$1)/365, $G63, $H63, $D63) - BSPrice($B63,$J63, $K63, $C63, ($I63-$B$1)/365, $G63, $H63, $D63)) * $F63</f>
        <v/>
      </c>
      <c r="BJ63" s="60">
        <f>(BSPrice($B63*0.95,$J63+0.05, $K63, $C63, ($I63-$B$1)/365, $G63, $H63, $D63) - BSPrice($B63,$J63, $K63, $C63, ($I63-$B$1)/365, $G63, $H63, $D63)) * $F63</f>
        <v/>
      </c>
      <c r="BK63" s="60">
        <f>(BSPrice($B63*0.95,$J63+0.1, $K63, $C63, ($I63-$B$1)/365, $G63, $H63, $D63) - BSPrice($B63,$J63, $K63, $C63, ($I63-$B$1)/365, $G63, $H63, $D63)) * $F63</f>
        <v/>
      </c>
      <c r="BL63" s="60">
        <f>(BSPrice($B63*0.95,$J63+0.2, $K63, $C63, ($I63-$B$1)/365, $G63, $H63, $D63) - BSPrice($B63,$J63, $K63, $C63, ($I63-$B$1)/365, $G63, $H63, $D63)) * $F63</f>
        <v/>
      </c>
      <c r="BM63" s="60">
        <f>(BSPrice($B63*1,$J63+-0.05, $K63, $C63, ($I63-$B$1)/365, $G63, $H63, $D63) - BSPrice($B63,$J63, $K63, $C63, ($I63-$B$1)/365, $G63, $H63, $D63)) * $F63</f>
        <v/>
      </c>
      <c r="BN63" s="60">
        <f>(BSPrice($B63*1,$J63+-0.02, $K63, $C63, ($I63-$B$1)/365, $G63, $H63, $D63) - BSPrice($B63,$J63, $K63, $C63, ($I63-$B$1)/365, $G63, $H63, $D63)) * $F63</f>
        <v/>
      </c>
      <c r="BO63" s="60">
        <f>(BSPrice($B63*1,$J63+0, $K63, $C63, ($I63-$B$1)/365, $G63, $H63, $D63) - BSPrice($B63,$J63, $K63, $C63, ($I63-$B$1)/365, $G63, $H63, $D63)) * $F63</f>
        <v/>
      </c>
      <c r="BP63" s="60">
        <f>(BSPrice($B63*1,$J63+0.02, $K63, $C63, ($I63-$B$1)/365, $G63, $H63, $D63) - BSPrice($B63,$J63, $K63, $C63, ($I63-$B$1)/365, $G63, $H63, $D63)) * $F63</f>
        <v/>
      </c>
      <c r="BQ63" s="60">
        <f>(BSPrice($B63*1,$J63+0.05, $K63, $C63, ($I63-$B$1)/365, $G63, $H63, $D63) - BSPrice($B63,$J63, $K63, $C63, ($I63-$B$1)/365, $G63, $H63, $D63)) * $F63</f>
        <v/>
      </c>
      <c r="BR63" s="60">
        <f>(BSPrice($B63*1,$J63+0.1, $K63, $C63, ($I63-$B$1)/365, $G63, $H63, $D63) - BSPrice($B63,$J63, $K63, $C63, ($I63-$B$1)/365, $G63, $H63, $D63)) * $F63</f>
        <v/>
      </c>
      <c r="BS63" s="60">
        <f>(BSPrice($B63*1,$J63+0.2, $K63, $C63, ($I63-$B$1)/365, $G63, $H63, $D63) - BSPrice($B63,$J63, $K63, $C63, ($I63-$B$1)/365, $G63, $H63, $D63)) * $F63</f>
        <v/>
      </c>
      <c r="BT63" s="60">
        <f>(BSPrice($B63*1.05,$J63+-0.05, $K63, $C63, ($I63-$B$1)/365, $G63, $H63, $D63) - BSPrice($B63,$J63, $K63, $C63, ($I63-$B$1)/365, $G63, $H63, $D63)) * $F63</f>
        <v/>
      </c>
      <c r="BU63" s="60">
        <f>(BSPrice($B63*1.05,$J63+-0.02, $K63, $C63, ($I63-$B$1)/365, $G63, $H63, $D63) - BSPrice($B63,$J63, $K63, $C63, ($I63-$B$1)/365, $G63, $H63, $D63)) * $F63</f>
        <v/>
      </c>
      <c r="BV63" s="60">
        <f>(BSPrice($B63*1.05,$J63+0, $K63, $C63, ($I63-$B$1)/365, $G63, $H63, $D63) - BSPrice($B63,$J63, $K63, $C63, ($I63-$B$1)/365, $G63, $H63, $D63)) * $F63</f>
        <v/>
      </c>
      <c r="BW63" s="60">
        <f>(BSPrice($B63*1.05,$J63+0.02, $K63, $C63, ($I63-$B$1)/365, $G63, $H63, $D63) - BSPrice($B63,$J63, $K63, $C63, ($I63-$B$1)/365, $G63, $H63, $D63)) * $F63</f>
        <v/>
      </c>
      <c r="BX63" s="60">
        <f>(BSPrice($B63*1.05,$J63+0.05, $K63, $C63, ($I63-$B$1)/365, $G63, $H63, $D63) - BSPrice($B63,$J63, $K63, $C63, ($I63-$B$1)/365, $G63, $H63, $D63)) * $F63</f>
        <v/>
      </c>
      <c r="BY63" s="60">
        <f>(BSPrice($B63*1.05,$J63+0.1, $K63, $C63, ($I63-$B$1)/365, $G63, $H63, $D63) - BSPrice($B63,$J63, $K63, $C63, ($I63-$B$1)/365, $G63, $H63, $D63)) * $F63</f>
        <v/>
      </c>
      <c r="BZ63" s="60">
        <f>(BSPrice($B63*1.05,$J63+0.2, $K63, $C63, ($I63-$B$1)/365, $G63, $H63, $D63) - BSPrice($B63,$J63, $K63, $C63, ($I63-$B$1)/365, $G63, $H63, $D63)) * $F63</f>
        <v/>
      </c>
      <c r="CA63" s="60">
        <f>(BSPrice($B63*1.1,$J63+-0.05, $K63, $C63, ($I63-$B$1)/365, $G63, $H63, $D63) - BSPrice($B63,$J63, $K63, $C63, ($I63-$B$1)/365, $G63, $H63, $D63)) * $F63</f>
        <v/>
      </c>
      <c r="CB63" s="60">
        <f>(BSPrice($B63*1.1,$J63+-0.02, $K63, $C63, ($I63-$B$1)/365, $G63, $H63, $D63) - BSPrice($B63,$J63, $K63, $C63, ($I63-$B$1)/365, $G63, $H63, $D63)) * $F63</f>
        <v/>
      </c>
      <c r="CC63" s="60">
        <f>(BSPrice($B63*1.1,$J63+0, $K63, $C63, ($I63-$B$1)/365, $G63, $H63, $D63) - BSPrice($B63,$J63, $K63, $C63, ($I63-$B$1)/365, $G63, $H63, $D63)) * $F63</f>
        <v/>
      </c>
      <c r="CD63" s="60">
        <f>(BSPrice($B63*1.1,$J63+0.02, $K63, $C63, ($I63-$B$1)/365, $G63, $H63, $D63) - BSPrice($B63,$J63, $K63, $C63, ($I63-$B$1)/365, $G63, $H63, $D63)) * $F63</f>
        <v/>
      </c>
      <c r="CE63" s="60">
        <f>(BSPrice($B63*1.1,$J63+0.05, $K63, $C63, ($I63-$B$1)/365, $G63, $H63, $D63) - BSPrice($B63,$J63, $K63, $C63, ($I63-$B$1)/365, $G63, $H63, $D63)) * $F63</f>
        <v/>
      </c>
      <c r="CF63" s="60">
        <f>(BSPrice($B63*1.1,$J63+0.1, $K63, $C63, ($I63-$B$1)/365, $G63, $H63, $D63) - BSPrice($B63,$J63, $K63, $C63, ($I63-$B$1)/365, $G63, $H63, $D63)) * $F63</f>
        <v/>
      </c>
      <c r="CG63" s="60">
        <f>(BSPrice($B63*1.1,$J63+0.2, $K63, $C63, ($I63-$B$1)/365, $G63, $H63, $D63) - BSPrice($B63,$J63, $K63, $C63, ($I63-$B$1)/365, $G63, $H63, $D63)) * $F63</f>
        <v/>
      </c>
      <c r="CH63" s="60">
        <f>(BSPrice($B63*1.2,$J63+-0.05, $K63, $C63, ($I63-$B$1)/365, $G63, $H63, $D63) - BSPrice($B63,$J63, $K63, $C63, ($I63-$B$1)/365, $G63, $H63, $D63)) * $F63</f>
        <v/>
      </c>
      <c r="CI63" s="60">
        <f>(BSPrice($B63*1.2,$J63+-0.02, $K63, $C63, ($I63-$B$1)/365, $G63, $H63, $D63) - BSPrice($B63,$J63, $K63, $C63, ($I63-$B$1)/365, $G63, $H63, $D63)) * $F63</f>
        <v/>
      </c>
      <c r="CJ63" s="60">
        <f>(BSPrice($B63*1.2,$J63+0, $K63, $C63, ($I63-$B$1)/365, $G63, $H63, $D63) - BSPrice($B63,$J63, $K63, $C63, ($I63-$B$1)/365, $G63, $H63, $D63)) * $F63</f>
        <v/>
      </c>
      <c r="CK63" s="60">
        <f>(BSPrice($B63*1.2,$J63+0.02, $K63, $C63, ($I63-$B$1)/365, $G63, $H63, $D63) - BSPrice($B63,$J63, $K63, $C63, ($I63-$B$1)/365, $G63, $H63, $D63)) * $F63</f>
        <v/>
      </c>
      <c r="CL63" s="60">
        <f>(BSPrice($B63*1.2,$J63+0.05, $K63, $C63, ($I63-$B$1)/365, $G63, $H63, $D63) - BSPrice($B63,$J63, $K63, $C63, ($I63-$B$1)/365, $G63, $H63, $D63)) * $F63</f>
        <v/>
      </c>
      <c r="CM63" s="60">
        <f>(BSPrice($B63*1.2,$J63+0.1, $K63, $C63, ($I63-$B$1)/365, $G63, $H63, $D63) - BSPrice($B63,$J63, $K63, $C63, ($I63-$B$1)/365, $G63, $H63, $D63)) * $F63</f>
        <v/>
      </c>
      <c r="CN63" s="60">
        <f>(BSPrice($B63*1.2,$J63+0.2, $K63, $C63, ($I63-$B$1)/365, $G63, $H63, $D63) - BSPrice($B63,$J63, $K63, $C63, ($I63-$B$1)/365, $G63, $H63, $D63)) * $F63</f>
        <v/>
      </c>
    </row>
    <row r="64">
      <c r="A64" s="3" t="inlineStr">
        <is>
          <t>NKY Index</t>
        </is>
      </c>
      <c r="B64" s="4">
        <f>VLOOKUP(A64,PriceData!$K$4:$L$6,2,FALSE)</f>
        <v/>
      </c>
      <c r="C64" s="46">
        <f>VLOOKUP(A64,PriceData!$K$4:$M$6,3,FALSE)</f>
        <v/>
      </c>
      <c r="D64" s="4" t="inlineStr">
        <is>
          <t>Option</t>
        </is>
      </c>
      <c r="E64" s="4" t="inlineStr">
        <is>
          <t>JPY</t>
        </is>
      </c>
      <c r="F64" s="4" t="n">
        <v>-10</v>
      </c>
      <c r="G64" t="n">
        <v>9120</v>
      </c>
      <c r="H64" s="4" t="inlineStr">
        <is>
          <t>Put</t>
        </is>
      </c>
      <c r="I64" s="5" t="n">
        <v>40256</v>
      </c>
      <c r="J64" s="46">
        <f>FindImpliedVol(A64, D64, G64, I64)</f>
        <v/>
      </c>
      <c r="K64" s="30">
        <f>VLOOKUP(I64,PriceData!$A$5:$D$7,MATCH($E64,PriceData!$A$4:$D$4,0),FALSE)</f>
        <v/>
      </c>
      <c r="L64" s="2">
        <f>BSPrice($B64,$J64, $K64, $C64, ($I64-$B$1)/365, $G64, $H64, $D64)</f>
        <v/>
      </c>
      <c r="M64" s="2">
        <f>F64*L64</f>
        <v/>
      </c>
      <c r="N64" s="4" t="inlineStr">
        <is>
          <t>Exch</t>
        </is>
      </c>
      <c r="P64" s="60">
        <f>BSDelta(B64, J64, K64, C64, (I64-$B$1)/365, G64, H64, D64)</f>
        <v/>
      </c>
      <c r="Q64" s="60">
        <f>BSGamma(B64, J64, K64, C64, (I64-$B$1)/365, G64, D64)</f>
        <v/>
      </c>
      <c r="R64" s="58">
        <f>BSVega(B64, J64, K64, C64, (I64-$B$1)/365,G64, D64)</f>
        <v/>
      </c>
      <c r="S64" s="58">
        <f>BSVolga(B64, J64, K64, C64, (I64-$B$1)/365,G64, D64)</f>
        <v/>
      </c>
      <c r="T64" s="58">
        <f>BSVanna(B64,J64,K64, C64, (I64-$B$1)/365, G64, D64)</f>
        <v/>
      </c>
      <c r="U64" s="2">
        <f>BSRho(B64, J64, K64, C64, (I64-$B$1)/365, G64, H64, D64)</f>
        <v/>
      </c>
      <c r="V64" s="65">
        <f>$F64*$P64</f>
        <v/>
      </c>
      <c r="W64" s="65">
        <f>$F64*$Q64</f>
        <v/>
      </c>
      <c r="X64" s="78">
        <f>$F64*R64</f>
        <v/>
      </c>
      <c r="Y64" s="78">
        <f>$F64*S64</f>
        <v/>
      </c>
      <c r="Z64" s="78">
        <f>$F64*T64</f>
        <v/>
      </c>
      <c r="AA64" s="78">
        <f>$F64*U64</f>
        <v/>
      </c>
      <c r="AB64" s="78">
        <f>(BSPrice($B64*0.8,$J64, $K64, $C64, ($I64-$B$1)/365, $G64, $H64, $D64) - BSPrice($B64,$J64, $K64, $C64, ($I64-$B$1)/365, $G64, $H64, $D64)) * $F64</f>
        <v/>
      </c>
      <c r="AC64" s="78">
        <f>(BSPrice($B64*0.9,$J64, $K64, $C64, ($I64-$B$1)/365, $G64, $H64, $D64) - BSPrice($B64,$J64, $K64, $C64, ($I64-$B$1)/365, $G64, $H64, $D64)) * $F64</f>
        <v/>
      </c>
      <c r="AD64" s="78">
        <f>(BSPrice($B64*0.95,$J64, $K64, $C64, ($I64-$B$1)/365, $G64, $H64, $D64) - BSPrice($B64,$J64, $K64, $C64, ($I64-$B$1)/365, $G64, $H64, $D64)) * $F64</f>
        <v/>
      </c>
      <c r="AE64" s="78">
        <f>(BSPrice($B64*0.98,$J64, $K64, $C64, ($I64-$B$1)/365, $G64, $H64, $D64) - BSPrice($B64,$J64, $K64, $C64, ($I64-$B$1)/365, $G64, $H64, $D64)) * $F64</f>
        <v/>
      </c>
      <c r="AF64" s="78">
        <f>(BSPrice($B64*1.02,$J64, $K64, $C64, ($I64-$B$1)/365, $G64, $H64, $D64) - BSPrice($B64,$J64, $K64, $C64, ($I64-$B$1)/365, $G64, $H64, $D64)) * $F64</f>
        <v/>
      </c>
      <c r="AG64" s="78">
        <f>(BSPrice($B64*1.05,$J64, $K64, $C64, ($I64-$B$1)/365, $G64, $H64, $D64) - BSPrice($B64,$J64, $K64, $C64, ($I64-$B$1)/365, $G64, $H64, $D64)) * $F64</f>
        <v/>
      </c>
      <c r="AH64" s="78">
        <f>(BSPrice($B64*1.1,$J64, $K64, $C64, ($I64-$B$1)/365, $G64, $H64, $D64) - BSPrice($B64,$J64, $K64, $C64, ($I64-$B$1)/365, $G64, $H64, $D64)) * $F64</f>
        <v/>
      </c>
      <c r="AI64" s="78">
        <f>(BSPrice($B64*1.2,$J64, $K64, $C64, ($I64-$B$1)/365, $G64, $H64, $D64) - BSPrice($B64,$J64, $K64, $C64, ($I64-$B$1)/365, $G64, $H64, $D64)) * $F64</f>
        <v/>
      </c>
      <c r="AJ64" s="78">
        <f>(BSPrice($B64,$J64-0.1, $K64, $C64, ($I64-$B$1)/365, $G64, $H64, $D64) - BSPrice($B64,$J64, $K64, $C64, ($I64-$B$1)/365, $G64, $H64, $D64)) * $F64</f>
        <v/>
      </c>
      <c r="AK64" s="78">
        <f>(BSPrice($B64,$J64-0.05,$K64,$C64,($I64-$B$1)/365,$G64,$H64,$D64)-BSPrice($B64,$J64,$K64,$C64,($I64-$B$1)/365,$G64,$H64,$D64))*$F64</f>
        <v/>
      </c>
      <c r="AL64" s="78">
        <f>(BSPrice($B64,$J64-0.02, $K64, $C64, ($I64-$B$1)/365, $G64, $H64, $D64) - BSPrice($B64,$J64, $K64, $C64, ($I64-$B$1)/365, $G64, $H64, $D64)) * $F64</f>
        <v/>
      </c>
      <c r="AM64" s="78">
        <f>(BSPrice($B64,$J64-0.01, $K64, $C64, ($I64-$B$1)/365, $G64, $H64, $D64) - BSPrice($B64,$J64, $K64, $C64, ($I64-$B$1)/365, $G64, $H64, $D64)) * $F64</f>
        <v/>
      </c>
      <c r="AN64" s="78">
        <f>(BSPrice($B64,$J64+0.01, $K64, $C64, ($I64-$B$1)/365, $G64, $H64, $D64) - BSPrice($B64,$J64, $K64, $C64, ($I64-$B$1)/365, $G64, $H64, $D64)) * $F64</f>
        <v/>
      </c>
      <c r="AO64" s="78">
        <f>(BSPrice($B64,$J64+0.02, $K64, $C64, ($I64-$B$1)/365, $G64, $H64, $D64) - BSPrice($B64,$J64, $K64, $C64, ($I64-$B$1)/365, $G64, $H64, $D64)) * $F64</f>
        <v/>
      </c>
      <c r="AP64" s="78">
        <f>(BSPrice($B64,$J64+0.05, $K64, $C64, ($I64-$B$1)/365, $G64, $H64, $D64) - BSPrice($B64,$J64, $K64, $C64, ($I64-$B$1)/365, $G64, $H64, $D64)) * $F64</f>
        <v/>
      </c>
      <c r="AQ64" s="78">
        <f>(BSPrice($B64,$J64+0.1, $K64, $C64, ($I64-$B$1)/365, $G64, $H64, $D64) - BSPrice($B64,$J64, $K64, $C64, ($I64-$B$1)/365, $G64, $H64, $D64)) * $F64</f>
        <v/>
      </c>
      <c r="AR64" s="60">
        <f>(BSPrice($B64*0.8,$J64+-0.05, $K64, $C64, ($I64-$B$1)/365, $G64, $H64, $D64) - BSPrice($B64,$J64, $K64, $C64, ($I64-$B$1)/365, $G64, $H64, $D64)) * $F64</f>
        <v/>
      </c>
      <c r="AS64" s="60">
        <f>(BSPrice($B64*0.8,$J64+-0.02, $K64, $C64, ($I64-$B$1)/365, $G64, $H64, $D64) - BSPrice($B64,$J64, $K64, $C64, ($I64-$B$1)/365, $G64, $H64, $D64)) * $F64</f>
        <v/>
      </c>
      <c r="AT64" s="60">
        <f>(BSPrice($B64*0.8,$J64+0, $K64, $C64, ($I64-$B$1)/365, $G64, $H64, $D64) - BSPrice($B64,$J64, $K64, $C64, ($I64-$B$1)/365, $G64, $H64, $D64)) * $F64</f>
        <v/>
      </c>
      <c r="AU64" s="60">
        <f>(BSPrice($B64*0.8,$J64+0.02, $K64, $C64, ($I64-$B$1)/365, $G64, $H64, $D64) - BSPrice($B64,$J64, $K64, $C64, ($I64-$B$1)/365, $G64, $H64, $D64)) * $F64</f>
        <v/>
      </c>
      <c r="AV64" s="60">
        <f>(BSPrice($B64*0.8,$J64+0.05, $K64, $C64, ($I64-$B$1)/365, $G64, $H64, $D64) - BSPrice($B64,$J64, $K64, $C64, ($I64-$B$1)/365, $G64, $H64, $D64)) * $F64</f>
        <v/>
      </c>
      <c r="AW64" s="60">
        <f>(BSPrice($B64*0.8,$J64+0.1, $K64, $C64, ($I64-$B$1)/365, $G64, $H64, $D64) - BSPrice($B64,$J64, $K64, $C64, ($I64-$B$1)/365, $G64, $H64, $D64)) * $F64</f>
        <v/>
      </c>
      <c r="AX64" s="60">
        <f>(BSPrice($B64*0.8,$J64+0.2, $K64, $C64, ($I64-$B$1)/365, $G64, $H64, $D64) - BSPrice($B64,$J64, $K64, $C64, ($I64-$B$1)/365, $G64, $H64, $D64)) * $F64</f>
        <v/>
      </c>
      <c r="AY64" s="60">
        <f>(BSPrice($B64*0.9,$J64+-0.05, $K64, $C64, ($I64-$B$1)/365, $G64, $H64, $D64) - BSPrice($B64,$J64, $K64, $C64, ($I64-$B$1)/365, $G64, $H64, $D64)) * $F64</f>
        <v/>
      </c>
      <c r="AZ64" s="60">
        <f>(BSPrice($B64*0.9,$J64+-0.02, $K64, $C64, ($I64-$B$1)/365, $G64, $H64, $D64) - BSPrice($B64,$J64, $K64, $C64, ($I64-$B$1)/365, $G64, $H64, $D64)) * $F64</f>
        <v/>
      </c>
      <c r="BA64" s="60">
        <f>(BSPrice($B64*0.9,$J64+0, $K64, $C64, ($I64-$B$1)/365, $G64, $H64, $D64) - BSPrice($B64,$J64, $K64, $C64, ($I64-$B$1)/365, $G64, $H64, $D64)) * $F64</f>
        <v/>
      </c>
      <c r="BB64" s="60">
        <f>(BSPrice($B64*0.9,$J64+0.02, $K64, $C64, ($I64-$B$1)/365, $G64, $H64, $D64) - BSPrice($B64,$J64, $K64, $C64, ($I64-$B$1)/365, $G64, $H64, $D64)) * $F64</f>
        <v/>
      </c>
      <c r="BC64" s="60">
        <f>(BSPrice($B64*0.9,$J64+0.05, $K64, $C64, ($I64-$B$1)/365, $G64, $H64, $D64) - BSPrice($B64,$J64, $K64, $C64, ($I64-$B$1)/365, $G64, $H64, $D64)) * $F64</f>
        <v/>
      </c>
      <c r="BD64" s="60">
        <f>(BSPrice($B64*0.9,$J64+0.1, $K64, $C64, ($I64-$B$1)/365, $G64, $H64, $D64) - BSPrice($B64,$J64, $K64, $C64, ($I64-$B$1)/365, $G64, $H64, $D64)) * $F64</f>
        <v/>
      </c>
      <c r="BE64" s="60">
        <f>(BSPrice($B64*0.9,$J64+0.2, $K64, $C64, ($I64-$B$1)/365, $G64, $H64, $D64) - BSPrice($B64,$J64, $K64, $C64, ($I64-$B$1)/365, $G64, $H64, $D64)) * $F64</f>
        <v/>
      </c>
      <c r="BF64" s="60">
        <f>(BSPrice($B64*0.95,$J64+-0.05, $K64, $C64, ($I64-$B$1)/365, $G64, $H64, $D64) - BSPrice($B64,$J64, $K64, $C64, ($I64-$B$1)/365, $G64, $H64, $D64)) * $F64</f>
        <v/>
      </c>
      <c r="BG64" s="60">
        <f>(BSPrice($B64*0.95,$J64+-0.02, $K64, $C64, ($I64-$B$1)/365, $G64, $H64, $D64) - BSPrice($B64,$J64, $K64, $C64, ($I64-$B$1)/365, $G64, $H64, $D64)) * $F64</f>
        <v/>
      </c>
      <c r="BH64" s="60">
        <f>(BSPrice($B64*0.95,$J64+0, $K64, $C64, ($I64-$B$1)/365, $G64, $H64, $D64) - BSPrice($B64,$J64, $K64, $C64, ($I64-$B$1)/365, $G64, $H64, $D64)) * $F64</f>
        <v/>
      </c>
      <c r="BI64" s="60">
        <f>(BSPrice($B64*0.95,$J64+0.02, $K64, $C64, ($I64-$B$1)/365, $G64, $H64, $D64) - BSPrice($B64,$J64, $K64, $C64, ($I64-$B$1)/365, $G64, $H64, $D64)) * $F64</f>
        <v/>
      </c>
      <c r="BJ64" s="60">
        <f>(BSPrice($B64*0.95,$J64+0.05, $K64, $C64, ($I64-$B$1)/365, $G64, $H64, $D64) - BSPrice($B64,$J64, $K64, $C64, ($I64-$B$1)/365, $G64, $H64, $D64)) * $F64</f>
        <v/>
      </c>
      <c r="BK64" s="60">
        <f>(BSPrice($B64*0.95,$J64+0.1, $K64, $C64, ($I64-$B$1)/365, $G64, $H64, $D64) - BSPrice($B64,$J64, $K64, $C64, ($I64-$B$1)/365, $G64, $H64, $D64)) * $F64</f>
        <v/>
      </c>
      <c r="BL64" s="60">
        <f>(BSPrice($B64*0.95,$J64+0.2, $K64, $C64, ($I64-$B$1)/365, $G64, $H64, $D64) - BSPrice($B64,$J64, $K64, $C64, ($I64-$B$1)/365, $G64, $H64, $D64)) * $F64</f>
        <v/>
      </c>
      <c r="BM64" s="60">
        <f>(BSPrice($B64*1,$J64+-0.05, $K64, $C64, ($I64-$B$1)/365, $G64, $H64, $D64) - BSPrice($B64,$J64, $K64, $C64, ($I64-$B$1)/365, $G64, $H64, $D64)) * $F64</f>
        <v/>
      </c>
      <c r="BN64" s="60">
        <f>(BSPrice($B64*1,$J64+-0.02, $K64, $C64, ($I64-$B$1)/365, $G64, $H64, $D64) - BSPrice($B64,$J64, $K64, $C64, ($I64-$B$1)/365, $G64, $H64, $D64)) * $F64</f>
        <v/>
      </c>
      <c r="BO64" s="60">
        <f>(BSPrice($B64*1,$J64+0, $K64, $C64, ($I64-$B$1)/365, $G64, $H64, $D64) - BSPrice($B64,$J64, $K64, $C64, ($I64-$B$1)/365, $G64, $H64, $D64)) * $F64</f>
        <v/>
      </c>
      <c r="BP64" s="60">
        <f>(BSPrice($B64*1,$J64+0.02, $K64, $C64, ($I64-$B$1)/365, $G64, $H64, $D64) - BSPrice($B64,$J64, $K64, $C64, ($I64-$B$1)/365, $G64, $H64, $D64)) * $F64</f>
        <v/>
      </c>
      <c r="BQ64" s="60">
        <f>(BSPrice($B64*1,$J64+0.05, $K64, $C64, ($I64-$B$1)/365, $G64, $H64, $D64) - BSPrice($B64,$J64, $K64, $C64, ($I64-$B$1)/365, $G64, $H64, $D64)) * $F64</f>
        <v/>
      </c>
      <c r="BR64" s="60">
        <f>(BSPrice($B64*1,$J64+0.1, $K64, $C64, ($I64-$B$1)/365, $G64, $H64, $D64) - BSPrice($B64,$J64, $K64, $C64, ($I64-$B$1)/365, $G64, $H64, $D64)) * $F64</f>
        <v/>
      </c>
      <c r="BS64" s="60">
        <f>(BSPrice($B64*1,$J64+0.2, $K64, $C64, ($I64-$B$1)/365, $G64, $H64, $D64) - BSPrice($B64,$J64, $K64, $C64, ($I64-$B$1)/365, $G64, $H64, $D64)) * $F64</f>
        <v/>
      </c>
      <c r="BT64" s="60">
        <f>(BSPrice($B64*1.05,$J64+-0.05, $K64, $C64, ($I64-$B$1)/365, $G64, $H64, $D64) - BSPrice($B64,$J64, $K64, $C64, ($I64-$B$1)/365, $G64, $H64, $D64)) * $F64</f>
        <v/>
      </c>
      <c r="BU64" s="60">
        <f>(BSPrice($B64*1.05,$J64+-0.02, $K64, $C64, ($I64-$B$1)/365, $G64, $H64, $D64) - BSPrice($B64,$J64, $K64, $C64, ($I64-$B$1)/365, $G64, $H64, $D64)) * $F64</f>
        <v/>
      </c>
      <c r="BV64" s="60">
        <f>(BSPrice($B64*1.05,$J64+0, $K64, $C64, ($I64-$B$1)/365, $G64, $H64, $D64) - BSPrice($B64,$J64, $K64, $C64, ($I64-$B$1)/365, $G64, $H64, $D64)) * $F64</f>
        <v/>
      </c>
      <c r="BW64" s="60">
        <f>(BSPrice($B64*1.05,$J64+0.02, $K64, $C64, ($I64-$B$1)/365, $G64, $H64, $D64) - BSPrice($B64,$J64, $K64, $C64, ($I64-$B$1)/365, $G64, $H64, $D64)) * $F64</f>
        <v/>
      </c>
      <c r="BX64" s="60">
        <f>(BSPrice($B64*1.05,$J64+0.05, $K64, $C64, ($I64-$B$1)/365, $G64, $H64, $D64) - BSPrice($B64,$J64, $K64, $C64, ($I64-$B$1)/365, $G64, $H64, $D64)) * $F64</f>
        <v/>
      </c>
      <c r="BY64" s="60">
        <f>(BSPrice($B64*1.05,$J64+0.1, $K64, $C64, ($I64-$B$1)/365, $G64, $H64, $D64) - BSPrice($B64,$J64, $K64, $C64, ($I64-$B$1)/365, $G64, $H64, $D64)) * $F64</f>
        <v/>
      </c>
      <c r="BZ64" s="60">
        <f>(BSPrice($B64*1.05,$J64+0.2, $K64, $C64, ($I64-$B$1)/365, $G64, $H64, $D64) - BSPrice($B64,$J64, $K64, $C64, ($I64-$B$1)/365, $G64, $H64, $D64)) * $F64</f>
        <v/>
      </c>
      <c r="CA64" s="60">
        <f>(BSPrice($B64*1.1,$J64+-0.05, $K64, $C64, ($I64-$B$1)/365, $G64, $H64, $D64) - BSPrice($B64,$J64, $K64, $C64, ($I64-$B$1)/365, $G64, $H64, $D64)) * $F64</f>
        <v/>
      </c>
      <c r="CB64" s="60">
        <f>(BSPrice($B64*1.1,$J64+-0.02, $K64, $C64, ($I64-$B$1)/365, $G64, $H64, $D64) - BSPrice($B64,$J64, $K64, $C64, ($I64-$B$1)/365, $G64, $H64, $D64)) * $F64</f>
        <v/>
      </c>
      <c r="CC64" s="60">
        <f>(BSPrice($B64*1.1,$J64+0, $K64, $C64, ($I64-$B$1)/365, $G64, $H64, $D64) - BSPrice($B64,$J64, $K64, $C64, ($I64-$B$1)/365, $G64, $H64, $D64)) * $F64</f>
        <v/>
      </c>
      <c r="CD64" s="60">
        <f>(BSPrice($B64*1.1,$J64+0.02, $K64, $C64, ($I64-$B$1)/365, $G64, $H64, $D64) - BSPrice($B64,$J64, $K64, $C64, ($I64-$B$1)/365, $G64, $H64, $D64)) * $F64</f>
        <v/>
      </c>
      <c r="CE64" s="60">
        <f>(BSPrice($B64*1.1,$J64+0.05, $K64, $C64, ($I64-$B$1)/365, $G64, $H64, $D64) - BSPrice($B64,$J64, $K64, $C64, ($I64-$B$1)/365, $G64, $H64, $D64)) * $F64</f>
        <v/>
      </c>
      <c r="CF64" s="60">
        <f>(BSPrice($B64*1.1,$J64+0.1, $K64, $C64, ($I64-$B$1)/365, $G64, $H64, $D64) - BSPrice($B64,$J64, $K64, $C64, ($I64-$B$1)/365, $G64, $H64, $D64)) * $F64</f>
        <v/>
      </c>
      <c r="CG64" s="60">
        <f>(BSPrice($B64*1.1,$J64+0.2, $K64, $C64, ($I64-$B$1)/365, $G64, $H64, $D64) - BSPrice($B64,$J64, $K64, $C64, ($I64-$B$1)/365, $G64, $H64, $D64)) * $F64</f>
        <v/>
      </c>
      <c r="CH64" s="60">
        <f>(BSPrice($B64*1.2,$J64+-0.05, $K64, $C64, ($I64-$B$1)/365, $G64, $H64, $D64) - BSPrice($B64,$J64, $K64, $C64, ($I64-$B$1)/365, $G64, $H64, $D64)) * $F64</f>
        <v/>
      </c>
      <c r="CI64" s="60">
        <f>(BSPrice($B64*1.2,$J64+-0.02, $K64, $C64, ($I64-$B$1)/365, $G64, $H64, $D64) - BSPrice($B64,$J64, $K64, $C64, ($I64-$B$1)/365, $G64, $H64, $D64)) * $F64</f>
        <v/>
      </c>
      <c r="CJ64" s="60">
        <f>(BSPrice($B64*1.2,$J64+0, $K64, $C64, ($I64-$B$1)/365, $G64, $H64, $D64) - BSPrice($B64,$J64, $K64, $C64, ($I64-$B$1)/365, $G64, $H64, $D64)) * $F64</f>
        <v/>
      </c>
      <c r="CK64" s="60">
        <f>(BSPrice($B64*1.2,$J64+0.02, $K64, $C64, ($I64-$B$1)/365, $G64, $H64, $D64) - BSPrice($B64,$J64, $K64, $C64, ($I64-$B$1)/365, $G64, $H64, $D64)) * $F64</f>
        <v/>
      </c>
      <c r="CL64" s="60">
        <f>(BSPrice($B64*1.2,$J64+0.05, $K64, $C64, ($I64-$B$1)/365, $G64, $H64, $D64) - BSPrice($B64,$J64, $K64, $C64, ($I64-$B$1)/365, $G64, $H64, $D64)) * $F64</f>
        <v/>
      </c>
      <c r="CM64" s="60">
        <f>(BSPrice($B64*1.2,$J64+0.1, $K64, $C64, ($I64-$B$1)/365, $G64, $H64, $D64) - BSPrice($B64,$J64, $K64, $C64, ($I64-$B$1)/365, $G64, $H64, $D64)) * $F64</f>
        <v/>
      </c>
      <c r="CN64" s="60">
        <f>(BSPrice($B64*1.2,$J64+0.2, $K64, $C64, ($I64-$B$1)/365, $G64, $H64, $D64) - BSPrice($B64,$J64, $K64, $C64, ($I64-$B$1)/365, $G64, $H64, $D64)) * $F64</f>
        <v/>
      </c>
    </row>
    <row r="65">
      <c r="A65" s="3" t="inlineStr">
        <is>
          <t>NKY Index</t>
        </is>
      </c>
      <c r="B65" s="4">
        <f>VLOOKUP(A65,PriceData!$K$4:$L$6,2,FALSE)</f>
        <v/>
      </c>
      <c r="C65" s="46">
        <f>VLOOKUP(A65,PriceData!$K$4:$M$6,3,FALSE)</f>
        <v/>
      </c>
      <c r="D65" s="4" t="inlineStr">
        <is>
          <t>Option</t>
        </is>
      </c>
      <c r="E65" s="4" t="inlineStr">
        <is>
          <t>JPY</t>
        </is>
      </c>
      <c r="F65" s="4" t="n">
        <v>-20</v>
      </c>
      <c r="G65" t="n">
        <v>10022</v>
      </c>
      <c r="H65" s="4" t="inlineStr">
        <is>
          <t>Put</t>
        </is>
      </c>
      <c r="I65" s="5" t="n">
        <v>40256</v>
      </c>
      <c r="J65" s="46">
        <f>FindImpliedVol(A65, D65, G65, I65)</f>
        <v/>
      </c>
      <c r="K65" s="30">
        <f>VLOOKUP(I65,PriceData!$A$5:$D$7,MATCH($E65,PriceData!$A$4:$D$4,0),FALSE)</f>
        <v/>
      </c>
      <c r="L65" s="2">
        <f>BSPrice($B65,$J65, $K65, $C65, ($I65-$B$1)/365, $G65, $H65, $D65)</f>
        <v/>
      </c>
      <c r="M65" s="2">
        <f>F65*L65</f>
        <v/>
      </c>
      <c r="N65" s="4" t="inlineStr">
        <is>
          <t>GoldMine Sacks</t>
        </is>
      </c>
      <c r="P65" s="60">
        <f>BSDelta(B65, J65, K65, C65, (I65-$B$1)/365, G65, H65, D65)</f>
        <v/>
      </c>
      <c r="Q65" s="60">
        <f>BSGamma(B65, J65, K65, C65, (I65-$B$1)/365, G65, D65)</f>
        <v/>
      </c>
      <c r="R65" s="58">
        <f>BSVega(B65, J65, K65, C65, (I65-$B$1)/365,G65, D65)</f>
        <v/>
      </c>
      <c r="S65" s="58">
        <f>BSVolga(B65, J65, K65, C65, (I65-$B$1)/365,G65, D65)</f>
        <v/>
      </c>
      <c r="T65" s="58">
        <f>BSVanna(B65,J65,K65, C65, (I65-$B$1)/365, G65, D65)</f>
        <v/>
      </c>
      <c r="U65" s="2">
        <f>BSRho(B65, J65, K65, C65, (I65-$B$1)/365, G65, H65, D65)</f>
        <v/>
      </c>
      <c r="V65" s="65">
        <f>$F65*$P65</f>
        <v/>
      </c>
      <c r="W65" s="65">
        <f>$F65*$Q65</f>
        <v/>
      </c>
      <c r="X65" s="78">
        <f>$F65*R65</f>
        <v/>
      </c>
      <c r="Y65" s="78">
        <f>$F65*S65</f>
        <v/>
      </c>
      <c r="Z65" s="78">
        <f>$F65*T65</f>
        <v/>
      </c>
      <c r="AA65" s="78">
        <f>$F65*U65</f>
        <v/>
      </c>
      <c r="AB65" s="78">
        <f>(BSPrice($B65*0.8,$J65, $K65, $C65, ($I65-$B$1)/365, $G65, $H65, $D65) - BSPrice($B65,$J65, $K65, $C65, ($I65-$B$1)/365, $G65, $H65, $D65)) * $F65</f>
        <v/>
      </c>
      <c r="AC65" s="78">
        <f>(BSPrice($B65*0.9,$J65, $K65, $C65, ($I65-$B$1)/365, $G65, $H65, $D65) - BSPrice($B65,$J65, $K65, $C65, ($I65-$B$1)/365, $G65, $H65, $D65)) * $F65</f>
        <v/>
      </c>
      <c r="AD65" s="78">
        <f>(BSPrice($B65*0.95,$J65, $K65, $C65, ($I65-$B$1)/365, $G65, $H65, $D65) - BSPrice($B65,$J65, $K65, $C65, ($I65-$B$1)/365, $G65, $H65, $D65)) * $F65</f>
        <v/>
      </c>
      <c r="AE65" s="78">
        <f>(BSPrice($B65*0.98,$J65, $K65, $C65, ($I65-$B$1)/365, $G65, $H65, $D65) - BSPrice($B65,$J65, $K65, $C65, ($I65-$B$1)/365, $G65, $H65, $D65)) * $F65</f>
        <v/>
      </c>
      <c r="AF65" s="78">
        <f>(BSPrice($B65*1.02,$J65, $K65, $C65, ($I65-$B$1)/365, $G65, $H65, $D65) - BSPrice($B65,$J65, $K65, $C65, ($I65-$B$1)/365, $G65, $H65, $D65)) * $F65</f>
        <v/>
      </c>
      <c r="AG65" s="78">
        <f>(BSPrice($B65*1.05,$J65, $K65, $C65, ($I65-$B$1)/365, $G65, $H65, $D65) - BSPrice($B65,$J65, $K65, $C65, ($I65-$B$1)/365, $G65, $H65, $D65)) * $F65</f>
        <v/>
      </c>
      <c r="AH65" s="78">
        <f>(BSPrice($B65*1.1,$J65, $K65, $C65, ($I65-$B$1)/365, $G65, $H65, $D65) - BSPrice($B65,$J65, $K65, $C65, ($I65-$B$1)/365, $G65, $H65, $D65)) * $F65</f>
        <v/>
      </c>
      <c r="AI65" s="78">
        <f>(BSPrice($B65*1.2,$J65, $K65, $C65, ($I65-$B$1)/365, $G65, $H65, $D65) - BSPrice($B65,$J65, $K65, $C65, ($I65-$B$1)/365, $G65, $H65, $D65)) * $F65</f>
        <v/>
      </c>
      <c r="AJ65" s="78">
        <f>(BSPrice($B65,$J65-0.1, $K65, $C65, ($I65-$B$1)/365, $G65, $H65, $D65) - BSPrice($B65,$J65, $K65, $C65, ($I65-$B$1)/365, $G65, $H65, $D65)) * $F65</f>
        <v/>
      </c>
      <c r="AK65" s="78">
        <f>(BSPrice($B65,$J65-0.05,$K65,$C65,($I65-$B$1)/365,$G65,$H65,$D65)-BSPrice($B65,$J65,$K65,$C65,($I65-$B$1)/365,$G65,$H65,$D65))*$F65</f>
        <v/>
      </c>
      <c r="AL65" s="78">
        <f>(BSPrice($B65,$J65-0.02, $K65, $C65, ($I65-$B$1)/365, $G65, $H65, $D65) - BSPrice($B65,$J65, $K65, $C65, ($I65-$B$1)/365, $G65, $H65, $D65)) * $F65</f>
        <v/>
      </c>
      <c r="AM65" s="78">
        <f>(BSPrice($B65,$J65-0.01, $K65, $C65, ($I65-$B$1)/365, $G65, $H65, $D65) - BSPrice($B65,$J65, $K65, $C65, ($I65-$B$1)/365, $G65, $H65, $D65)) * $F65</f>
        <v/>
      </c>
      <c r="AN65" s="78">
        <f>(BSPrice($B65,$J65+0.01, $K65, $C65, ($I65-$B$1)/365, $G65, $H65, $D65) - BSPrice($B65,$J65, $K65, $C65, ($I65-$B$1)/365, $G65, $H65, $D65)) * $F65</f>
        <v/>
      </c>
      <c r="AO65" s="78">
        <f>(BSPrice($B65,$J65+0.02, $K65, $C65, ($I65-$B$1)/365, $G65, $H65, $D65) - BSPrice($B65,$J65, $K65, $C65, ($I65-$B$1)/365, $G65, $H65, $D65)) * $F65</f>
        <v/>
      </c>
      <c r="AP65" s="78">
        <f>(BSPrice($B65,$J65+0.05, $K65, $C65, ($I65-$B$1)/365, $G65, $H65, $D65) - BSPrice($B65,$J65, $K65, $C65, ($I65-$B$1)/365, $G65, $H65, $D65)) * $F65</f>
        <v/>
      </c>
      <c r="AQ65" s="78">
        <f>(BSPrice($B65,$J65+0.1, $K65, $C65, ($I65-$B$1)/365, $G65, $H65, $D65) - BSPrice($B65,$J65, $K65, $C65, ($I65-$B$1)/365, $G65, $H65, $D65)) * $F65</f>
        <v/>
      </c>
      <c r="AR65" s="60">
        <f>(BSPrice($B65*0.8,$J65+-0.05, $K65, $C65, ($I65-$B$1)/365, $G65, $H65, $D65) - BSPrice($B65,$J65, $K65, $C65, ($I65-$B$1)/365, $G65, $H65, $D65)) * $F65</f>
        <v/>
      </c>
      <c r="AS65" s="60">
        <f>(BSPrice($B65*0.8,$J65+-0.02, $K65, $C65, ($I65-$B$1)/365, $G65, $H65, $D65) - BSPrice($B65,$J65, $K65, $C65, ($I65-$B$1)/365, $G65, $H65, $D65)) * $F65</f>
        <v/>
      </c>
      <c r="AT65" s="60">
        <f>(BSPrice($B65*0.8,$J65+0, $K65, $C65, ($I65-$B$1)/365, $G65, $H65, $D65) - BSPrice($B65,$J65, $K65, $C65, ($I65-$B$1)/365, $G65, $H65, $D65)) * $F65</f>
        <v/>
      </c>
      <c r="AU65" s="60">
        <f>(BSPrice($B65*0.8,$J65+0.02, $K65, $C65, ($I65-$B$1)/365, $G65, $H65, $D65) - BSPrice($B65,$J65, $K65, $C65, ($I65-$B$1)/365, $G65, $H65, $D65)) * $F65</f>
        <v/>
      </c>
      <c r="AV65" s="60">
        <f>(BSPrice($B65*0.8,$J65+0.05, $K65, $C65, ($I65-$B$1)/365, $G65, $H65, $D65) - BSPrice($B65,$J65, $K65, $C65, ($I65-$B$1)/365, $G65, $H65, $D65)) * $F65</f>
        <v/>
      </c>
      <c r="AW65" s="60">
        <f>(BSPrice($B65*0.8,$J65+0.1, $K65, $C65, ($I65-$B$1)/365, $G65, $H65, $D65) - BSPrice($B65,$J65, $K65, $C65, ($I65-$B$1)/365, $G65, $H65, $D65)) * $F65</f>
        <v/>
      </c>
      <c r="AX65" s="60">
        <f>(BSPrice($B65*0.8,$J65+0.2, $K65, $C65, ($I65-$B$1)/365, $G65, $H65, $D65) - BSPrice($B65,$J65, $K65, $C65, ($I65-$B$1)/365, $G65, $H65, $D65)) * $F65</f>
        <v/>
      </c>
      <c r="AY65" s="60">
        <f>(BSPrice($B65*0.9,$J65+-0.05, $K65, $C65, ($I65-$B$1)/365, $G65, $H65, $D65) - BSPrice($B65,$J65, $K65, $C65, ($I65-$B$1)/365, $G65, $H65, $D65)) * $F65</f>
        <v/>
      </c>
      <c r="AZ65" s="60">
        <f>(BSPrice($B65*0.9,$J65+-0.02, $K65, $C65, ($I65-$B$1)/365, $G65, $H65, $D65) - BSPrice($B65,$J65, $K65, $C65, ($I65-$B$1)/365, $G65, $H65, $D65)) * $F65</f>
        <v/>
      </c>
      <c r="BA65" s="60">
        <f>(BSPrice($B65*0.9,$J65+0, $K65, $C65, ($I65-$B$1)/365, $G65, $H65, $D65) - BSPrice($B65,$J65, $K65, $C65, ($I65-$B$1)/365, $G65, $H65, $D65)) * $F65</f>
        <v/>
      </c>
      <c r="BB65" s="60">
        <f>(BSPrice($B65*0.9,$J65+0.02, $K65, $C65, ($I65-$B$1)/365, $G65, $H65, $D65) - BSPrice($B65,$J65, $K65, $C65, ($I65-$B$1)/365, $G65, $H65, $D65)) * $F65</f>
        <v/>
      </c>
      <c r="BC65" s="60">
        <f>(BSPrice($B65*0.9,$J65+0.05, $K65, $C65, ($I65-$B$1)/365, $G65, $H65, $D65) - BSPrice($B65,$J65, $K65, $C65, ($I65-$B$1)/365, $G65, $H65, $D65)) * $F65</f>
        <v/>
      </c>
      <c r="BD65" s="60">
        <f>(BSPrice($B65*0.9,$J65+0.1, $K65, $C65, ($I65-$B$1)/365, $G65, $H65, $D65) - BSPrice($B65,$J65, $K65, $C65, ($I65-$B$1)/365, $G65, $H65, $D65)) * $F65</f>
        <v/>
      </c>
      <c r="BE65" s="60">
        <f>(BSPrice($B65*0.9,$J65+0.2, $K65, $C65, ($I65-$B$1)/365, $G65, $H65, $D65) - BSPrice($B65,$J65, $K65, $C65, ($I65-$B$1)/365, $G65, $H65, $D65)) * $F65</f>
        <v/>
      </c>
      <c r="BF65" s="60">
        <f>(BSPrice($B65*0.95,$J65+-0.05, $K65, $C65, ($I65-$B$1)/365, $G65, $H65, $D65) - BSPrice($B65,$J65, $K65, $C65, ($I65-$B$1)/365, $G65, $H65, $D65)) * $F65</f>
        <v/>
      </c>
      <c r="BG65" s="60">
        <f>(BSPrice($B65*0.95,$J65+-0.02, $K65, $C65, ($I65-$B$1)/365, $G65, $H65, $D65) - BSPrice($B65,$J65, $K65, $C65, ($I65-$B$1)/365, $G65, $H65, $D65)) * $F65</f>
        <v/>
      </c>
      <c r="BH65" s="60">
        <f>(BSPrice($B65*0.95,$J65+0, $K65, $C65, ($I65-$B$1)/365, $G65, $H65, $D65) - BSPrice($B65,$J65, $K65, $C65, ($I65-$B$1)/365, $G65, $H65, $D65)) * $F65</f>
        <v/>
      </c>
      <c r="BI65" s="60">
        <f>(BSPrice($B65*0.95,$J65+0.02, $K65, $C65, ($I65-$B$1)/365, $G65, $H65, $D65) - BSPrice($B65,$J65, $K65, $C65, ($I65-$B$1)/365, $G65, $H65, $D65)) * $F65</f>
        <v/>
      </c>
      <c r="BJ65" s="60">
        <f>(BSPrice($B65*0.95,$J65+0.05, $K65, $C65, ($I65-$B$1)/365, $G65, $H65, $D65) - BSPrice($B65,$J65, $K65, $C65, ($I65-$B$1)/365, $G65, $H65, $D65)) * $F65</f>
        <v/>
      </c>
      <c r="BK65" s="60">
        <f>(BSPrice($B65*0.95,$J65+0.1, $K65, $C65, ($I65-$B$1)/365, $G65, $H65, $D65) - BSPrice($B65,$J65, $K65, $C65, ($I65-$B$1)/365, $G65, $H65, $D65)) * $F65</f>
        <v/>
      </c>
      <c r="BL65" s="60">
        <f>(BSPrice($B65*0.95,$J65+0.2, $K65, $C65, ($I65-$B$1)/365, $G65, $H65, $D65) - BSPrice($B65,$J65, $K65, $C65, ($I65-$B$1)/365, $G65, $H65, $D65)) * $F65</f>
        <v/>
      </c>
      <c r="BM65" s="60">
        <f>(BSPrice($B65*1,$J65+-0.05, $K65, $C65, ($I65-$B$1)/365, $G65, $H65, $D65) - BSPrice($B65,$J65, $K65, $C65, ($I65-$B$1)/365, $G65, $H65, $D65)) * $F65</f>
        <v/>
      </c>
      <c r="BN65" s="60">
        <f>(BSPrice($B65*1,$J65+-0.02, $K65, $C65, ($I65-$B$1)/365, $G65, $H65, $D65) - BSPrice($B65,$J65, $K65, $C65, ($I65-$B$1)/365, $G65, $H65, $D65)) * $F65</f>
        <v/>
      </c>
      <c r="BO65" s="60">
        <f>(BSPrice($B65*1,$J65+0, $K65, $C65, ($I65-$B$1)/365, $G65, $H65, $D65) - BSPrice($B65,$J65, $K65, $C65, ($I65-$B$1)/365, $G65, $H65, $D65)) * $F65</f>
        <v/>
      </c>
      <c r="BP65" s="60">
        <f>(BSPrice($B65*1,$J65+0.02, $K65, $C65, ($I65-$B$1)/365, $G65, $H65, $D65) - BSPrice($B65,$J65, $K65, $C65, ($I65-$B$1)/365, $G65, $H65, $D65)) * $F65</f>
        <v/>
      </c>
      <c r="BQ65" s="60">
        <f>(BSPrice($B65*1,$J65+0.05, $K65, $C65, ($I65-$B$1)/365, $G65, $H65, $D65) - BSPrice($B65,$J65, $K65, $C65, ($I65-$B$1)/365, $G65, $H65, $D65)) * $F65</f>
        <v/>
      </c>
      <c r="BR65" s="60">
        <f>(BSPrice($B65*1,$J65+0.1, $K65, $C65, ($I65-$B$1)/365, $G65, $H65, $D65) - BSPrice($B65,$J65, $K65, $C65, ($I65-$B$1)/365, $G65, $H65, $D65)) * $F65</f>
        <v/>
      </c>
      <c r="BS65" s="60">
        <f>(BSPrice($B65*1,$J65+0.2, $K65, $C65, ($I65-$B$1)/365, $G65, $H65, $D65) - BSPrice($B65,$J65, $K65, $C65, ($I65-$B$1)/365, $G65, $H65, $D65)) * $F65</f>
        <v/>
      </c>
      <c r="BT65" s="60">
        <f>(BSPrice($B65*1.05,$J65+-0.05, $K65, $C65, ($I65-$B$1)/365, $G65, $H65, $D65) - BSPrice($B65,$J65, $K65, $C65, ($I65-$B$1)/365, $G65, $H65, $D65)) * $F65</f>
        <v/>
      </c>
      <c r="BU65" s="60">
        <f>(BSPrice($B65*1.05,$J65+-0.02, $K65, $C65, ($I65-$B$1)/365, $G65, $H65, $D65) - BSPrice($B65,$J65, $K65, $C65, ($I65-$B$1)/365, $G65, $H65, $D65)) * $F65</f>
        <v/>
      </c>
      <c r="BV65" s="60">
        <f>(BSPrice($B65*1.05,$J65+0, $K65, $C65, ($I65-$B$1)/365, $G65, $H65, $D65) - BSPrice($B65,$J65, $K65, $C65, ($I65-$B$1)/365, $G65, $H65, $D65)) * $F65</f>
        <v/>
      </c>
      <c r="BW65" s="60">
        <f>(BSPrice($B65*1.05,$J65+0.02, $K65, $C65, ($I65-$B$1)/365, $G65, $H65, $D65) - BSPrice($B65,$J65, $K65, $C65, ($I65-$B$1)/365, $G65, $H65, $D65)) * $F65</f>
        <v/>
      </c>
      <c r="BX65" s="60">
        <f>(BSPrice($B65*1.05,$J65+0.05, $K65, $C65, ($I65-$B$1)/365, $G65, $H65, $D65) - BSPrice($B65,$J65, $K65, $C65, ($I65-$B$1)/365, $G65, $H65, $D65)) * $F65</f>
        <v/>
      </c>
      <c r="BY65" s="60">
        <f>(BSPrice($B65*1.05,$J65+0.1, $K65, $C65, ($I65-$B$1)/365, $G65, $H65, $D65) - BSPrice($B65,$J65, $K65, $C65, ($I65-$B$1)/365, $G65, $H65, $D65)) * $F65</f>
        <v/>
      </c>
      <c r="BZ65" s="60">
        <f>(BSPrice($B65*1.05,$J65+0.2, $K65, $C65, ($I65-$B$1)/365, $G65, $H65, $D65) - BSPrice($B65,$J65, $K65, $C65, ($I65-$B$1)/365, $G65, $H65, $D65)) * $F65</f>
        <v/>
      </c>
      <c r="CA65" s="60">
        <f>(BSPrice($B65*1.1,$J65+-0.05, $K65, $C65, ($I65-$B$1)/365, $G65, $H65, $D65) - BSPrice($B65,$J65, $K65, $C65, ($I65-$B$1)/365, $G65, $H65, $D65)) * $F65</f>
        <v/>
      </c>
      <c r="CB65" s="60">
        <f>(BSPrice($B65*1.1,$J65+-0.02, $K65, $C65, ($I65-$B$1)/365, $G65, $H65, $D65) - BSPrice($B65,$J65, $K65, $C65, ($I65-$B$1)/365, $G65, $H65, $D65)) * $F65</f>
        <v/>
      </c>
      <c r="CC65" s="60">
        <f>(BSPrice($B65*1.1,$J65+0, $K65, $C65, ($I65-$B$1)/365, $G65, $H65, $D65) - BSPrice($B65,$J65, $K65, $C65, ($I65-$B$1)/365, $G65, $H65, $D65)) * $F65</f>
        <v/>
      </c>
      <c r="CD65" s="60">
        <f>(BSPrice($B65*1.1,$J65+0.02, $K65, $C65, ($I65-$B$1)/365, $G65, $H65, $D65) - BSPrice($B65,$J65, $K65, $C65, ($I65-$B$1)/365, $G65, $H65, $D65)) * $F65</f>
        <v/>
      </c>
      <c r="CE65" s="60">
        <f>(BSPrice($B65*1.1,$J65+0.05, $K65, $C65, ($I65-$B$1)/365, $G65, $H65, $D65) - BSPrice($B65,$J65, $K65, $C65, ($I65-$B$1)/365, $G65, $H65, $D65)) * $F65</f>
        <v/>
      </c>
      <c r="CF65" s="60">
        <f>(BSPrice($B65*1.1,$J65+0.1, $K65, $C65, ($I65-$B$1)/365, $G65, $H65, $D65) - BSPrice($B65,$J65, $K65, $C65, ($I65-$B$1)/365, $G65, $H65, $D65)) * $F65</f>
        <v/>
      </c>
      <c r="CG65" s="60">
        <f>(BSPrice($B65*1.1,$J65+0.2, $K65, $C65, ($I65-$B$1)/365, $G65, $H65, $D65) - BSPrice($B65,$J65, $K65, $C65, ($I65-$B$1)/365, $G65, $H65, $D65)) * $F65</f>
        <v/>
      </c>
      <c r="CH65" s="60">
        <f>(BSPrice($B65*1.2,$J65+-0.05, $K65, $C65, ($I65-$B$1)/365, $G65, $H65, $D65) - BSPrice($B65,$J65, $K65, $C65, ($I65-$B$1)/365, $G65, $H65, $D65)) * $F65</f>
        <v/>
      </c>
      <c r="CI65" s="60">
        <f>(BSPrice($B65*1.2,$J65+-0.02, $K65, $C65, ($I65-$B$1)/365, $G65, $H65, $D65) - BSPrice($B65,$J65, $K65, $C65, ($I65-$B$1)/365, $G65, $H65, $D65)) * $F65</f>
        <v/>
      </c>
      <c r="CJ65" s="60">
        <f>(BSPrice($B65*1.2,$J65+0, $K65, $C65, ($I65-$B$1)/365, $G65, $H65, $D65) - BSPrice($B65,$J65, $K65, $C65, ($I65-$B$1)/365, $G65, $H65, $D65)) * $F65</f>
        <v/>
      </c>
      <c r="CK65" s="60">
        <f>(BSPrice($B65*1.2,$J65+0.02, $K65, $C65, ($I65-$B$1)/365, $G65, $H65, $D65) - BSPrice($B65,$J65, $K65, $C65, ($I65-$B$1)/365, $G65, $H65, $D65)) * $F65</f>
        <v/>
      </c>
      <c r="CL65" s="60">
        <f>(BSPrice($B65*1.2,$J65+0.05, $K65, $C65, ($I65-$B$1)/365, $G65, $H65, $D65) - BSPrice($B65,$J65, $K65, $C65, ($I65-$B$1)/365, $G65, $H65, $D65)) * $F65</f>
        <v/>
      </c>
      <c r="CM65" s="60">
        <f>(BSPrice($B65*1.2,$J65+0.1, $K65, $C65, ($I65-$B$1)/365, $G65, $H65, $D65) - BSPrice($B65,$J65, $K65, $C65, ($I65-$B$1)/365, $G65, $H65, $D65)) * $F65</f>
        <v/>
      </c>
      <c r="CN65" s="60">
        <f>(BSPrice($B65*1.2,$J65+0.2, $K65, $C65, ($I65-$B$1)/365, $G65, $H65, $D65) - BSPrice($B65,$J65, $K65, $C65, ($I65-$B$1)/365, $G65, $H65, $D65)) * $F65</f>
        <v/>
      </c>
    </row>
    <row r="66">
      <c r="A66" s="3" t="inlineStr">
        <is>
          <t>NKY Index</t>
        </is>
      </c>
      <c r="B66" s="4">
        <f>VLOOKUP(A66,PriceData!$K$4:$L$6,2,FALSE)</f>
        <v/>
      </c>
      <c r="C66" s="46">
        <f>VLOOKUP(A66,PriceData!$K$4:$M$6,3,FALSE)</f>
        <v/>
      </c>
      <c r="D66" s="4" t="inlineStr">
        <is>
          <t>Option</t>
        </is>
      </c>
      <c r="E66" s="4" t="inlineStr">
        <is>
          <t>JPY</t>
        </is>
      </c>
      <c r="F66" s="4" t="n">
        <v>-20</v>
      </c>
      <c r="G66" t="n">
        <v>10323</v>
      </c>
      <c r="H66" s="4" t="inlineStr">
        <is>
          <t>Call</t>
        </is>
      </c>
      <c r="I66" s="5" t="n">
        <v>40256</v>
      </c>
      <c r="J66" s="46">
        <f>FindImpliedVol(A66, D66, G66, I66)</f>
        <v/>
      </c>
      <c r="K66" s="30">
        <f>VLOOKUP(I66,PriceData!$A$5:$D$7,MATCH($E66,PriceData!$A$4:$D$4,0),FALSE)</f>
        <v/>
      </c>
      <c r="L66" s="2">
        <f>BSPrice($B66,$J66, $K66, $C66, ($I66-$B$1)/365, $G66, $H66, $D66)</f>
        <v/>
      </c>
      <c r="M66" s="2">
        <f>F66*L66</f>
        <v/>
      </c>
      <c r="N66" s="4" t="inlineStr">
        <is>
          <t>Exch</t>
        </is>
      </c>
      <c r="P66" s="60">
        <f>BSDelta(B66, J66, K66, C66, (I66-$B$1)/365, G66, H66, D66)</f>
        <v/>
      </c>
      <c r="Q66" s="60">
        <f>BSGamma(B66, J66, K66, C66, (I66-$B$1)/365, G66, D66)</f>
        <v/>
      </c>
      <c r="R66" s="58">
        <f>BSVega(B66, J66, K66, C66, (I66-$B$1)/365,G66, D66)</f>
        <v/>
      </c>
      <c r="S66" s="58">
        <f>BSVolga(B66, J66, K66, C66, (I66-$B$1)/365,G66, D66)</f>
        <v/>
      </c>
      <c r="T66" s="58">
        <f>BSVanna(B66,J66,K66, C66, (I66-$B$1)/365, G66, D66)</f>
        <v/>
      </c>
      <c r="U66" s="2">
        <f>BSRho(B66, J66, K66, C66, (I66-$B$1)/365, G66, H66, D66)</f>
        <v/>
      </c>
      <c r="V66" s="65">
        <f>$F66*$P66</f>
        <v/>
      </c>
      <c r="W66" s="65">
        <f>$F66*$Q66</f>
        <v/>
      </c>
      <c r="X66" s="78">
        <f>$F66*R66</f>
        <v/>
      </c>
      <c r="Y66" s="78">
        <f>$F66*S66</f>
        <v/>
      </c>
      <c r="Z66" s="78">
        <f>$F66*T66</f>
        <v/>
      </c>
      <c r="AA66" s="78">
        <f>$F66*U66</f>
        <v/>
      </c>
      <c r="AB66" s="78">
        <f>(BSPrice($B66*0.8,$J66, $K66, $C66, ($I66-$B$1)/365, $G66, $H66, $D66) - BSPrice($B66,$J66, $K66, $C66, ($I66-$B$1)/365, $G66, $H66, $D66)) * $F66</f>
        <v/>
      </c>
      <c r="AC66" s="78">
        <f>(BSPrice($B66*0.9,$J66, $K66, $C66, ($I66-$B$1)/365, $G66, $H66, $D66) - BSPrice($B66,$J66, $K66, $C66, ($I66-$B$1)/365, $G66, $H66, $D66)) * $F66</f>
        <v/>
      </c>
      <c r="AD66" s="78">
        <f>(BSPrice($B66*0.95,$J66, $K66, $C66, ($I66-$B$1)/365, $G66, $H66, $D66) - BSPrice($B66,$J66, $K66, $C66, ($I66-$B$1)/365, $G66, $H66, $D66)) * $F66</f>
        <v/>
      </c>
      <c r="AE66" s="78">
        <f>(BSPrice($B66*0.98,$J66, $K66, $C66, ($I66-$B$1)/365, $G66, $H66, $D66) - BSPrice($B66,$J66, $K66, $C66, ($I66-$B$1)/365, $G66, $H66, $D66)) * $F66</f>
        <v/>
      </c>
      <c r="AF66" s="78">
        <f>(BSPrice($B66*1.02,$J66, $K66, $C66, ($I66-$B$1)/365, $G66, $H66, $D66) - BSPrice($B66,$J66, $K66, $C66, ($I66-$B$1)/365, $G66, $H66, $D66)) * $F66</f>
        <v/>
      </c>
      <c r="AG66" s="78">
        <f>(BSPrice($B66*1.05,$J66, $K66, $C66, ($I66-$B$1)/365, $G66, $H66, $D66) - BSPrice($B66,$J66, $K66, $C66, ($I66-$B$1)/365, $G66, $H66, $D66)) * $F66</f>
        <v/>
      </c>
      <c r="AH66" s="78">
        <f>(BSPrice($B66*1.1,$J66, $K66, $C66, ($I66-$B$1)/365, $G66, $H66, $D66) - BSPrice($B66,$J66, $K66, $C66, ($I66-$B$1)/365, $G66, $H66, $D66)) * $F66</f>
        <v/>
      </c>
      <c r="AI66" s="78">
        <f>(BSPrice($B66*1.2,$J66, $K66, $C66, ($I66-$B$1)/365, $G66, $H66, $D66) - BSPrice($B66,$J66, $K66, $C66, ($I66-$B$1)/365, $G66, $H66, $D66)) * $F66</f>
        <v/>
      </c>
      <c r="AJ66" s="78">
        <f>(BSPrice($B66,$J66-0.1, $K66, $C66, ($I66-$B$1)/365, $G66, $H66, $D66) - BSPrice($B66,$J66, $K66, $C66, ($I66-$B$1)/365, $G66, $H66, $D66)) * $F66</f>
        <v/>
      </c>
      <c r="AK66" s="78">
        <f>(BSPrice($B66,$J66-0.05,$K66,$C66,($I66-$B$1)/365,$G66,$H66,$D66)-BSPrice($B66,$J66,$K66,$C66,($I66-$B$1)/365,$G66,$H66,$D66))*$F66</f>
        <v/>
      </c>
      <c r="AL66" s="78">
        <f>(BSPrice($B66,$J66-0.02, $K66, $C66, ($I66-$B$1)/365, $G66, $H66, $D66) - BSPrice($B66,$J66, $K66, $C66, ($I66-$B$1)/365, $G66, $H66, $D66)) * $F66</f>
        <v/>
      </c>
      <c r="AM66" s="78">
        <f>(BSPrice($B66,$J66-0.01, $K66, $C66, ($I66-$B$1)/365, $G66, $H66, $D66) - BSPrice($B66,$J66, $K66, $C66, ($I66-$B$1)/365, $G66, $H66, $D66)) * $F66</f>
        <v/>
      </c>
      <c r="AN66" s="78">
        <f>(BSPrice($B66,$J66+0.01, $K66, $C66, ($I66-$B$1)/365, $G66, $H66, $D66) - BSPrice($B66,$J66, $K66, $C66, ($I66-$B$1)/365, $G66, $H66, $D66)) * $F66</f>
        <v/>
      </c>
      <c r="AO66" s="78">
        <f>(BSPrice($B66,$J66+0.02, $K66, $C66, ($I66-$B$1)/365, $G66, $H66, $D66) - BSPrice($B66,$J66, $K66, $C66, ($I66-$B$1)/365, $G66, $H66, $D66)) * $F66</f>
        <v/>
      </c>
      <c r="AP66" s="78">
        <f>(BSPrice($B66,$J66+0.05, $K66, $C66, ($I66-$B$1)/365, $G66, $H66, $D66) - BSPrice($B66,$J66, $K66, $C66, ($I66-$B$1)/365, $G66, $H66, $D66)) * $F66</f>
        <v/>
      </c>
      <c r="AQ66" s="78">
        <f>(BSPrice($B66,$J66+0.1, $K66, $C66, ($I66-$B$1)/365, $G66, $H66, $D66) - BSPrice($B66,$J66, $K66, $C66, ($I66-$B$1)/365, $G66, $H66, $D66)) * $F66</f>
        <v/>
      </c>
      <c r="AR66" s="60">
        <f>(BSPrice($B66*0.8,$J66+-0.05, $K66, $C66, ($I66-$B$1)/365, $G66, $H66, $D66) - BSPrice($B66,$J66, $K66, $C66, ($I66-$B$1)/365, $G66, $H66, $D66)) * $F66</f>
        <v/>
      </c>
      <c r="AS66" s="60">
        <f>(BSPrice($B66*0.8,$J66+-0.02, $K66, $C66, ($I66-$B$1)/365, $G66, $H66, $D66) - BSPrice($B66,$J66, $K66, $C66, ($I66-$B$1)/365, $G66, $H66, $D66)) * $F66</f>
        <v/>
      </c>
      <c r="AT66" s="60">
        <f>(BSPrice($B66*0.8,$J66+0, $K66, $C66, ($I66-$B$1)/365, $G66, $H66, $D66) - BSPrice($B66,$J66, $K66, $C66, ($I66-$B$1)/365, $G66, $H66, $D66)) * $F66</f>
        <v/>
      </c>
      <c r="AU66" s="60">
        <f>(BSPrice($B66*0.8,$J66+0.02, $K66, $C66, ($I66-$B$1)/365, $G66, $H66, $D66) - BSPrice($B66,$J66, $K66, $C66, ($I66-$B$1)/365, $G66, $H66, $D66)) * $F66</f>
        <v/>
      </c>
      <c r="AV66" s="60">
        <f>(BSPrice($B66*0.8,$J66+0.05, $K66, $C66, ($I66-$B$1)/365, $G66, $H66, $D66) - BSPrice($B66,$J66, $K66, $C66, ($I66-$B$1)/365, $G66, $H66, $D66)) * $F66</f>
        <v/>
      </c>
      <c r="AW66" s="60">
        <f>(BSPrice($B66*0.8,$J66+0.1, $K66, $C66, ($I66-$B$1)/365, $G66, $H66, $D66) - BSPrice($B66,$J66, $K66, $C66, ($I66-$B$1)/365, $G66, $H66, $D66)) * $F66</f>
        <v/>
      </c>
      <c r="AX66" s="60">
        <f>(BSPrice($B66*0.8,$J66+0.2, $K66, $C66, ($I66-$B$1)/365, $G66, $H66, $D66) - BSPrice($B66,$J66, $K66, $C66, ($I66-$B$1)/365, $G66, $H66, $D66)) * $F66</f>
        <v/>
      </c>
      <c r="AY66" s="60">
        <f>(BSPrice($B66*0.9,$J66+-0.05, $K66, $C66, ($I66-$B$1)/365, $G66, $H66, $D66) - BSPrice($B66,$J66, $K66, $C66, ($I66-$B$1)/365, $G66, $H66, $D66)) * $F66</f>
        <v/>
      </c>
      <c r="AZ66" s="60">
        <f>(BSPrice($B66*0.9,$J66+-0.02, $K66, $C66, ($I66-$B$1)/365, $G66, $H66, $D66) - BSPrice($B66,$J66, $K66, $C66, ($I66-$B$1)/365, $G66, $H66, $D66)) * $F66</f>
        <v/>
      </c>
      <c r="BA66" s="60">
        <f>(BSPrice($B66*0.9,$J66+0, $K66, $C66, ($I66-$B$1)/365, $G66, $H66, $D66) - BSPrice($B66,$J66, $K66, $C66, ($I66-$B$1)/365, $G66, $H66, $D66)) * $F66</f>
        <v/>
      </c>
      <c r="BB66" s="60">
        <f>(BSPrice($B66*0.9,$J66+0.02, $K66, $C66, ($I66-$B$1)/365, $G66, $H66, $D66) - BSPrice($B66,$J66, $K66, $C66, ($I66-$B$1)/365, $G66, $H66, $D66)) * $F66</f>
        <v/>
      </c>
      <c r="BC66" s="60">
        <f>(BSPrice($B66*0.9,$J66+0.05, $K66, $C66, ($I66-$B$1)/365, $G66, $H66, $D66) - BSPrice($B66,$J66, $K66, $C66, ($I66-$B$1)/365, $G66, $H66, $D66)) * $F66</f>
        <v/>
      </c>
      <c r="BD66" s="60">
        <f>(BSPrice($B66*0.9,$J66+0.1, $K66, $C66, ($I66-$B$1)/365, $G66, $H66, $D66) - BSPrice($B66,$J66, $K66, $C66, ($I66-$B$1)/365, $G66, $H66, $D66)) * $F66</f>
        <v/>
      </c>
      <c r="BE66" s="60">
        <f>(BSPrice($B66*0.9,$J66+0.2, $K66, $C66, ($I66-$B$1)/365, $G66, $H66, $D66) - BSPrice($B66,$J66, $K66, $C66, ($I66-$B$1)/365, $G66, $H66, $D66)) * $F66</f>
        <v/>
      </c>
      <c r="BF66" s="60">
        <f>(BSPrice($B66*0.95,$J66+-0.05, $K66, $C66, ($I66-$B$1)/365, $G66, $H66, $D66) - BSPrice($B66,$J66, $K66, $C66, ($I66-$B$1)/365, $G66, $H66, $D66)) * $F66</f>
        <v/>
      </c>
      <c r="BG66" s="60">
        <f>(BSPrice($B66*0.95,$J66+-0.02, $K66, $C66, ($I66-$B$1)/365, $G66, $H66, $D66) - BSPrice($B66,$J66, $K66, $C66, ($I66-$B$1)/365, $G66, $H66, $D66)) * $F66</f>
        <v/>
      </c>
      <c r="BH66" s="60">
        <f>(BSPrice($B66*0.95,$J66+0, $K66, $C66, ($I66-$B$1)/365, $G66, $H66, $D66) - BSPrice($B66,$J66, $K66, $C66, ($I66-$B$1)/365, $G66, $H66, $D66)) * $F66</f>
        <v/>
      </c>
      <c r="BI66" s="60">
        <f>(BSPrice($B66*0.95,$J66+0.02, $K66, $C66, ($I66-$B$1)/365, $G66, $H66, $D66) - BSPrice($B66,$J66, $K66, $C66, ($I66-$B$1)/365, $G66, $H66, $D66)) * $F66</f>
        <v/>
      </c>
      <c r="BJ66" s="60">
        <f>(BSPrice($B66*0.95,$J66+0.05, $K66, $C66, ($I66-$B$1)/365, $G66, $H66, $D66) - BSPrice($B66,$J66, $K66, $C66, ($I66-$B$1)/365, $G66, $H66, $D66)) * $F66</f>
        <v/>
      </c>
      <c r="BK66" s="60">
        <f>(BSPrice($B66*0.95,$J66+0.1, $K66, $C66, ($I66-$B$1)/365, $G66, $H66, $D66) - BSPrice($B66,$J66, $K66, $C66, ($I66-$B$1)/365, $G66, $H66, $D66)) * $F66</f>
        <v/>
      </c>
      <c r="BL66" s="60">
        <f>(BSPrice($B66*0.95,$J66+0.2, $K66, $C66, ($I66-$B$1)/365, $G66, $H66, $D66) - BSPrice($B66,$J66, $K66, $C66, ($I66-$B$1)/365, $G66, $H66, $D66)) * $F66</f>
        <v/>
      </c>
      <c r="BM66" s="60">
        <f>(BSPrice($B66*1,$J66+-0.05, $K66, $C66, ($I66-$B$1)/365, $G66, $H66, $D66) - BSPrice($B66,$J66, $K66, $C66, ($I66-$B$1)/365, $G66, $H66, $D66)) * $F66</f>
        <v/>
      </c>
      <c r="BN66" s="60">
        <f>(BSPrice($B66*1,$J66+-0.02, $K66, $C66, ($I66-$B$1)/365, $G66, $H66, $D66) - BSPrice($B66,$J66, $K66, $C66, ($I66-$B$1)/365, $G66, $H66, $D66)) * $F66</f>
        <v/>
      </c>
      <c r="BO66" s="60">
        <f>(BSPrice($B66*1,$J66+0, $K66, $C66, ($I66-$B$1)/365, $G66, $H66, $D66) - BSPrice($B66,$J66, $K66, $C66, ($I66-$B$1)/365, $G66, $H66, $D66)) * $F66</f>
        <v/>
      </c>
      <c r="BP66" s="60">
        <f>(BSPrice($B66*1,$J66+0.02, $K66, $C66, ($I66-$B$1)/365, $G66, $H66, $D66) - BSPrice($B66,$J66, $K66, $C66, ($I66-$B$1)/365, $G66, $H66, $D66)) * $F66</f>
        <v/>
      </c>
      <c r="BQ66" s="60">
        <f>(BSPrice($B66*1,$J66+0.05, $K66, $C66, ($I66-$B$1)/365, $G66, $H66, $D66) - BSPrice($B66,$J66, $K66, $C66, ($I66-$B$1)/365, $G66, $H66, $D66)) * $F66</f>
        <v/>
      </c>
      <c r="BR66" s="60">
        <f>(BSPrice($B66*1,$J66+0.1, $K66, $C66, ($I66-$B$1)/365, $G66, $H66, $D66) - BSPrice($B66,$J66, $K66, $C66, ($I66-$B$1)/365, $G66, $H66, $D66)) * $F66</f>
        <v/>
      </c>
      <c r="BS66" s="60">
        <f>(BSPrice($B66*1,$J66+0.2, $K66, $C66, ($I66-$B$1)/365, $G66, $H66, $D66) - BSPrice($B66,$J66, $K66, $C66, ($I66-$B$1)/365, $G66, $H66, $D66)) * $F66</f>
        <v/>
      </c>
      <c r="BT66" s="60">
        <f>(BSPrice($B66*1.05,$J66+-0.05, $K66, $C66, ($I66-$B$1)/365, $G66, $H66, $D66) - BSPrice($B66,$J66, $K66, $C66, ($I66-$B$1)/365, $G66, $H66, $D66)) * $F66</f>
        <v/>
      </c>
      <c r="BU66" s="60">
        <f>(BSPrice($B66*1.05,$J66+-0.02, $K66, $C66, ($I66-$B$1)/365, $G66, $H66, $D66) - BSPrice($B66,$J66, $K66, $C66, ($I66-$B$1)/365, $G66, $H66, $D66)) * $F66</f>
        <v/>
      </c>
      <c r="BV66" s="60">
        <f>(BSPrice($B66*1.05,$J66+0, $K66, $C66, ($I66-$B$1)/365, $G66, $H66, $D66) - BSPrice($B66,$J66, $K66, $C66, ($I66-$B$1)/365, $G66, $H66, $D66)) * $F66</f>
        <v/>
      </c>
      <c r="BW66" s="60">
        <f>(BSPrice($B66*1.05,$J66+0.02, $K66, $C66, ($I66-$B$1)/365, $G66, $H66, $D66) - BSPrice($B66,$J66, $K66, $C66, ($I66-$B$1)/365, $G66, $H66, $D66)) * $F66</f>
        <v/>
      </c>
      <c r="BX66" s="60">
        <f>(BSPrice($B66*1.05,$J66+0.05, $K66, $C66, ($I66-$B$1)/365, $G66, $H66, $D66) - BSPrice($B66,$J66, $K66, $C66, ($I66-$B$1)/365, $G66, $H66, $D66)) * $F66</f>
        <v/>
      </c>
      <c r="BY66" s="60">
        <f>(BSPrice($B66*1.05,$J66+0.1, $K66, $C66, ($I66-$B$1)/365, $G66, $H66, $D66) - BSPrice($B66,$J66, $K66, $C66, ($I66-$B$1)/365, $G66, $H66, $D66)) * $F66</f>
        <v/>
      </c>
      <c r="BZ66" s="60">
        <f>(BSPrice($B66*1.05,$J66+0.2, $K66, $C66, ($I66-$B$1)/365, $G66, $H66, $D66) - BSPrice($B66,$J66, $K66, $C66, ($I66-$B$1)/365, $G66, $H66, $D66)) * $F66</f>
        <v/>
      </c>
      <c r="CA66" s="60">
        <f>(BSPrice($B66*1.1,$J66+-0.05, $K66, $C66, ($I66-$B$1)/365, $G66, $H66, $D66) - BSPrice($B66,$J66, $K66, $C66, ($I66-$B$1)/365, $G66, $H66, $D66)) * $F66</f>
        <v/>
      </c>
      <c r="CB66" s="60">
        <f>(BSPrice($B66*1.1,$J66+-0.02, $K66, $C66, ($I66-$B$1)/365, $G66, $H66, $D66) - BSPrice($B66,$J66, $K66, $C66, ($I66-$B$1)/365, $G66, $H66, $D66)) * $F66</f>
        <v/>
      </c>
      <c r="CC66" s="60">
        <f>(BSPrice($B66*1.1,$J66+0, $K66, $C66, ($I66-$B$1)/365, $G66, $H66, $D66) - BSPrice($B66,$J66, $K66, $C66, ($I66-$B$1)/365, $G66, $H66, $D66)) * $F66</f>
        <v/>
      </c>
      <c r="CD66" s="60">
        <f>(BSPrice($B66*1.1,$J66+0.02, $K66, $C66, ($I66-$B$1)/365, $G66, $H66, $D66) - BSPrice($B66,$J66, $K66, $C66, ($I66-$B$1)/365, $G66, $H66, $D66)) * $F66</f>
        <v/>
      </c>
      <c r="CE66" s="60">
        <f>(BSPrice($B66*1.1,$J66+0.05, $K66, $C66, ($I66-$B$1)/365, $G66, $H66, $D66) - BSPrice($B66,$J66, $K66, $C66, ($I66-$B$1)/365, $G66, $H66, $D66)) * $F66</f>
        <v/>
      </c>
      <c r="CF66" s="60">
        <f>(BSPrice($B66*1.1,$J66+0.1, $K66, $C66, ($I66-$B$1)/365, $G66, $H66, $D66) - BSPrice($B66,$J66, $K66, $C66, ($I66-$B$1)/365, $G66, $H66, $D66)) * $F66</f>
        <v/>
      </c>
      <c r="CG66" s="60">
        <f>(BSPrice($B66*1.1,$J66+0.2, $K66, $C66, ($I66-$B$1)/365, $G66, $H66, $D66) - BSPrice($B66,$J66, $K66, $C66, ($I66-$B$1)/365, $G66, $H66, $D66)) * $F66</f>
        <v/>
      </c>
      <c r="CH66" s="60">
        <f>(BSPrice($B66*1.2,$J66+-0.05, $K66, $C66, ($I66-$B$1)/365, $G66, $H66, $D66) - BSPrice($B66,$J66, $K66, $C66, ($I66-$B$1)/365, $G66, $H66, $D66)) * $F66</f>
        <v/>
      </c>
      <c r="CI66" s="60">
        <f>(BSPrice($B66*1.2,$J66+-0.02, $K66, $C66, ($I66-$B$1)/365, $G66, $H66, $D66) - BSPrice($B66,$J66, $K66, $C66, ($I66-$B$1)/365, $G66, $H66, $D66)) * $F66</f>
        <v/>
      </c>
      <c r="CJ66" s="60">
        <f>(BSPrice($B66*1.2,$J66+0, $K66, $C66, ($I66-$B$1)/365, $G66, $H66, $D66) - BSPrice($B66,$J66, $K66, $C66, ($I66-$B$1)/365, $G66, $H66, $D66)) * $F66</f>
        <v/>
      </c>
      <c r="CK66" s="60">
        <f>(BSPrice($B66*1.2,$J66+0.02, $K66, $C66, ($I66-$B$1)/365, $G66, $H66, $D66) - BSPrice($B66,$J66, $K66, $C66, ($I66-$B$1)/365, $G66, $H66, $D66)) * $F66</f>
        <v/>
      </c>
      <c r="CL66" s="60">
        <f>(BSPrice($B66*1.2,$J66+0.05, $K66, $C66, ($I66-$B$1)/365, $G66, $H66, $D66) - BSPrice($B66,$J66, $K66, $C66, ($I66-$B$1)/365, $G66, $H66, $D66)) * $F66</f>
        <v/>
      </c>
      <c r="CM66" s="60">
        <f>(BSPrice($B66*1.2,$J66+0.1, $K66, $C66, ($I66-$B$1)/365, $G66, $H66, $D66) - BSPrice($B66,$J66, $K66, $C66, ($I66-$B$1)/365, $G66, $H66, $D66)) * $F66</f>
        <v/>
      </c>
      <c r="CN66" s="60">
        <f>(BSPrice($B66*1.2,$J66+0.2, $K66, $C66, ($I66-$B$1)/365, $G66, $H66, $D66) - BSPrice($B66,$J66, $K66, $C66, ($I66-$B$1)/365, $G66, $H66, $D66)) * $F66</f>
        <v/>
      </c>
    </row>
    <row r="67">
      <c r="A67" s="3" t="inlineStr">
        <is>
          <t>NKY Index</t>
        </is>
      </c>
      <c r="B67" s="4">
        <f>VLOOKUP(A67,PriceData!$K$4:$L$6,2,FALSE)</f>
        <v/>
      </c>
      <c r="C67" s="46">
        <f>VLOOKUP(A67,PriceData!$K$4:$M$6,3,FALSE)</f>
        <v/>
      </c>
      <c r="D67" s="4" t="inlineStr">
        <is>
          <t>Option</t>
        </is>
      </c>
      <c r="E67" s="4" t="inlineStr">
        <is>
          <t>JPY</t>
        </is>
      </c>
      <c r="F67" s="4" t="n">
        <v>-20</v>
      </c>
      <c r="G67" t="n">
        <v>10323</v>
      </c>
      <c r="H67" s="4" t="inlineStr">
        <is>
          <t>Put</t>
        </is>
      </c>
      <c r="I67" s="5" t="n">
        <v>40256</v>
      </c>
      <c r="J67" s="46">
        <f>FindImpliedVol(A67, D67, G67, I67)</f>
        <v/>
      </c>
      <c r="K67" s="30">
        <f>VLOOKUP(I67,PriceData!$A$5:$D$7,MATCH($E67,PriceData!$A$4:$D$4,0),FALSE)</f>
        <v/>
      </c>
      <c r="L67" s="2">
        <f>BSPrice($B67,$J67, $K67, $C67, ($I67-$B$1)/365, $G67, $H67, $D67)</f>
        <v/>
      </c>
      <c r="M67" s="2">
        <f>F67*L67</f>
        <v/>
      </c>
      <c r="N67" s="4" t="inlineStr">
        <is>
          <t>Exch</t>
        </is>
      </c>
      <c r="P67" s="60">
        <f>BSDelta(B67, J67, K67, C67, (I67-$B$1)/365, G67, H67, D67)</f>
        <v/>
      </c>
      <c r="Q67" s="60">
        <f>BSGamma(B67, J67, K67, C67, (I67-$B$1)/365, G67, D67)</f>
        <v/>
      </c>
      <c r="R67" s="58">
        <f>BSVega(B67, J67, K67, C67, (I67-$B$1)/365,G67, D67)</f>
        <v/>
      </c>
      <c r="S67" s="58">
        <f>BSVolga(B67, J67, K67, C67, (I67-$B$1)/365,G67, D67)</f>
        <v/>
      </c>
      <c r="T67" s="58">
        <f>BSVanna(B67,J67,K67, C67, (I67-$B$1)/365, G67, D67)</f>
        <v/>
      </c>
      <c r="U67" s="2">
        <f>BSRho(B67, J67, K67, C67, (I67-$B$1)/365, G67, H67, D67)</f>
        <v/>
      </c>
      <c r="V67" s="65">
        <f>$F67*$P67</f>
        <v/>
      </c>
      <c r="W67" s="65">
        <f>$F67*$Q67</f>
        <v/>
      </c>
      <c r="X67" s="78">
        <f>$F67*R67</f>
        <v/>
      </c>
      <c r="Y67" s="78">
        <f>$F67*S67</f>
        <v/>
      </c>
      <c r="Z67" s="78">
        <f>$F67*T67</f>
        <v/>
      </c>
      <c r="AA67" s="78">
        <f>$F67*U67</f>
        <v/>
      </c>
      <c r="AB67" s="78">
        <f>(BSPrice($B67*0.8,$J67, $K67, $C67, ($I67-$B$1)/365, $G67, $H67, $D67) - BSPrice($B67,$J67, $K67, $C67, ($I67-$B$1)/365, $G67, $H67, $D67)) * $F67</f>
        <v/>
      </c>
      <c r="AC67" s="78">
        <f>(BSPrice($B67*0.9,$J67, $K67, $C67, ($I67-$B$1)/365, $G67, $H67, $D67) - BSPrice($B67,$J67, $K67, $C67, ($I67-$B$1)/365, $G67, $H67, $D67)) * $F67</f>
        <v/>
      </c>
      <c r="AD67" s="78">
        <f>(BSPrice($B67*0.95,$J67, $K67, $C67, ($I67-$B$1)/365, $G67, $H67, $D67) - BSPrice($B67,$J67, $K67, $C67, ($I67-$B$1)/365, $G67, $H67, $D67)) * $F67</f>
        <v/>
      </c>
      <c r="AE67" s="78">
        <f>(BSPrice($B67*0.98,$J67, $K67, $C67, ($I67-$B$1)/365, $G67, $H67, $D67) - BSPrice($B67,$J67, $K67, $C67, ($I67-$B$1)/365, $G67, $H67, $D67)) * $F67</f>
        <v/>
      </c>
      <c r="AF67" s="78">
        <f>(BSPrice($B67*1.02,$J67, $K67, $C67, ($I67-$B$1)/365, $G67, $H67, $D67) - BSPrice($B67,$J67, $K67, $C67, ($I67-$B$1)/365, $G67, $H67, $D67)) * $F67</f>
        <v/>
      </c>
      <c r="AG67" s="78">
        <f>(BSPrice($B67*1.05,$J67, $K67, $C67, ($I67-$B$1)/365, $G67, $H67, $D67) - BSPrice($B67,$J67, $K67, $C67, ($I67-$B$1)/365, $G67, $H67, $D67)) * $F67</f>
        <v/>
      </c>
      <c r="AH67" s="78">
        <f>(BSPrice($B67*1.1,$J67, $K67, $C67, ($I67-$B$1)/365, $G67, $H67, $D67) - BSPrice($B67,$J67, $K67, $C67, ($I67-$B$1)/365, $G67, $H67, $D67)) * $F67</f>
        <v/>
      </c>
      <c r="AI67" s="78">
        <f>(BSPrice($B67*1.2,$J67, $K67, $C67, ($I67-$B$1)/365, $G67, $H67, $D67) - BSPrice($B67,$J67, $K67, $C67, ($I67-$B$1)/365, $G67, $H67, $D67)) * $F67</f>
        <v/>
      </c>
      <c r="AJ67" s="78">
        <f>(BSPrice($B67,$J67-0.1, $K67, $C67, ($I67-$B$1)/365, $G67, $H67, $D67) - BSPrice($B67,$J67, $K67, $C67, ($I67-$B$1)/365, $G67, $H67, $D67)) * $F67</f>
        <v/>
      </c>
      <c r="AK67" s="78">
        <f>(BSPrice($B67,$J67-0.05,$K67,$C67,($I67-$B$1)/365,$G67,$H67,$D67)-BSPrice($B67,$J67,$K67,$C67,($I67-$B$1)/365,$G67,$H67,$D67))*$F67</f>
        <v/>
      </c>
      <c r="AL67" s="78">
        <f>(BSPrice($B67,$J67-0.02, $K67, $C67, ($I67-$B$1)/365, $G67, $H67, $D67) - BSPrice($B67,$J67, $K67, $C67, ($I67-$B$1)/365, $G67, $H67, $D67)) * $F67</f>
        <v/>
      </c>
      <c r="AM67" s="78">
        <f>(BSPrice($B67,$J67-0.01, $K67, $C67, ($I67-$B$1)/365, $G67, $H67, $D67) - BSPrice($B67,$J67, $K67, $C67, ($I67-$B$1)/365, $G67, $H67, $D67)) * $F67</f>
        <v/>
      </c>
      <c r="AN67" s="78">
        <f>(BSPrice($B67,$J67+0.01, $K67, $C67, ($I67-$B$1)/365, $G67, $H67, $D67) - BSPrice($B67,$J67, $K67, $C67, ($I67-$B$1)/365, $G67, $H67, $D67)) * $F67</f>
        <v/>
      </c>
      <c r="AO67" s="78">
        <f>(BSPrice($B67,$J67+0.02, $K67, $C67, ($I67-$B$1)/365, $G67, $H67, $D67) - BSPrice($B67,$J67, $K67, $C67, ($I67-$B$1)/365, $G67, $H67, $D67)) * $F67</f>
        <v/>
      </c>
      <c r="AP67" s="78">
        <f>(BSPrice($B67,$J67+0.05, $K67, $C67, ($I67-$B$1)/365, $G67, $H67, $D67) - BSPrice($B67,$J67, $K67, $C67, ($I67-$B$1)/365, $G67, $H67, $D67)) * $F67</f>
        <v/>
      </c>
      <c r="AQ67" s="78">
        <f>(BSPrice($B67,$J67+0.1, $K67, $C67, ($I67-$B$1)/365, $G67, $H67, $D67) - BSPrice($B67,$J67, $K67, $C67, ($I67-$B$1)/365, $G67, $H67, $D67)) * $F67</f>
        <v/>
      </c>
      <c r="AR67" s="60">
        <f>(BSPrice($B67*0.8,$J67+-0.05, $K67, $C67, ($I67-$B$1)/365, $G67, $H67, $D67) - BSPrice($B67,$J67, $K67, $C67, ($I67-$B$1)/365, $G67, $H67, $D67)) * $F67</f>
        <v/>
      </c>
      <c r="AS67" s="60">
        <f>(BSPrice($B67*0.8,$J67+-0.02, $K67, $C67, ($I67-$B$1)/365, $G67, $H67, $D67) - BSPrice($B67,$J67, $K67, $C67, ($I67-$B$1)/365, $G67, $H67, $D67)) * $F67</f>
        <v/>
      </c>
      <c r="AT67" s="60">
        <f>(BSPrice($B67*0.8,$J67+0, $K67, $C67, ($I67-$B$1)/365, $G67, $H67, $D67) - BSPrice($B67,$J67, $K67, $C67, ($I67-$B$1)/365, $G67, $H67, $D67)) * $F67</f>
        <v/>
      </c>
      <c r="AU67" s="60">
        <f>(BSPrice($B67*0.8,$J67+0.02, $K67, $C67, ($I67-$B$1)/365, $G67, $H67, $D67) - BSPrice($B67,$J67, $K67, $C67, ($I67-$B$1)/365, $G67, $H67, $D67)) * $F67</f>
        <v/>
      </c>
      <c r="AV67" s="60">
        <f>(BSPrice($B67*0.8,$J67+0.05, $K67, $C67, ($I67-$B$1)/365, $G67, $H67, $D67) - BSPrice($B67,$J67, $K67, $C67, ($I67-$B$1)/365, $G67, $H67, $D67)) * $F67</f>
        <v/>
      </c>
      <c r="AW67" s="60">
        <f>(BSPrice($B67*0.8,$J67+0.1, $K67, $C67, ($I67-$B$1)/365, $G67, $H67, $D67) - BSPrice($B67,$J67, $K67, $C67, ($I67-$B$1)/365, $G67, $H67, $D67)) * $F67</f>
        <v/>
      </c>
      <c r="AX67" s="60">
        <f>(BSPrice($B67*0.8,$J67+0.2, $K67, $C67, ($I67-$B$1)/365, $G67, $H67, $D67) - BSPrice($B67,$J67, $K67, $C67, ($I67-$B$1)/365, $G67, $H67, $D67)) * $F67</f>
        <v/>
      </c>
      <c r="AY67" s="60">
        <f>(BSPrice($B67*0.9,$J67+-0.05, $K67, $C67, ($I67-$B$1)/365, $G67, $H67, $D67) - BSPrice($B67,$J67, $K67, $C67, ($I67-$B$1)/365, $G67, $H67, $D67)) * $F67</f>
        <v/>
      </c>
      <c r="AZ67" s="60">
        <f>(BSPrice($B67*0.9,$J67+-0.02, $K67, $C67, ($I67-$B$1)/365, $G67, $H67, $D67) - BSPrice($B67,$J67, $K67, $C67, ($I67-$B$1)/365, $G67, $H67, $D67)) * $F67</f>
        <v/>
      </c>
      <c r="BA67" s="60">
        <f>(BSPrice($B67*0.9,$J67+0, $K67, $C67, ($I67-$B$1)/365, $G67, $H67, $D67) - BSPrice($B67,$J67, $K67, $C67, ($I67-$B$1)/365, $G67, $H67, $D67)) * $F67</f>
        <v/>
      </c>
      <c r="BB67" s="60">
        <f>(BSPrice($B67*0.9,$J67+0.02, $K67, $C67, ($I67-$B$1)/365, $G67, $H67, $D67) - BSPrice($B67,$J67, $K67, $C67, ($I67-$B$1)/365, $G67, $H67, $D67)) * $F67</f>
        <v/>
      </c>
      <c r="BC67" s="60">
        <f>(BSPrice($B67*0.9,$J67+0.05, $K67, $C67, ($I67-$B$1)/365, $G67, $H67, $D67) - BSPrice($B67,$J67, $K67, $C67, ($I67-$B$1)/365, $G67, $H67, $D67)) * $F67</f>
        <v/>
      </c>
      <c r="BD67" s="60">
        <f>(BSPrice($B67*0.9,$J67+0.1, $K67, $C67, ($I67-$B$1)/365, $G67, $H67, $D67) - BSPrice($B67,$J67, $K67, $C67, ($I67-$B$1)/365, $G67, $H67, $D67)) * $F67</f>
        <v/>
      </c>
      <c r="BE67" s="60">
        <f>(BSPrice($B67*0.9,$J67+0.2, $K67, $C67, ($I67-$B$1)/365, $G67, $H67, $D67) - BSPrice($B67,$J67, $K67, $C67, ($I67-$B$1)/365, $G67, $H67, $D67)) * $F67</f>
        <v/>
      </c>
      <c r="BF67" s="60">
        <f>(BSPrice($B67*0.95,$J67+-0.05, $K67, $C67, ($I67-$B$1)/365, $G67, $H67, $D67) - BSPrice($B67,$J67, $K67, $C67, ($I67-$B$1)/365, $G67, $H67, $D67)) * $F67</f>
        <v/>
      </c>
      <c r="BG67" s="60">
        <f>(BSPrice($B67*0.95,$J67+-0.02, $K67, $C67, ($I67-$B$1)/365, $G67, $H67, $D67) - BSPrice($B67,$J67, $K67, $C67, ($I67-$B$1)/365, $G67, $H67, $D67)) * $F67</f>
        <v/>
      </c>
      <c r="BH67" s="60">
        <f>(BSPrice($B67*0.95,$J67+0, $K67, $C67, ($I67-$B$1)/365, $G67, $H67, $D67) - BSPrice($B67,$J67, $K67, $C67, ($I67-$B$1)/365, $G67, $H67, $D67)) * $F67</f>
        <v/>
      </c>
      <c r="BI67" s="60">
        <f>(BSPrice($B67*0.95,$J67+0.02, $K67, $C67, ($I67-$B$1)/365, $G67, $H67, $D67) - BSPrice($B67,$J67, $K67, $C67, ($I67-$B$1)/365, $G67, $H67, $D67)) * $F67</f>
        <v/>
      </c>
      <c r="BJ67" s="60">
        <f>(BSPrice($B67*0.95,$J67+0.05, $K67, $C67, ($I67-$B$1)/365, $G67, $H67, $D67) - BSPrice($B67,$J67, $K67, $C67, ($I67-$B$1)/365, $G67, $H67, $D67)) * $F67</f>
        <v/>
      </c>
      <c r="BK67" s="60">
        <f>(BSPrice($B67*0.95,$J67+0.1, $K67, $C67, ($I67-$B$1)/365, $G67, $H67, $D67) - BSPrice($B67,$J67, $K67, $C67, ($I67-$B$1)/365, $G67, $H67, $D67)) * $F67</f>
        <v/>
      </c>
      <c r="BL67" s="60">
        <f>(BSPrice($B67*0.95,$J67+0.2, $K67, $C67, ($I67-$B$1)/365, $G67, $H67, $D67) - BSPrice($B67,$J67, $K67, $C67, ($I67-$B$1)/365, $G67, $H67, $D67)) * $F67</f>
        <v/>
      </c>
      <c r="BM67" s="60">
        <f>(BSPrice($B67*1,$J67+-0.05, $K67, $C67, ($I67-$B$1)/365, $G67, $H67, $D67) - BSPrice($B67,$J67, $K67, $C67, ($I67-$B$1)/365, $G67, $H67, $D67)) * $F67</f>
        <v/>
      </c>
      <c r="BN67" s="60">
        <f>(BSPrice($B67*1,$J67+-0.02, $K67, $C67, ($I67-$B$1)/365, $G67, $H67, $D67) - BSPrice($B67,$J67, $K67, $C67, ($I67-$B$1)/365, $G67, $H67, $D67)) * $F67</f>
        <v/>
      </c>
      <c r="BO67" s="60">
        <f>(BSPrice($B67*1,$J67+0, $K67, $C67, ($I67-$B$1)/365, $G67, $H67, $D67) - BSPrice($B67,$J67, $K67, $C67, ($I67-$B$1)/365, $G67, $H67, $D67)) * $F67</f>
        <v/>
      </c>
      <c r="BP67" s="60">
        <f>(BSPrice($B67*1,$J67+0.02, $K67, $C67, ($I67-$B$1)/365, $G67, $H67, $D67) - BSPrice($B67,$J67, $K67, $C67, ($I67-$B$1)/365, $G67, $H67, $D67)) * $F67</f>
        <v/>
      </c>
      <c r="BQ67" s="60">
        <f>(BSPrice($B67*1,$J67+0.05, $K67, $C67, ($I67-$B$1)/365, $G67, $H67, $D67) - BSPrice($B67,$J67, $K67, $C67, ($I67-$B$1)/365, $G67, $H67, $D67)) * $F67</f>
        <v/>
      </c>
      <c r="BR67" s="60">
        <f>(BSPrice($B67*1,$J67+0.1, $K67, $C67, ($I67-$B$1)/365, $G67, $H67, $D67) - BSPrice($B67,$J67, $K67, $C67, ($I67-$B$1)/365, $G67, $H67, $D67)) * $F67</f>
        <v/>
      </c>
      <c r="BS67" s="60">
        <f>(BSPrice($B67*1,$J67+0.2, $K67, $C67, ($I67-$B$1)/365, $G67, $H67, $D67) - BSPrice($B67,$J67, $K67, $C67, ($I67-$B$1)/365, $G67, $H67, $D67)) * $F67</f>
        <v/>
      </c>
      <c r="BT67" s="60">
        <f>(BSPrice($B67*1.05,$J67+-0.05, $K67, $C67, ($I67-$B$1)/365, $G67, $H67, $D67) - BSPrice($B67,$J67, $K67, $C67, ($I67-$B$1)/365, $G67, $H67, $D67)) * $F67</f>
        <v/>
      </c>
      <c r="BU67" s="60">
        <f>(BSPrice($B67*1.05,$J67+-0.02, $K67, $C67, ($I67-$B$1)/365, $G67, $H67, $D67) - BSPrice($B67,$J67, $K67, $C67, ($I67-$B$1)/365, $G67, $H67, $D67)) * $F67</f>
        <v/>
      </c>
      <c r="BV67" s="60">
        <f>(BSPrice($B67*1.05,$J67+0, $K67, $C67, ($I67-$B$1)/365, $G67, $H67, $D67) - BSPrice($B67,$J67, $K67, $C67, ($I67-$B$1)/365, $G67, $H67, $D67)) * $F67</f>
        <v/>
      </c>
      <c r="BW67" s="60">
        <f>(BSPrice($B67*1.05,$J67+0.02, $K67, $C67, ($I67-$B$1)/365, $G67, $H67, $D67) - BSPrice($B67,$J67, $K67, $C67, ($I67-$B$1)/365, $G67, $H67, $D67)) * $F67</f>
        <v/>
      </c>
      <c r="BX67" s="60">
        <f>(BSPrice($B67*1.05,$J67+0.05, $K67, $C67, ($I67-$B$1)/365, $G67, $H67, $D67) - BSPrice($B67,$J67, $K67, $C67, ($I67-$B$1)/365, $G67, $H67, $D67)) * $F67</f>
        <v/>
      </c>
      <c r="BY67" s="60">
        <f>(BSPrice($B67*1.05,$J67+0.1, $K67, $C67, ($I67-$B$1)/365, $G67, $H67, $D67) - BSPrice($B67,$J67, $K67, $C67, ($I67-$B$1)/365, $G67, $H67, $D67)) * $F67</f>
        <v/>
      </c>
      <c r="BZ67" s="60">
        <f>(BSPrice($B67*1.05,$J67+0.2, $K67, $C67, ($I67-$B$1)/365, $G67, $H67, $D67) - BSPrice($B67,$J67, $K67, $C67, ($I67-$B$1)/365, $G67, $H67, $D67)) * $F67</f>
        <v/>
      </c>
      <c r="CA67" s="60">
        <f>(BSPrice($B67*1.1,$J67+-0.05, $K67, $C67, ($I67-$B$1)/365, $G67, $H67, $D67) - BSPrice($B67,$J67, $K67, $C67, ($I67-$B$1)/365, $G67, $H67, $D67)) * $F67</f>
        <v/>
      </c>
      <c r="CB67" s="60">
        <f>(BSPrice($B67*1.1,$J67+-0.02, $K67, $C67, ($I67-$B$1)/365, $G67, $H67, $D67) - BSPrice($B67,$J67, $K67, $C67, ($I67-$B$1)/365, $G67, $H67, $D67)) * $F67</f>
        <v/>
      </c>
      <c r="CC67" s="60">
        <f>(BSPrice($B67*1.1,$J67+0, $K67, $C67, ($I67-$B$1)/365, $G67, $H67, $D67) - BSPrice($B67,$J67, $K67, $C67, ($I67-$B$1)/365, $G67, $H67, $D67)) * $F67</f>
        <v/>
      </c>
      <c r="CD67" s="60">
        <f>(BSPrice($B67*1.1,$J67+0.02, $K67, $C67, ($I67-$B$1)/365, $G67, $H67, $D67) - BSPrice($B67,$J67, $K67, $C67, ($I67-$B$1)/365, $G67, $H67, $D67)) * $F67</f>
        <v/>
      </c>
      <c r="CE67" s="60">
        <f>(BSPrice($B67*1.1,$J67+0.05, $K67, $C67, ($I67-$B$1)/365, $G67, $H67, $D67) - BSPrice($B67,$J67, $K67, $C67, ($I67-$B$1)/365, $G67, $H67, $D67)) * $F67</f>
        <v/>
      </c>
      <c r="CF67" s="60">
        <f>(BSPrice($B67*1.1,$J67+0.1, $K67, $C67, ($I67-$B$1)/365, $G67, $H67, $D67) - BSPrice($B67,$J67, $K67, $C67, ($I67-$B$1)/365, $G67, $H67, $D67)) * $F67</f>
        <v/>
      </c>
      <c r="CG67" s="60">
        <f>(BSPrice($B67*1.1,$J67+0.2, $K67, $C67, ($I67-$B$1)/365, $G67, $H67, $D67) - BSPrice($B67,$J67, $K67, $C67, ($I67-$B$1)/365, $G67, $H67, $D67)) * $F67</f>
        <v/>
      </c>
      <c r="CH67" s="60">
        <f>(BSPrice($B67*1.2,$J67+-0.05, $K67, $C67, ($I67-$B$1)/365, $G67, $H67, $D67) - BSPrice($B67,$J67, $K67, $C67, ($I67-$B$1)/365, $G67, $H67, $D67)) * $F67</f>
        <v/>
      </c>
      <c r="CI67" s="60">
        <f>(BSPrice($B67*1.2,$J67+-0.02, $K67, $C67, ($I67-$B$1)/365, $G67, $H67, $D67) - BSPrice($B67,$J67, $K67, $C67, ($I67-$B$1)/365, $G67, $H67, $D67)) * $F67</f>
        <v/>
      </c>
      <c r="CJ67" s="60">
        <f>(BSPrice($B67*1.2,$J67+0, $K67, $C67, ($I67-$B$1)/365, $G67, $H67, $D67) - BSPrice($B67,$J67, $K67, $C67, ($I67-$B$1)/365, $G67, $H67, $D67)) * $F67</f>
        <v/>
      </c>
      <c r="CK67" s="60">
        <f>(BSPrice($B67*1.2,$J67+0.02, $K67, $C67, ($I67-$B$1)/365, $G67, $H67, $D67) - BSPrice($B67,$J67, $K67, $C67, ($I67-$B$1)/365, $G67, $H67, $D67)) * $F67</f>
        <v/>
      </c>
      <c r="CL67" s="60">
        <f>(BSPrice($B67*1.2,$J67+0.05, $K67, $C67, ($I67-$B$1)/365, $G67, $H67, $D67) - BSPrice($B67,$J67, $K67, $C67, ($I67-$B$1)/365, $G67, $H67, $D67)) * $F67</f>
        <v/>
      </c>
      <c r="CM67" s="60">
        <f>(BSPrice($B67*1.2,$J67+0.1, $K67, $C67, ($I67-$B$1)/365, $G67, $H67, $D67) - BSPrice($B67,$J67, $K67, $C67, ($I67-$B$1)/365, $G67, $H67, $D67)) * $F67</f>
        <v/>
      </c>
      <c r="CN67" s="60">
        <f>(BSPrice($B67*1.2,$J67+0.2, $K67, $C67, ($I67-$B$1)/365, $G67, $H67, $D67) - BSPrice($B67,$J67, $K67, $C67, ($I67-$B$1)/365, $G67, $H67, $D67)) * $F67</f>
        <v/>
      </c>
    </row>
    <row r="68">
      <c r="A68" s="3" t="inlineStr">
        <is>
          <t>NKY Index</t>
        </is>
      </c>
      <c r="B68" s="4">
        <f>VLOOKUP(A68,PriceData!$K$4:$L$6,2,FALSE)</f>
        <v/>
      </c>
      <c r="C68" s="46">
        <f>VLOOKUP(A68,PriceData!$K$4:$M$6,3,FALSE)</f>
        <v/>
      </c>
      <c r="D68" s="4" t="inlineStr">
        <is>
          <t>Option</t>
        </is>
      </c>
      <c r="E68" s="4" t="inlineStr">
        <is>
          <t>JPY</t>
        </is>
      </c>
      <c r="F68" s="4" t="n">
        <v>50</v>
      </c>
      <c r="G68" t="n">
        <v>8519</v>
      </c>
      <c r="H68" s="4" t="inlineStr">
        <is>
          <t>Put</t>
        </is>
      </c>
      <c r="I68" s="5" t="n">
        <v>40256</v>
      </c>
      <c r="J68" s="46">
        <f>FindImpliedVol(A68, D68, G68, I68)</f>
        <v/>
      </c>
      <c r="K68" s="30">
        <f>VLOOKUP(I68,PriceData!$A$5:$D$7,MATCH($E68,PriceData!$A$4:$D$4,0),FALSE)</f>
        <v/>
      </c>
      <c r="L68" s="2">
        <f>BSPrice($B68,$J68, $K68, $C68, ($I68-$B$1)/365, $G68, $H68, $D68)</f>
        <v/>
      </c>
      <c r="M68" s="2">
        <f>F68*L68</f>
        <v/>
      </c>
      <c r="N68" s="4" t="inlineStr">
        <is>
          <t>Exch</t>
        </is>
      </c>
      <c r="P68" s="60">
        <f>BSDelta(B68, J68, K68, C68, (I68-$B$1)/365, G68, H68, D68)</f>
        <v/>
      </c>
      <c r="Q68" s="60">
        <f>BSGamma(B68, J68, K68, C68, (I68-$B$1)/365, G68, D68)</f>
        <v/>
      </c>
      <c r="R68" s="58">
        <f>BSVega(B68, J68, K68, C68, (I68-$B$1)/365,G68, D68)</f>
        <v/>
      </c>
      <c r="S68" s="58">
        <f>BSVolga(B68, J68, K68, C68, (I68-$B$1)/365,G68, D68)</f>
        <v/>
      </c>
      <c r="T68" s="58">
        <f>BSVanna(B68,J68,K68, C68, (I68-$B$1)/365, G68, D68)</f>
        <v/>
      </c>
      <c r="U68" s="2">
        <f>BSRho(B68, J68, K68, C68, (I68-$B$1)/365, G68, H68, D68)</f>
        <v/>
      </c>
      <c r="V68" s="65">
        <f>$F68*$P68</f>
        <v/>
      </c>
      <c r="W68" s="65">
        <f>$F68*$Q68</f>
        <v/>
      </c>
      <c r="X68" s="78">
        <f>$F68*R68</f>
        <v/>
      </c>
      <c r="Y68" s="78">
        <f>$F68*S68</f>
        <v/>
      </c>
      <c r="Z68" s="78">
        <f>$F68*T68</f>
        <v/>
      </c>
      <c r="AA68" s="78">
        <f>$F68*U68</f>
        <v/>
      </c>
      <c r="AB68" s="78">
        <f>(BSPrice($B68*0.8,$J68, $K68, $C68, ($I68-$B$1)/365, $G68, $H68, $D68) - BSPrice($B68,$J68, $K68, $C68, ($I68-$B$1)/365, $G68, $H68, $D68)) * $F68</f>
        <v/>
      </c>
      <c r="AC68" s="78">
        <f>(BSPrice($B68*0.9,$J68, $K68, $C68, ($I68-$B$1)/365, $G68, $H68, $D68) - BSPrice($B68,$J68, $K68, $C68, ($I68-$B$1)/365, $G68, $H68, $D68)) * $F68</f>
        <v/>
      </c>
      <c r="AD68" s="78">
        <f>(BSPrice($B68*0.95,$J68, $K68, $C68, ($I68-$B$1)/365, $G68, $H68, $D68) - BSPrice($B68,$J68, $K68, $C68, ($I68-$B$1)/365, $G68, $H68, $D68)) * $F68</f>
        <v/>
      </c>
      <c r="AE68" s="78">
        <f>(BSPrice($B68*0.98,$J68, $K68, $C68, ($I68-$B$1)/365, $G68, $H68, $D68) - BSPrice($B68,$J68, $K68, $C68, ($I68-$B$1)/365, $G68, $H68, $D68)) * $F68</f>
        <v/>
      </c>
      <c r="AF68" s="78">
        <f>(BSPrice($B68*1.02,$J68, $K68, $C68, ($I68-$B$1)/365, $G68, $H68, $D68) - BSPrice($B68,$J68, $K68, $C68, ($I68-$B$1)/365, $G68, $H68, $D68)) * $F68</f>
        <v/>
      </c>
      <c r="AG68" s="78">
        <f>(BSPrice($B68*1.05,$J68, $K68, $C68, ($I68-$B$1)/365, $G68, $H68, $D68) - BSPrice($B68,$J68, $K68, $C68, ($I68-$B$1)/365, $G68, $H68, $D68)) * $F68</f>
        <v/>
      </c>
      <c r="AH68" s="78">
        <f>(BSPrice($B68*1.1,$J68, $K68, $C68, ($I68-$B$1)/365, $G68, $H68, $D68) - BSPrice($B68,$J68, $K68, $C68, ($I68-$B$1)/365, $G68, $H68, $D68)) * $F68</f>
        <v/>
      </c>
      <c r="AI68" s="78">
        <f>(BSPrice($B68*1.2,$J68, $K68, $C68, ($I68-$B$1)/365, $G68, $H68, $D68) - BSPrice($B68,$J68, $K68, $C68, ($I68-$B$1)/365, $G68, $H68, $D68)) * $F68</f>
        <v/>
      </c>
      <c r="AJ68" s="78">
        <f>(BSPrice($B68,$J68-0.1, $K68, $C68, ($I68-$B$1)/365, $G68, $H68, $D68) - BSPrice($B68,$J68, $K68, $C68, ($I68-$B$1)/365, $G68, $H68, $D68)) * $F68</f>
        <v/>
      </c>
      <c r="AK68" s="78">
        <f>(BSPrice($B68,$J68-0.05,$K68,$C68,($I68-$B$1)/365,$G68,$H68,$D68)-BSPrice($B68,$J68,$K68,$C68,($I68-$B$1)/365,$G68,$H68,$D68))*$F68</f>
        <v/>
      </c>
      <c r="AL68" s="78">
        <f>(BSPrice($B68,$J68-0.02, $K68, $C68, ($I68-$B$1)/365, $G68, $H68, $D68) - BSPrice($B68,$J68, $K68, $C68, ($I68-$B$1)/365, $G68, $H68, $D68)) * $F68</f>
        <v/>
      </c>
      <c r="AM68" s="78">
        <f>(BSPrice($B68,$J68-0.01, $K68, $C68, ($I68-$B$1)/365, $G68, $H68, $D68) - BSPrice($B68,$J68, $K68, $C68, ($I68-$B$1)/365, $G68, $H68, $D68)) * $F68</f>
        <v/>
      </c>
      <c r="AN68" s="78">
        <f>(BSPrice($B68,$J68+0.01, $K68, $C68, ($I68-$B$1)/365, $G68, $H68, $D68) - BSPrice($B68,$J68, $K68, $C68, ($I68-$B$1)/365, $G68, $H68, $D68)) * $F68</f>
        <v/>
      </c>
      <c r="AO68" s="78">
        <f>(BSPrice($B68,$J68+0.02, $K68, $C68, ($I68-$B$1)/365, $G68, $H68, $D68) - BSPrice($B68,$J68, $K68, $C68, ($I68-$B$1)/365, $G68, $H68, $D68)) * $F68</f>
        <v/>
      </c>
      <c r="AP68" s="78">
        <f>(BSPrice($B68,$J68+0.05, $K68, $C68, ($I68-$B$1)/365, $G68, $H68, $D68) - BSPrice($B68,$J68, $K68, $C68, ($I68-$B$1)/365, $G68, $H68, $D68)) * $F68</f>
        <v/>
      </c>
      <c r="AQ68" s="78">
        <f>(BSPrice($B68,$J68+0.1, $K68, $C68, ($I68-$B$1)/365, $G68, $H68, $D68) - BSPrice($B68,$J68, $K68, $C68, ($I68-$B$1)/365, $G68, $H68, $D68)) * $F68</f>
        <v/>
      </c>
      <c r="AR68" s="60">
        <f>(BSPrice($B68*0.8,$J68+-0.05, $K68, $C68, ($I68-$B$1)/365, $G68, $H68, $D68) - BSPrice($B68,$J68, $K68, $C68, ($I68-$B$1)/365, $G68, $H68, $D68)) * $F68</f>
        <v/>
      </c>
      <c r="AS68" s="60">
        <f>(BSPrice($B68*0.8,$J68+-0.02, $K68, $C68, ($I68-$B$1)/365, $G68, $H68, $D68) - BSPrice($B68,$J68, $K68, $C68, ($I68-$B$1)/365, $G68, $H68, $D68)) * $F68</f>
        <v/>
      </c>
      <c r="AT68" s="60">
        <f>(BSPrice($B68*0.8,$J68+0, $K68, $C68, ($I68-$B$1)/365, $G68, $H68, $D68) - BSPrice($B68,$J68, $K68, $C68, ($I68-$B$1)/365, $G68, $H68, $D68)) * $F68</f>
        <v/>
      </c>
      <c r="AU68" s="60">
        <f>(BSPrice($B68*0.8,$J68+0.02, $K68, $C68, ($I68-$B$1)/365, $G68, $H68, $D68) - BSPrice($B68,$J68, $K68, $C68, ($I68-$B$1)/365, $G68, $H68, $D68)) * $F68</f>
        <v/>
      </c>
      <c r="AV68" s="60">
        <f>(BSPrice($B68*0.8,$J68+0.05, $K68, $C68, ($I68-$B$1)/365, $G68, $H68, $D68) - BSPrice($B68,$J68, $K68, $C68, ($I68-$B$1)/365, $G68, $H68, $D68)) * $F68</f>
        <v/>
      </c>
      <c r="AW68" s="60">
        <f>(BSPrice($B68*0.8,$J68+0.1, $K68, $C68, ($I68-$B$1)/365, $G68, $H68, $D68) - BSPrice($B68,$J68, $K68, $C68, ($I68-$B$1)/365, $G68, $H68, $D68)) * $F68</f>
        <v/>
      </c>
      <c r="AX68" s="60">
        <f>(BSPrice($B68*0.8,$J68+0.2, $K68, $C68, ($I68-$B$1)/365, $G68, $H68, $D68) - BSPrice($B68,$J68, $K68, $C68, ($I68-$B$1)/365, $G68, $H68, $D68)) * $F68</f>
        <v/>
      </c>
      <c r="AY68" s="60">
        <f>(BSPrice($B68*0.9,$J68+-0.05, $K68, $C68, ($I68-$B$1)/365, $G68, $H68, $D68) - BSPrice($B68,$J68, $K68, $C68, ($I68-$B$1)/365, $G68, $H68, $D68)) * $F68</f>
        <v/>
      </c>
      <c r="AZ68" s="60">
        <f>(BSPrice($B68*0.9,$J68+-0.02, $K68, $C68, ($I68-$B$1)/365, $G68, $H68, $D68) - BSPrice($B68,$J68, $K68, $C68, ($I68-$B$1)/365, $G68, $H68, $D68)) * $F68</f>
        <v/>
      </c>
      <c r="BA68" s="60">
        <f>(BSPrice($B68*0.9,$J68+0, $K68, $C68, ($I68-$B$1)/365, $G68, $H68, $D68) - BSPrice($B68,$J68, $K68, $C68, ($I68-$B$1)/365, $G68, $H68, $D68)) * $F68</f>
        <v/>
      </c>
      <c r="BB68" s="60">
        <f>(BSPrice($B68*0.9,$J68+0.02, $K68, $C68, ($I68-$B$1)/365, $G68, $H68, $D68) - BSPrice($B68,$J68, $K68, $C68, ($I68-$B$1)/365, $G68, $H68, $D68)) * $F68</f>
        <v/>
      </c>
      <c r="BC68" s="60">
        <f>(BSPrice($B68*0.9,$J68+0.05, $K68, $C68, ($I68-$B$1)/365, $G68, $H68, $D68) - BSPrice($B68,$J68, $K68, $C68, ($I68-$B$1)/365, $G68, $H68, $D68)) * $F68</f>
        <v/>
      </c>
      <c r="BD68" s="60">
        <f>(BSPrice($B68*0.9,$J68+0.1, $K68, $C68, ($I68-$B$1)/365, $G68, $H68, $D68) - BSPrice($B68,$J68, $K68, $C68, ($I68-$B$1)/365, $G68, $H68, $D68)) * $F68</f>
        <v/>
      </c>
      <c r="BE68" s="60">
        <f>(BSPrice($B68*0.9,$J68+0.2, $K68, $C68, ($I68-$B$1)/365, $G68, $H68, $D68) - BSPrice($B68,$J68, $K68, $C68, ($I68-$B$1)/365, $G68, $H68, $D68)) * $F68</f>
        <v/>
      </c>
      <c r="BF68" s="60">
        <f>(BSPrice($B68*0.95,$J68+-0.05, $K68, $C68, ($I68-$B$1)/365, $G68, $H68, $D68) - BSPrice($B68,$J68, $K68, $C68, ($I68-$B$1)/365, $G68, $H68, $D68)) * $F68</f>
        <v/>
      </c>
      <c r="BG68" s="60">
        <f>(BSPrice($B68*0.95,$J68+-0.02, $K68, $C68, ($I68-$B$1)/365, $G68, $H68, $D68) - BSPrice($B68,$J68, $K68, $C68, ($I68-$B$1)/365, $G68, $H68, $D68)) * $F68</f>
        <v/>
      </c>
      <c r="BH68" s="60">
        <f>(BSPrice($B68*0.95,$J68+0, $K68, $C68, ($I68-$B$1)/365, $G68, $H68, $D68) - BSPrice($B68,$J68, $K68, $C68, ($I68-$B$1)/365, $G68, $H68, $D68)) * $F68</f>
        <v/>
      </c>
      <c r="BI68" s="60">
        <f>(BSPrice($B68*0.95,$J68+0.02, $K68, $C68, ($I68-$B$1)/365, $G68, $H68, $D68) - BSPrice($B68,$J68, $K68, $C68, ($I68-$B$1)/365, $G68, $H68, $D68)) * $F68</f>
        <v/>
      </c>
      <c r="BJ68" s="60">
        <f>(BSPrice($B68*0.95,$J68+0.05, $K68, $C68, ($I68-$B$1)/365, $G68, $H68, $D68) - BSPrice($B68,$J68, $K68, $C68, ($I68-$B$1)/365, $G68, $H68, $D68)) * $F68</f>
        <v/>
      </c>
      <c r="BK68" s="60">
        <f>(BSPrice($B68*0.95,$J68+0.1, $K68, $C68, ($I68-$B$1)/365, $G68, $H68, $D68) - BSPrice($B68,$J68, $K68, $C68, ($I68-$B$1)/365, $G68, $H68, $D68)) * $F68</f>
        <v/>
      </c>
      <c r="BL68" s="60">
        <f>(BSPrice($B68*0.95,$J68+0.2, $K68, $C68, ($I68-$B$1)/365, $G68, $H68, $D68) - BSPrice($B68,$J68, $K68, $C68, ($I68-$B$1)/365, $G68, $H68, $D68)) * $F68</f>
        <v/>
      </c>
      <c r="BM68" s="60">
        <f>(BSPrice($B68*1,$J68+-0.05, $K68, $C68, ($I68-$B$1)/365, $G68, $H68, $D68) - BSPrice($B68,$J68, $K68, $C68, ($I68-$B$1)/365, $G68, $H68, $D68)) * $F68</f>
        <v/>
      </c>
      <c r="BN68" s="60">
        <f>(BSPrice($B68*1,$J68+-0.02, $K68, $C68, ($I68-$B$1)/365, $G68, $H68, $D68) - BSPrice($B68,$J68, $K68, $C68, ($I68-$B$1)/365, $G68, $H68, $D68)) * $F68</f>
        <v/>
      </c>
      <c r="BO68" s="60">
        <f>(BSPrice($B68*1,$J68+0, $K68, $C68, ($I68-$B$1)/365, $G68, $H68, $D68) - BSPrice($B68,$J68, $K68, $C68, ($I68-$B$1)/365, $G68, $H68, $D68)) * $F68</f>
        <v/>
      </c>
      <c r="BP68" s="60">
        <f>(BSPrice($B68*1,$J68+0.02, $K68, $C68, ($I68-$B$1)/365, $G68, $H68, $D68) - BSPrice($B68,$J68, $K68, $C68, ($I68-$B$1)/365, $G68, $H68, $D68)) * $F68</f>
        <v/>
      </c>
      <c r="BQ68" s="60">
        <f>(BSPrice($B68*1,$J68+0.05, $K68, $C68, ($I68-$B$1)/365, $G68, $H68, $D68) - BSPrice($B68,$J68, $K68, $C68, ($I68-$B$1)/365, $G68, $H68, $D68)) * $F68</f>
        <v/>
      </c>
      <c r="BR68" s="60">
        <f>(BSPrice($B68*1,$J68+0.1, $K68, $C68, ($I68-$B$1)/365, $G68, $H68, $D68) - BSPrice($B68,$J68, $K68, $C68, ($I68-$B$1)/365, $G68, $H68, $D68)) * $F68</f>
        <v/>
      </c>
      <c r="BS68" s="60">
        <f>(BSPrice($B68*1,$J68+0.2, $K68, $C68, ($I68-$B$1)/365, $G68, $H68, $D68) - BSPrice($B68,$J68, $K68, $C68, ($I68-$B$1)/365, $G68, $H68, $D68)) * $F68</f>
        <v/>
      </c>
      <c r="BT68" s="60">
        <f>(BSPrice($B68*1.05,$J68+-0.05, $K68, $C68, ($I68-$B$1)/365, $G68, $H68, $D68) - BSPrice($B68,$J68, $K68, $C68, ($I68-$B$1)/365, $G68, $H68, $D68)) * $F68</f>
        <v/>
      </c>
      <c r="BU68" s="60">
        <f>(BSPrice($B68*1.05,$J68+-0.02, $K68, $C68, ($I68-$B$1)/365, $G68, $H68, $D68) - BSPrice($B68,$J68, $K68, $C68, ($I68-$B$1)/365, $G68, $H68, $D68)) * $F68</f>
        <v/>
      </c>
      <c r="BV68" s="60">
        <f>(BSPrice($B68*1.05,$J68+0, $K68, $C68, ($I68-$B$1)/365, $G68, $H68, $D68) - BSPrice($B68,$J68, $K68, $C68, ($I68-$B$1)/365, $G68, $H68, $D68)) * $F68</f>
        <v/>
      </c>
      <c r="BW68" s="60">
        <f>(BSPrice($B68*1.05,$J68+0.02, $K68, $C68, ($I68-$B$1)/365, $G68, $H68, $D68) - BSPrice($B68,$J68, $K68, $C68, ($I68-$B$1)/365, $G68, $H68, $D68)) * $F68</f>
        <v/>
      </c>
      <c r="BX68" s="60">
        <f>(BSPrice($B68*1.05,$J68+0.05, $K68, $C68, ($I68-$B$1)/365, $G68, $H68, $D68) - BSPrice($B68,$J68, $K68, $C68, ($I68-$B$1)/365, $G68, $H68, $D68)) * $F68</f>
        <v/>
      </c>
      <c r="BY68" s="60">
        <f>(BSPrice($B68*1.05,$J68+0.1, $K68, $C68, ($I68-$B$1)/365, $G68, $H68, $D68) - BSPrice($B68,$J68, $K68, $C68, ($I68-$B$1)/365, $G68, $H68, $D68)) * $F68</f>
        <v/>
      </c>
      <c r="BZ68" s="60">
        <f>(BSPrice($B68*1.05,$J68+0.2, $K68, $C68, ($I68-$B$1)/365, $G68, $H68, $D68) - BSPrice($B68,$J68, $K68, $C68, ($I68-$B$1)/365, $G68, $H68, $D68)) * $F68</f>
        <v/>
      </c>
      <c r="CA68" s="60">
        <f>(BSPrice($B68*1.1,$J68+-0.05, $K68, $C68, ($I68-$B$1)/365, $G68, $H68, $D68) - BSPrice($B68,$J68, $K68, $C68, ($I68-$B$1)/365, $G68, $H68, $D68)) * $F68</f>
        <v/>
      </c>
      <c r="CB68" s="60">
        <f>(BSPrice($B68*1.1,$J68+-0.02, $K68, $C68, ($I68-$B$1)/365, $G68, $H68, $D68) - BSPrice($B68,$J68, $K68, $C68, ($I68-$B$1)/365, $G68, $H68, $D68)) * $F68</f>
        <v/>
      </c>
      <c r="CC68" s="60">
        <f>(BSPrice($B68*1.1,$J68+0, $K68, $C68, ($I68-$B$1)/365, $G68, $H68, $D68) - BSPrice($B68,$J68, $K68, $C68, ($I68-$B$1)/365, $G68, $H68, $D68)) * $F68</f>
        <v/>
      </c>
      <c r="CD68" s="60">
        <f>(BSPrice($B68*1.1,$J68+0.02, $K68, $C68, ($I68-$B$1)/365, $G68, $H68, $D68) - BSPrice($B68,$J68, $K68, $C68, ($I68-$B$1)/365, $G68, $H68, $D68)) * $F68</f>
        <v/>
      </c>
      <c r="CE68" s="60">
        <f>(BSPrice($B68*1.1,$J68+0.05, $K68, $C68, ($I68-$B$1)/365, $G68, $H68, $D68) - BSPrice($B68,$J68, $K68, $C68, ($I68-$B$1)/365, $G68, $H68, $D68)) * $F68</f>
        <v/>
      </c>
      <c r="CF68" s="60">
        <f>(BSPrice($B68*1.1,$J68+0.1, $K68, $C68, ($I68-$B$1)/365, $G68, $H68, $D68) - BSPrice($B68,$J68, $K68, $C68, ($I68-$B$1)/365, $G68, $H68, $D68)) * $F68</f>
        <v/>
      </c>
      <c r="CG68" s="60">
        <f>(BSPrice($B68*1.1,$J68+0.2, $K68, $C68, ($I68-$B$1)/365, $G68, $H68, $D68) - BSPrice($B68,$J68, $K68, $C68, ($I68-$B$1)/365, $G68, $H68, $D68)) * $F68</f>
        <v/>
      </c>
      <c r="CH68" s="60">
        <f>(BSPrice($B68*1.2,$J68+-0.05, $K68, $C68, ($I68-$B$1)/365, $G68, $H68, $D68) - BSPrice($B68,$J68, $K68, $C68, ($I68-$B$1)/365, $G68, $H68, $D68)) * $F68</f>
        <v/>
      </c>
      <c r="CI68" s="60">
        <f>(BSPrice($B68*1.2,$J68+-0.02, $K68, $C68, ($I68-$B$1)/365, $G68, $H68, $D68) - BSPrice($B68,$J68, $K68, $C68, ($I68-$B$1)/365, $G68, $H68, $D68)) * $F68</f>
        <v/>
      </c>
      <c r="CJ68" s="60">
        <f>(BSPrice($B68*1.2,$J68+0, $K68, $C68, ($I68-$B$1)/365, $G68, $H68, $D68) - BSPrice($B68,$J68, $K68, $C68, ($I68-$B$1)/365, $G68, $H68, $D68)) * $F68</f>
        <v/>
      </c>
      <c r="CK68" s="60">
        <f>(BSPrice($B68*1.2,$J68+0.02, $K68, $C68, ($I68-$B$1)/365, $G68, $H68, $D68) - BSPrice($B68,$J68, $K68, $C68, ($I68-$B$1)/365, $G68, $H68, $D68)) * $F68</f>
        <v/>
      </c>
      <c r="CL68" s="60">
        <f>(BSPrice($B68*1.2,$J68+0.05, $K68, $C68, ($I68-$B$1)/365, $G68, $H68, $D68) - BSPrice($B68,$J68, $K68, $C68, ($I68-$B$1)/365, $G68, $H68, $D68)) * $F68</f>
        <v/>
      </c>
      <c r="CM68" s="60">
        <f>(BSPrice($B68*1.2,$J68+0.1, $K68, $C68, ($I68-$B$1)/365, $G68, $H68, $D68) - BSPrice($B68,$J68, $K68, $C68, ($I68-$B$1)/365, $G68, $H68, $D68)) * $F68</f>
        <v/>
      </c>
      <c r="CN68" s="60">
        <f>(BSPrice($B68*1.2,$J68+0.2, $K68, $C68, ($I68-$B$1)/365, $G68, $H68, $D68) - BSPrice($B68,$J68, $K68, $C68, ($I68-$B$1)/365, $G68, $H68, $D68)) * $F68</f>
        <v/>
      </c>
    </row>
    <row r="69">
      <c r="A69" s="3" t="inlineStr">
        <is>
          <t>NKY Index</t>
        </is>
      </c>
      <c r="B69" s="4">
        <f>VLOOKUP(A69,PriceData!$K$4:$L$6,2,FALSE)</f>
        <v/>
      </c>
      <c r="C69" s="46">
        <f>VLOOKUP(A69,PriceData!$K$4:$M$6,3,FALSE)</f>
        <v/>
      </c>
      <c r="D69" s="4" t="inlineStr">
        <is>
          <t>Option</t>
        </is>
      </c>
      <c r="E69" s="4" t="inlineStr">
        <is>
          <t>JPY</t>
        </is>
      </c>
      <c r="F69" s="4" t="n">
        <v>-20</v>
      </c>
      <c r="G69" t="n">
        <v>9120</v>
      </c>
      <c r="H69" s="4" t="inlineStr">
        <is>
          <t>Put</t>
        </is>
      </c>
      <c r="I69" s="5" t="n">
        <v>40256</v>
      </c>
      <c r="J69" s="46">
        <f>FindImpliedVol(A69, D69, G69, I69)</f>
        <v/>
      </c>
      <c r="K69" s="30">
        <f>VLOOKUP(I69,PriceData!$A$5:$D$7,MATCH($E69,PriceData!$A$4:$D$4,0),FALSE)</f>
        <v/>
      </c>
      <c r="L69" s="2">
        <f>BSPrice($B69,$J69, $K69, $C69, ($I69-$B$1)/365, $G69, $H69, $D69)</f>
        <v/>
      </c>
      <c r="M69" s="2">
        <f>F69*L69</f>
        <v/>
      </c>
      <c r="N69" s="4" t="inlineStr">
        <is>
          <t>GoldMine Sacks</t>
        </is>
      </c>
      <c r="P69" s="60">
        <f>BSDelta(B69, J69, K69, C69, (I69-$B$1)/365, G69, H69, D69)</f>
        <v/>
      </c>
      <c r="Q69" s="60">
        <f>BSGamma(B69, J69, K69, C69, (I69-$B$1)/365, G69, D69)</f>
        <v/>
      </c>
      <c r="R69" s="58">
        <f>BSVega(B69, J69, K69, C69, (I69-$B$1)/365,G69, D69)</f>
        <v/>
      </c>
      <c r="S69" s="58">
        <f>BSVolga(B69, J69, K69, C69, (I69-$B$1)/365,G69, D69)</f>
        <v/>
      </c>
      <c r="T69" s="58">
        <f>BSVanna(B69,J69,K69, C69, (I69-$B$1)/365, G69, D69)</f>
        <v/>
      </c>
      <c r="U69" s="2">
        <f>BSRho(B69, J69, K69, C69, (I69-$B$1)/365, G69, H69, D69)</f>
        <v/>
      </c>
      <c r="V69" s="65">
        <f>$F69*$P69</f>
        <v/>
      </c>
      <c r="W69" s="65">
        <f>$F69*$Q69</f>
        <v/>
      </c>
      <c r="X69" s="78">
        <f>$F69*R69</f>
        <v/>
      </c>
      <c r="Y69" s="78">
        <f>$F69*S69</f>
        <v/>
      </c>
      <c r="Z69" s="78">
        <f>$F69*T69</f>
        <v/>
      </c>
      <c r="AA69" s="78">
        <f>$F69*U69</f>
        <v/>
      </c>
      <c r="AB69" s="78">
        <f>(BSPrice($B69*0.8,$J69, $K69, $C69, ($I69-$B$1)/365, $G69, $H69, $D69) - BSPrice($B69,$J69, $K69, $C69, ($I69-$B$1)/365, $G69, $H69, $D69)) * $F69</f>
        <v/>
      </c>
      <c r="AC69" s="78">
        <f>(BSPrice($B69*0.9,$J69, $K69, $C69, ($I69-$B$1)/365, $G69, $H69, $D69) - BSPrice($B69,$J69, $K69, $C69, ($I69-$B$1)/365, $G69, $H69, $D69)) * $F69</f>
        <v/>
      </c>
      <c r="AD69" s="78">
        <f>(BSPrice($B69*0.95,$J69, $K69, $C69, ($I69-$B$1)/365, $G69, $H69, $D69) - BSPrice($B69,$J69, $K69, $C69, ($I69-$B$1)/365, $G69, $H69, $D69)) * $F69</f>
        <v/>
      </c>
      <c r="AE69" s="78">
        <f>(BSPrice($B69*0.98,$J69, $K69, $C69, ($I69-$B$1)/365, $G69, $H69, $D69) - BSPrice($B69,$J69, $K69, $C69, ($I69-$B$1)/365, $G69, $H69, $D69)) * $F69</f>
        <v/>
      </c>
      <c r="AF69" s="78">
        <f>(BSPrice($B69*1.02,$J69, $K69, $C69, ($I69-$B$1)/365, $G69, $H69, $D69) - BSPrice($B69,$J69, $K69, $C69, ($I69-$B$1)/365, $G69, $H69, $D69)) * $F69</f>
        <v/>
      </c>
      <c r="AG69" s="78">
        <f>(BSPrice($B69*1.05,$J69, $K69, $C69, ($I69-$B$1)/365, $G69, $H69, $D69) - BSPrice($B69,$J69, $K69, $C69, ($I69-$B$1)/365, $G69, $H69, $D69)) * $F69</f>
        <v/>
      </c>
      <c r="AH69" s="78">
        <f>(BSPrice($B69*1.1,$J69, $K69, $C69, ($I69-$B$1)/365, $G69, $H69, $D69) - BSPrice($B69,$J69, $K69, $C69, ($I69-$B$1)/365, $G69, $H69, $D69)) * $F69</f>
        <v/>
      </c>
      <c r="AI69" s="78">
        <f>(BSPrice($B69*1.2,$J69, $K69, $C69, ($I69-$B$1)/365, $G69, $H69, $D69) - BSPrice($B69,$J69, $K69, $C69, ($I69-$B$1)/365, $G69, $H69, $D69)) * $F69</f>
        <v/>
      </c>
      <c r="AJ69" s="78">
        <f>(BSPrice($B69,$J69-0.1, $K69, $C69, ($I69-$B$1)/365, $G69, $H69, $D69) - BSPrice($B69,$J69, $K69, $C69, ($I69-$B$1)/365, $G69, $H69, $D69)) * $F69</f>
        <v/>
      </c>
      <c r="AK69" s="78">
        <f>(BSPrice($B69,$J69-0.05,$K69,$C69,($I69-$B$1)/365,$G69,$H69,$D69)-BSPrice($B69,$J69,$K69,$C69,($I69-$B$1)/365,$G69,$H69,$D69))*$F69</f>
        <v/>
      </c>
      <c r="AL69" s="78">
        <f>(BSPrice($B69,$J69-0.02, $K69, $C69, ($I69-$B$1)/365, $G69, $H69, $D69) - BSPrice($B69,$J69, $K69, $C69, ($I69-$B$1)/365, $G69, $H69, $D69)) * $F69</f>
        <v/>
      </c>
      <c r="AM69" s="78">
        <f>(BSPrice($B69,$J69-0.01, $K69, $C69, ($I69-$B$1)/365, $G69, $H69, $D69) - BSPrice($B69,$J69, $K69, $C69, ($I69-$B$1)/365, $G69, $H69, $D69)) * $F69</f>
        <v/>
      </c>
      <c r="AN69" s="78">
        <f>(BSPrice($B69,$J69+0.01, $K69, $C69, ($I69-$B$1)/365, $G69, $H69, $D69) - BSPrice($B69,$J69, $K69, $C69, ($I69-$B$1)/365, $G69, $H69, $D69)) * $F69</f>
        <v/>
      </c>
      <c r="AO69" s="78">
        <f>(BSPrice($B69,$J69+0.02, $K69, $C69, ($I69-$B$1)/365, $G69, $H69, $D69) - BSPrice($B69,$J69, $K69, $C69, ($I69-$B$1)/365, $G69, $H69, $D69)) * $F69</f>
        <v/>
      </c>
      <c r="AP69" s="78">
        <f>(BSPrice($B69,$J69+0.05, $K69, $C69, ($I69-$B$1)/365, $G69, $H69, $D69) - BSPrice($B69,$J69, $K69, $C69, ($I69-$B$1)/365, $G69, $H69, $D69)) * $F69</f>
        <v/>
      </c>
      <c r="AQ69" s="78">
        <f>(BSPrice($B69,$J69+0.1, $K69, $C69, ($I69-$B$1)/365, $G69, $H69, $D69) - BSPrice($B69,$J69, $K69, $C69, ($I69-$B$1)/365, $G69, $H69, $D69)) * $F69</f>
        <v/>
      </c>
      <c r="AR69" s="60">
        <f>(BSPrice($B69*0.8,$J69+-0.05, $K69, $C69, ($I69-$B$1)/365, $G69, $H69, $D69) - BSPrice($B69,$J69, $K69, $C69, ($I69-$B$1)/365, $G69, $H69, $D69)) * $F69</f>
        <v/>
      </c>
      <c r="AS69" s="60">
        <f>(BSPrice($B69*0.8,$J69+-0.02, $K69, $C69, ($I69-$B$1)/365, $G69, $H69, $D69) - BSPrice($B69,$J69, $K69, $C69, ($I69-$B$1)/365, $G69, $H69, $D69)) * $F69</f>
        <v/>
      </c>
      <c r="AT69" s="60">
        <f>(BSPrice($B69*0.8,$J69+0, $K69, $C69, ($I69-$B$1)/365, $G69, $H69, $D69) - BSPrice($B69,$J69, $K69, $C69, ($I69-$B$1)/365, $G69, $H69, $D69)) * $F69</f>
        <v/>
      </c>
      <c r="AU69" s="60">
        <f>(BSPrice($B69*0.8,$J69+0.02, $K69, $C69, ($I69-$B$1)/365, $G69, $H69, $D69) - BSPrice($B69,$J69, $K69, $C69, ($I69-$B$1)/365, $G69, $H69, $D69)) * $F69</f>
        <v/>
      </c>
      <c r="AV69" s="60">
        <f>(BSPrice($B69*0.8,$J69+0.05, $K69, $C69, ($I69-$B$1)/365, $G69, $H69, $D69) - BSPrice($B69,$J69, $K69, $C69, ($I69-$B$1)/365, $G69, $H69, $D69)) * $F69</f>
        <v/>
      </c>
      <c r="AW69" s="60">
        <f>(BSPrice($B69*0.8,$J69+0.1, $K69, $C69, ($I69-$B$1)/365, $G69, $H69, $D69) - BSPrice($B69,$J69, $K69, $C69, ($I69-$B$1)/365, $G69, $H69, $D69)) * $F69</f>
        <v/>
      </c>
      <c r="AX69" s="60">
        <f>(BSPrice($B69*0.8,$J69+0.2, $K69, $C69, ($I69-$B$1)/365, $G69, $H69, $D69) - BSPrice($B69,$J69, $K69, $C69, ($I69-$B$1)/365, $G69, $H69, $D69)) * $F69</f>
        <v/>
      </c>
      <c r="AY69" s="60">
        <f>(BSPrice($B69*0.9,$J69+-0.05, $K69, $C69, ($I69-$B$1)/365, $G69, $H69, $D69) - BSPrice($B69,$J69, $K69, $C69, ($I69-$B$1)/365, $G69, $H69, $D69)) * $F69</f>
        <v/>
      </c>
      <c r="AZ69" s="60">
        <f>(BSPrice($B69*0.9,$J69+-0.02, $K69, $C69, ($I69-$B$1)/365, $G69, $H69, $D69) - BSPrice($B69,$J69, $K69, $C69, ($I69-$B$1)/365, $G69, $H69, $D69)) * $F69</f>
        <v/>
      </c>
      <c r="BA69" s="60">
        <f>(BSPrice($B69*0.9,$J69+0, $K69, $C69, ($I69-$B$1)/365, $G69, $H69, $D69) - BSPrice($B69,$J69, $K69, $C69, ($I69-$B$1)/365, $G69, $H69, $D69)) * $F69</f>
        <v/>
      </c>
      <c r="BB69" s="60">
        <f>(BSPrice($B69*0.9,$J69+0.02, $K69, $C69, ($I69-$B$1)/365, $G69, $H69, $D69) - BSPrice($B69,$J69, $K69, $C69, ($I69-$B$1)/365, $G69, $H69, $D69)) * $F69</f>
        <v/>
      </c>
      <c r="BC69" s="60">
        <f>(BSPrice($B69*0.9,$J69+0.05, $K69, $C69, ($I69-$B$1)/365, $G69, $H69, $D69) - BSPrice($B69,$J69, $K69, $C69, ($I69-$B$1)/365, $G69, $H69, $D69)) * $F69</f>
        <v/>
      </c>
      <c r="BD69" s="60">
        <f>(BSPrice($B69*0.9,$J69+0.1, $K69, $C69, ($I69-$B$1)/365, $G69, $H69, $D69) - BSPrice($B69,$J69, $K69, $C69, ($I69-$B$1)/365, $G69, $H69, $D69)) * $F69</f>
        <v/>
      </c>
      <c r="BE69" s="60">
        <f>(BSPrice($B69*0.9,$J69+0.2, $K69, $C69, ($I69-$B$1)/365, $G69, $H69, $D69) - BSPrice($B69,$J69, $K69, $C69, ($I69-$B$1)/365, $G69, $H69, $D69)) * $F69</f>
        <v/>
      </c>
      <c r="BF69" s="60">
        <f>(BSPrice($B69*0.95,$J69+-0.05, $K69, $C69, ($I69-$B$1)/365, $G69, $H69, $D69) - BSPrice($B69,$J69, $K69, $C69, ($I69-$B$1)/365, $G69, $H69, $D69)) * $F69</f>
        <v/>
      </c>
      <c r="BG69" s="60">
        <f>(BSPrice($B69*0.95,$J69+-0.02, $K69, $C69, ($I69-$B$1)/365, $G69, $H69, $D69) - BSPrice($B69,$J69, $K69, $C69, ($I69-$B$1)/365, $G69, $H69, $D69)) * $F69</f>
        <v/>
      </c>
      <c r="BH69" s="60">
        <f>(BSPrice($B69*0.95,$J69+0, $K69, $C69, ($I69-$B$1)/365, $G69, $H69, $D69) - BSPrice($B69,$J69, $K69, $C69, ($I69-$B$1)/365, $G69, $H69, $D69)) * $F69</f>
        <v/>
      </c>
      <c r="BI69" s="60">
        <f>(BSPrice($B69*0.95,$J69+0.02, $K69, $C69, ($I69-$B$1)/365, $G69, $H69, $D69) - BSPrice($B69,$J69, $K69, $C69, ($I69-$B$1)/365, $G69, $H69, $D69)) * $F69</f>
        <v/>
      </c>
      <c r="BJ69" s="60">
        <f>(BSPrice($B69*0.95,$J69+0.05, $K69, $C69, ($I69-$B$1)/365, $G69, $H69, $D69) - BSPrice($B69,$J69, $K69, $C69, ($I69-$B$1)/365, $G69, $H69, $D69)) * $F69</f>
        <v/>
      </c>
      <c r="BK69" s="60">
        <f>(BSPrice($B69*0.95,$J69+0.1, $K69, $C69, ($I69-$B$1)/365, $G69, $H69, $D69) - BSPrice($B69,$J69, $K69, $C69, ($I69-$B$1)/365, $G69, $H69, $D69)) * $F69</f>
        <v/>
      </c>
      <c r="BL69" s="60">
        <f>(BSPrice($B69*0.95,$J69+0.2, $K69, $C69, ($I69-$B$1)/365, $G69, $H69, $D69) - BSPrice($B69,$J69, $K69, $C69, ($I69-$B$1)/365, $G69, $H69, $D69)) * $F69</f>
        <v/>
      </c>
      <c r="BM69" s="60">
        <f>(BSPrice($B69*1,$J69+-0.05, $K69, $C69, ($I69-$B$1)/365, $G69, $H69, $D69) - BSPrice($B69,$J69, $K69, $C69, ($I69-$B$1)/365, $G69, $H69, $D69)) * $F69</f>
        <v/>
      </c>
      <c r="BN69" s="60">
        <f>(BSPrice($B69*1,$J69+-0.02, $K69, $C69, ($I69-$B$1)/365, $G69, $H69, $D69) - BSPrice($B69,$J69, $K69, $C69, ($I69-$B$1)/365, $G69, $H69, $D69)) * $F69</f>
        <v/>
      </c>
      <c r="BO69" s="60">
        <f>(BSPrice($B69*1,$J69+0, $K69, $C69, ($I69-$B$1)/365, $G69, $H69, $D69) - BSPrice($B69,$J69, $K69, $C69, ($I69-$B$1)/365, $G69, $H69, $D69)) * $F69</f>
        <v/>
      </c>
      <c r="BP69" s="60">
        <f>(BSPrice($B69*1,$J69+0.02, $K69, $C69, ($I69-$B$1)/365, $G69, $H69, $D69) - BSPrice($B69,$J69, $K69, $C69, ($I69-$B$1)/365, $G69, $H69, $D69)) * $F69</f>
        <v/>
      </c>
      <c r="BQ69" s="60">
        <f>(BSPrice($B69*1,$J69+0.05, $K69, $C69, ($I69-$B$1)/365, $G69, $H69, $D69) - BSPrice($B69,$J69, $K69, $C69, ($I69-$B$1)/365, $G69, $H69, $D69)) * $F69</f>
        <v/>
      </c>
      <c r="BR69" s="60">
        <f>(BSPrice($B69*1,$J69+0.1, $K69, $C69, ($I69-$B$1)/365, $G69, $H69, $D69) - BSPrice($B69,$J69, $K69, $C69, ($I69-$B$1)/365, $G69, $H69, $D69)) * $F69</f>
        <v/>
      </c>
      <c r="BS69" s="60">
        <f>(BSPrice($B69*1,$J69+0.2, $K69, $C69, ($I69-$B$1)/365, $G69, $H69, $D69) - BSPrice($B69,$J69, $K69, $C69, ($I69-$B$1)/365, $G69, $H69, $D69)) * $F69</f>
        <v/>
      </c>
      <c r="BT69" s="60">
        <f>(BSPrice($B69*1.05,$J69+-0.05, $K69, $C69, ($I69-$B$1)/365, $G69, $H69, $D69) - BSPrice($B69,$J69, $K69, $C69, ($I69-$B$1)/365, $G69, $H69, $D69)) * $F69</f>
        <v/>
      </c>
      <c r="BU69" s="60">
        <f>(BSPrice($B69*1.05,$J69+-0.02, $K69, $C69, ($I69-$B$1)/365, $G69, $H69, $D69) - BSPrice($B69,$J69, $K69, $C69, ($I69-$B$1)/365, $G69, $H69, $D69)) * $F69</f>
        <v/>
      </c>
      <c r="BV69" s="60">
        <f>(BSPrice($B69*1.05,$J69+0, $K69, $C69, ($I69-$B$1)/365, $G69, $H69, $D69) - BSPrice($B69,$J69, $K69, $C69, ($I69-$B$1)/365, $G69, $H69, $D69)) * $F69</f>
        <v/>
      </c>
      <c r="BW69" s="60">
        <f>(BSPrice($B69*1.05,$J69+0.02, $K69, $C69, ($I69-$B$1)/365, $G69, $H69, $D69) - BSPrice($B69,$J69, $K69, $C69, ($I69-$B$1)/365, $G69, $H69, $D69)) * $F69</f>
        <v/>
      </c>
      <c r="BX69" s="60">
        <f>(BSPrice($B69*1.05,$J69+0.05, $K69, $C69, ($I69-$B$1)/365, $G69, $H69, $D69) - BSPrice($B69,$J69, $K69, $C69, ($I69-$B$1)/365, $G69, $H69, $D69)) * $F69</f>
        <v/>
      </c>
      <c r="BY69" s="60">
        <f>(BSPrice($B69*1.05,$J69+0.1, $K69, $C69, ($I69-$B$1)/365, $G69, $H69, $D69) - BSPrice($B69,$J69, $K69, $C69, ($I69-$B$1)/365, $G69, $H69, $D69)) * $F69</f>
        <v/>
      </c>
      <c r="BZ69" s="60">
        <f>(BSPrice($B69*1.05,$J69+0.2, $K69, $C69, ($I69-$B$1)/365, $G69, $H69, $D69) - BSPrice($B69,$J69, $K69, $C69, ($I69-$B$1)/365, $G69, $H69, $D69)) * $F69</f>
        <v/>
      </c>
      <c r="CA69" s="60">
        <f>(BSPrice($B69*1.1,$J69+-0.05, $K69, $C69, ($I69-$B$1)/365, $G69, $H69, $D69) - BSPrice($B69,$J69, $K69, $C69, ($I69-$B$1)/365, $G69, $H69, $D69)) * $F69</f>
        <v/>
      </c>
      <c r="CB69" s="60">
        <f>(BSPrice($B69*1.1,$J69+-0.02, $K69, $C69, ($I69-$B$1)/365, $G69, $H69, $D69) - BSPrice($B69,$J69, $K69, $C69, ($I69-$B$1)/365, $G69, $H69, $D69)) * $F69</f>
        <v/>
      </c>
      <c r="CC69" s="60">
        <f>(BSPrice($B69*1.1,$J69+0, $K69, $C69, ($I69-$B$1)/365, $G69, $H69, $D69) - BSPrice($B69,$J69, $K69, $C69, ($I69-$B$1)/365, $G69, $H69, $D69)) * $F69</f>
        <v/>
      </c>
      <c r="CD69" s="60">
        <f>(BSPrice($B69*1.1,$J69+0.02, $K69, $C69, ($I69-$B$1)/365, $G69, $H69, $D69) - BSPrice($B69,$J69, $K69, $C69, ($I69-$B$1)/365, $G69, $H69, $D69)) * $F69</f>
        <v/>
      </c>
      <c r="CE69" s="60">
        <f>(BSPrice($B69*1.1,$J69+0.05, $K69, $C69, ($I69-$B$1)/365, $G69, $H69, $D69) - BSPrice($B69,$J69, $K69, $C69, ($I69-$B$1)/365, $G69, $H69, $D69)) * $F69</f>
        <v/>
      </c>
      <c r="CF69" s="60">
        <f>(BSPrice($B69*1.1,$J69+0.1, $K69, $C69, ($I69-$B$1)/365, $G69, $H69, $D69) - BSPrice($B69,$J69, $K69, $C69, ($I69-$B$1)/365, $G69, $H69, $D69)) * $F69</f>
        <v/>
      </c>
      <c r="CG69" s="60">
        <f>(BSPrice($B69*1.1,$J69+0.2, $K69, $C69, ($I69-$B$1)/365, $G69, $H69, $D69) - BSPrice($B69,$J69, $K69, $C69, ($I69-$B$1)/365, $G69, $H69, $D69)) * $F69</f>
        <v/>
      </c>
      <c r="CH69" s="60">
        <f>(BSPrice($B69*1.2,$J69+-0.05, $K69, $C69, ($I69-$B$1)/365, $G69, $H69, $D69) - BSPrice($B69,$J69, $K69, $C69, ($I69-$B$1)/365, $G69, $H69, $D69)) * $F69</f>
        <v/>
      </c>
      <c r="CI69" s="60">
        <f>(BSPrice($B69*1.2,$J69+-0.02, $K69, $C69, ($I69-$B$1)/365, $G69, $H69, $D69) - BSPrice($B69,$J69, $K69, $C69, ($I69-$B$1)/365, $G69, $H69, $D69)) * $F69</f>
        <v/>
      </c>
      <c r="CJ69" s="60">
        <f>(BSPrice($B69*1.2,$J69+0, $K69, $C69, ($I69-$B$1)/365, $G69, $H69, $D69) - BSPrice($B69,$J69, $K69, $C69, ($I69-$B$1)/365, $G69, $H69, $D69)) * $F69</f>
        <v/>
      </c>
      <c r="CK69" s="60">
        <f>(BSPrice($B69*1.2,$J69+0.02, $K69, $C69, ($I69-$B$1)/365, $G69, $H69, $D69) - BSPrice($B69,$J69, $K69, $C69, ($I69-$B$1)/365, $G69, $H69, $D69)) * $F69</f>
        <v/>
      </c>
      <c r="CL69" s="60">
        <f>(BSPrice($B69*1.2,$J69+0.05, $K69, $C69, ($I69-$B$1)/365, $G69, $H69, $D69) - BSPrice($B69,$J69, $K69, $C69, ($I69-$B$1)/365, $G69, $H69, $D69)) * $F69</f>
        <v/>
      </c>
      <c r="CM69" s="60">
        <f>(BSPrice($B69*1.2,$J69+0.1, $K69, $C69, ($I69-$B$1)/365, $G69, $H69, $D69) - BSPrice($B69,$J69, $K69, $C69, ($I69-$B$1)/365, $G69, $H69, $D69)) * $F69</f>
        <v/>
      </c>
      <c r="CN69" s="60">
        <f>(BSPrice($B69*1.2,$J69+0.2, $K69, $C69, ($I69-$B$1)/365, $G69, $H69, $D69) - BSPrice($B69,$J69, $K69, $C69, ($I69-$B$1)/365, $G69, $H69, $D69)) * $F69</f>
        <v/>
      </c>
    </row>
    <row r="70">
      <c r="A70" s="3" t="inlineStr">
        <is>
          <t>NKY Index</t>
        </is>
      </c>
      <c r="B70" s="4">
        <f>VLOOKUP(A70,PriceData!$K$4:$L$6,2,FALSE)</f>
        <v/>
      </c>
      <c r="C70" s="46">
        <f>VLOOKUP(A70,PriceData!$K$4:$M$6,3,FALSE)</f>
        <v/>
      </c>
      <c r="D70" s="4" t="inlineStr">
        <is>
          <t>Option</t>
        </is>
      </c>
      <c r="E70" s="4" t="inlineStr">
        <is>
          <t>JPY</t>
        </is>
      </c>
      <c r="F70" s="4" t="n">
        <v>-20</v>
      </c>
      <c r="G70" t="n">
        <v>9120</v>
      </c>
      <c r="H70" s="4" t="inlineStr">
        <is>
          <t>Put</t>
        </is>
      </c>
      <c r="I70" s="5" t="n">
        <v>40256</v>
      </c>
      <c r="J70" s="46">
        <f>FindImpliedVol(A70, D70, G70, I70)</f>
        <v/>
      </c>
      <c r="K70" s="30">
        <f>VLOOKUP(I70,PriceData!$A$5:$D$7,MATCH($E70,PriceData!$A$4:$D$4,0),FALSE)</f>
        <v/>
      </c>
      <c r="L70" s="2">
        <f>BSPrice($B70,$J70, $K70, $C70, ($I70-$B$1)/365, $G70, $H70, $D70)</f>
        <v/>
      </c>
      <c r="M70" s="2">
        <f>F70*L70</f>
        <v/>
      </c>
      <c r="N70" s="4" t="inlineStr">
        <is>
          <t>Exch</t>
        </is>
      </c>
      <c r="P70" s="60">
        <f>BSDelta(B70, J70, K70, C70, (I70-$B$1)/365, G70, H70, D70)</f>
        <v/>
      </c>
      <c r="Q70" s="60">
        <f>BSGamma(B70, J70, K70, C70, (I70-$B$1)/365, G70, D70)</f>
        <v/>
      </c>
      <c r="R70" s="58">
        <f>BSVega(B70, J70, K70, C70, (I70-$B$1)/365,G70, D70)</f>
        <v/>
      </c>
      <c r="S70" s="58">
        <f>BSVolga(B70, J70, K70, C70, (I70-$B$1)/365,G70, D70)</f>
        <v/>
      </c>
      <c r="T70" s="58">
        <f>BSVanna(B70,J70,K70, C70, (I70-$B$1)/365, G70, D70)</f>
        <v/>
      </c>
      <c r="U70" s="2">
        <f>BSRho(B70, J70, K70, C70, (I70-$B$1)/365, G70, H70, D70)</f>
        <v/>
      </c>
      <c r="V70" s="65">
        <f>$F70*$P70</f>
        <v/>
      </c>
      <c r="W70" s="65">
        <f>$F70*$Q70</f>
        <v/>
      </c>
      <c r="X70" s="78">
        <f>$F70*R70</f>
        <v/>
      </c>
      <c r="Y70" s="78">
        <f>$F70*S70</f>
        <v/>
      </c>
      <c r="Z70" s="78">
        <f>$F70*T70</f>
        <v/>
      </c>
      <c r="AA70" s="78">
        <f>$F70*U70</f>
        <v/>
      </c>
      <c r="AB70" s="78">
        <f>(BSPrice($B70*0.8,$J70, $K70, $C70, ($I70-$B$1)/365, $G70, $H70, $D70) - BSPrice($B70,$J70, $K70, $C70, ($I70-$B$1)/365, $G70, $H70, $D70)) * $F70</f>
        <v/>
      </c>
      <c r="AC70" s="78">
        <f>(BSPrice($B70*0.9,$J70, $K70, $C70, ($I70-$B$1)/365, $G70, $H70, $D70) - BSPrice($B70,$J70, $K70, $C70, ($I70-$B$1)/365, $G70, $H70, $D70)) * $F70</f>
        <v/>
      </c>
      <c r="AD70" s="78">
        <f>(BSPrice($B70*0.95,$J70, $K70, $C70, ($I70-$B$1)/365, $G70, $H70, $D70) - BSPrice($B70,$J70, $K70, $C70, ($I70-$B$1)/365, $G70, $H70, $D70)) * $F70</f>
        <v/>
      </c>
      <c r="AE70" s="78">
        <f>(BSPrice($B70*0.98,$J70, $K70, $C70, ($I70-$B$1)/365, $G70, $H70, $D70) - BSPrice($B70,$J70, $K70, $C70, ($I70-$B$1)/365, $G70, $H70, $D70)) * $F70</f>
        <v/>
      </c>
      <c r="AF70" s="78">
        <f>(BSPrice($B70*1.02,$J70, $K70, $C70, ($I70-$B$1)/365, $G70, $H70, $D70) - BSPrice($B70,$J70, $K70, $C70, ($I70-$B$1)/365, $G70, $H70, $D70)) * $F70</f>
        <v/>
      </c>
      <c r="AG70" s="78">
        <f>(BSPrice($B70*1.05,$J70, $K70, $C70, ($I70-$B$1)/365, $G70, $H70, $D70) - BSPrice($B70,$J70, $K70, $C70, ($I70-$B$1)/365, $G70, $H70, $D70)) * $F70</f>
        <v/>
      </c>
      <c r="AH70" s="78">
        <f>(BSPrice($B70*1.1,$J70, $K70, $C70, ($I70-$B$1)/365, $G70, $H70, $D70) - BSPrice($B70,$J70, $K70, $C70, ($I70-$B$1)/365, $G70, $H70, $D70)) * $F70</f>
        <v/>
      </c>
      <c r="AI70" s="78">
        <f>(BSPrice($B70*1.2,$J70, $K70, $C70, ($I70-$B$1)/365, $G70, $H70, $D70) - BSPrice($B70,$J70, $K70, $C70, ($I70-$B$1)/365, $G70, $H70, $D70)) * $F70</f>
        <v/>
      </c>
      <c r="AJ70" s="78">
        <f>(BSPrice($B70,$J70-0.1, $K70, $C70, ($I70-$B$1)/365, $G70, $H70, $D70) - BSPrice($B70,$J70, $K70, $C70, ($I70-$B$1)/365, $G70, $H70, $D70)) * $F70</f>
        <v/>
      </c>
      <c r="AK70" s="78">
        <f>(BSPrice($B70,$J70-0.05,$K70,$C70,($I70-$B$1)/365,$G70,$H70,$D70)-BSPrice($B70,$J70,$K70,$C70,($I70-$B$1)/365,$G70,$H70,$D70))*$F70</f>
        <v/>
      </c>
      <c r="AL70" s="78">
        <f>(BSPrice($B70,$J70-0.02, $K70, $C70, ($I70-$B$1)/365, $G70, $H70, $D70) - BSPrice($B70,$J70, $K70, $C70, ($I70-$B$1)/365, $G70, $H70, $D70)) * $F70</f>
        <v/>
      </c>
      <c r="AM70" s="78">
        <f>(BSPrice($B70,$J70-0.01, $K70, $C70, ($I70-$B$1)/365, $G70, $H70, $D70) - BSPrice($B70,$J70, $K70, $C70, ($I70-$B$1)/365, $G70, $H70, $D70)) * $F70</f>
        <v/>
      </c>
      <c r="AN70" s="78">
        <f>(BSPrice($B70,$J70+0.01, $K70, $C70, ($I70-$B$1)/365, $G70, $H70, $D70) - BSPrice($B70,$J70, $K70, $C70, ($I70-$B$1)/365, $G70, $H70, $D70)) * $F70</f>
        <v/>
      </c>
      <c r="AO70" s="78">
        <f>(BSPrice($B70,$J70+0.02, $K70, $C70, ($I70-$B$1)/365, $G70, $H70, $D70) - BSPrice($B70,$J70, $K70, $C70, ($I70-$B$1)/365, $G70, $H70, $D70)) * $F70</f>
        <v/>
      </c>
      <c r="AP70" s="78">
        <f>(BSPrice($B70,$J70+0.05, $K70, $C70, ($I70-$B$1)/365, $G70, $H70, $D70) - BSPrice($B70,$J70, $K70, $C70, ($I70-$B$1)/365, $G70, $H70, $D70)) * $F70</f>
        <v/>
      </c>
      <c r="AQ70" s="78">
        <f>(BSPrice($B70,$J70+0.1, $K70, $C70, ($I70-$B$1)/365, $G70, $H70, $D70) - BSPrice($B70,$J70, $K70, $C70, ($I70-$B$1)/365, $G70, $H70, $D70)) * $F70</f>
        <v/>
      </c>
      <c r="AR70" s="60">
        <f>(BSPrice($B70*0.8,$J70+-0.05, $K70, $C70, ($I70-$B$1)/365, $G70, $H70, $D70) - BSPrice($B70,$J70, $K70, $C70, ($I70-$B$1)/365, $G70, $H70, $D70)) * $F70</f>
        <v/>
      </c>
      <c r="AS70" s="60">
        <f>(BSPrice($B70*0.8,$J70+-0.02, $K70, $C70, ($I70-$B$1)/365, $G70, $H70, $D70) - BSPrice($B70,$J70, $K70, $C70, ($I70-$B$1)/365, $G70, $H70, $D70)) * $F70</f>
        <v/>
      </c>
      <c r="AT70" s="60">
        <f>(BSPrice($B70*0.8,$J70+0, $K70, $C70, ($I70-$B$1)/365, $G70, $H70, $D70) - BSPrice($B70,$J70, $K70, $C70, ($I70-$B$1)/365, $G70, $H70, $D70)) * $F70</f>
        <v/>
      </c>
      <c r="AU70" s="60">
        <f>(BSPrice($B70*0.8,$J70+0.02, $K70, $C70, ($I70-$B$1)/365, $G70, $H70, $D70) - BSPrice($B70,$J70, $K70, $C70, ($I70-$B$1)/365, $G70, $H70, $D70)) * $F70</f>
        <v/>
      </c>
      <c r="AV70" s="60">
        <f>(BSPrice($B70*0.8,$J70+0.05, $K70, $C70, ($I70-$B$1)/365, $G70, $H70, $D70) - BSPrice($B70,$J70, $K70, $C70, ($I70-$B$1)/365, $G70, $H70, $D70)) * $F70</f>
        <v/>
      </c>
      <c r="AW70" s="60">
        <f>(BSPrice($B70*0.8,$J70+0.1, $K70, $C70, ($I70-$B$1)/365, $G70, $H70, $D70) - BSPrice($B70,$J70, $K70, $C70, ($I70-$B$1)/365, $G70, $H70, $D70)) * $F70</f>
        <v/>
      </c>
      <c r="AX70" s="60">
        <f>(BSPrice($B70*0.8,$J70+0.2, $K70, $C70, ($I70-$B$1)/365, $G70, $H70, $D70) - BSPrice($B70,$J70, $K70, $C70, ($I70-$B$1)/365, $G70, $H70, $D70)) * $F70</f>
        <v/>
      </c>
      <c r="AY70" s="60">
        <f>(BSPrice($B70*0.9,$J70+-0.05, $K70, $C70, ($I70-$B$1)/365, $G70, $H70, $D70) - BSPrice($B70,$J70, $K70, $C70, ($I70-$B$1)/365, $G70, $H70, $D70)) * $F70</f>
        <v/>
      </c>
      <c r="AZ70" s="60">
        <f>(BSPrice($B70*0.9,$J70+-0.02, $K70, $C70, ($I70-$B$1)/365, $G70, $H70, $D70) - BSPrice($B70,$J70, $K70, $C70, ($I70-$B$1)/365, $G70, $H70, $D70)) * $F70</f>
        <v/>
      </c>
      <c r="BA70" s="60">
        <f>(BSPrice($B70*0.9,$J70+0, $K70, $C70, ($I70-$B$1)/365, $G70, $H70, $D70) - BSPrice($B70,$J70, $K70, $C70, ($I70-$B$1)/365, $G70, $H70, $D70)) * $F70</f>
        <v/>
      </c>
      <c r="BB70" s="60">
        <f>(BSPrice($B70*0.9,$J70+0.02, $K70, $C70, ($I70-$B$1)/365, $G70, $H70, $D70) - BSPrice($B70,$J70, $K70, $C70, ($I70-$B$1)/365, $G70, $H70, $D70)) * $F70</f>
        <v/>
      </c>
      <c r="BC70" s="60">
        <f>(BSPrice($B70*0.9,$J70+0.05, $K70, $C70, ($I70-$B$1)/365, $G70, $H70, $D70) - BSPrice($B70,$J70, $K70, $C70, ($I70-$B$1)/365, $G70, $H70, $D70)) * $F70</f>
        <v/>
      </c>
      <c r="BD70" s="60">
        <f>(BSPrice($B70*0.9,$J70+0.1, $K70, $C70, ($I70-$B$1)/365, $G70, $H70, $D70) - BSPrice($B70,$J70, $K70, $C70, ($I70-$B$1)/365, $G70, $H70, $D70)) * $F70</f>
        <v/>
      </c>
      <c r="BE70" s="60">
        <f>(BSPrice($B70*0.9,$J70+0.2, $K70, $C70, ($I70-$B$1)/365, $G70, $H70, $D70) - BSPrice($B70,$J70, $K70, $C70, ($I70-$B$1)/365, $G70, $H70, $D70)) * $F70</f>
        <v/>
      </c>
      <c r="BF70" s="60">
        <f>(BSPrice($B70*0.95,$J70+-0.05, $K70, $C70, ($I70-$B$1)/365, $G70, $H70, $D70) - BSPrice($B70,$J70, $K70, $C70, ($I70-$B$1)/365, $G70, $H70, $D70)) * $F70</f>
        <v/>
      </c>
      <c r="BG70" s="60">
        <f>(BSPrice($B70*0.95,$J70+-0.02, $K70, $C70, ($I70-$B$1)/365, $G70, $H70, $D70) - BSPrice($B70,$J70, $K70, $C70, ($I70-$B$1)/365, $G70, $H70, $D70)) * $F70</f>
        <v/>
      </c>
      <c r="BH70" s="60">
        <f>(BSPrice($B70*0.95,$J70+0, $K70, $C70, ($I70-$B$1)/365, $G70, $H70, $D70) - BSPrice($B70,$J70, $K70, $C70, ($I70-$B$1)/365, $G70, $H70, $D70)) * $F70</f>
        <v/>
      </c>
      <c r="BI70" s="60">
        <f>(BSPrice($B70*0.95,$J70+0.02, $K70, $C70, ($I70-$B$1)/365, $G70, $H70, $D70) - BSPrice($B70,$J70, $K70, $C70, ($I70-$B$1)/365, $G70, $H70, $D70)) * $F70</f>
        <v/>
      </c>
      <c r="BJ70" s="60">
        <f>(BSPrice($B70*0.95,$J70+0.05, $K70, $C70, ($I70-$B$1)/365, $G70, $H70, $D70) - BSPrice($B70,$J70, $K70, $C70, ($I70-$B$1)/365, $G70, $H70, $D70)) * $F70</f>
        <v/>
      </c>
      <c r="BK70" s="60">
        <f>(BSPrice($B70*0.95,$J70+0.1, $K70, $C70, ($I70-$B$1)/365, $G70, $H70, $D70) - BSPrice($B70,$J70, $K70, $C70, ($I70-$B$1)/365, $G70, $H70, $D70)) * $F70</f>
        <v/>
      </c>
      <c r="BL70" s="60">
        <f>(BSPrice($B70*0.95,$J70+0.2, $K70, $C70, ($I70-$B$1)/365, $G70, $H70, $D70) - BSPrice($B70,$J70, $K70, $C70, ($I70-$B$1)/365, $G70, $H70, $D70)) * $F70</f>
        <v/>
      </c>
      <c r="BM70" s="60">
        <f>(BSPrice($B70*1,$J70+-0.05, $K70, $C70, ($I70-$B$1)/365, $G70, $H70, $D70) - BSPrice($B70,$J70, $K70, $C70, ($I70-$B$1)/365, $G70, $H70, $D70)) * $F70</f>
        <v/>
      </c>
      <c r="BN70" s="60">
        <f>(BSPrice($B70*1,$J70+-0.02, $K70, $C70, ($I70-$B$1)/365, $G70, $H70, $D70) - BSPrice($B70,$J70, $K70, $C70, ($I70-$B$1)/365, $G70, $H70, $D70)) * $F70</f>
        <v/>
      </c>
      <c r="BO70" s="60">
        <f>(BSPrice($B70*1,$J70+0, $K70, $C70, ($I70-$B$1)/365, $G70, $H70, $D70) - BSPrice($B70,$J70, $K70, $C70, ($I70-$B$1)/365, $G70, $H70, $D70)) * $F70</f>
        <v/>
      </c>
      <c r="BP70" s="60">
        <f>(BSPrice($B70*1,$J70+0.02, $K70, $C70, ($I70-$B$1)/365, $G70, $H70, $D70) - BSPrice($B70,$J70, $K70, $C70, ($I70-$B$1)/365, $G70, $H70, $D70)) * $F70</f>
        <v/>
      </c>
      <c r="BQ70" s="60">
        <f>(BSPrice($B70*1,$J70+0.05, $K70, $C70, ($I70-$B$1)/365, $G70, $H70, $D70) - BSPrice($B70,$J70, $K70, $C70, ($I70-$B$1)/365, $G70, $H70, $D70)) * $F70</f>
        <v/>
      </c>
      <c r="BR70" s="60">
        <f>(BSPrice($B70*1,$J70+0.1, $K70, $C70, ($I70-$B$1)/365, $G70, $H70, $D70) - BSPrice($B70,$J70, $K70, $C70, ($I70-$B$1)/365, $G70, $H70, $D70)) * $F70</f>
        <v/>
      </c>
      <c r="BS70" s="60">
        <f>(BSPrice($B70*1,$J70+0.2, $K70, $C70, ($I70-$B$1)/365, $G70, $H70, $D70) - BSPrice($B70,$J70, $K70, $C70, ($I70-$B$1)/365, $G70, $H70, $D70)) * $F70</f>
        <v/>
      </c>
      <c r="BT70" s="60">
        <f>(BSPrice($B70*1.05,$J70+-0.05, $K70, $C70, ($I70-$B$1)/365, $G70, $H70, $D70) - BSPrice($B70,$J70, $K70, $C70, ($I70-$B$1)/365, $G70, $H70, $D70)) * $F70</f>
        <v/>
      </c>
      <c r="BU70" s="60">
        <f>(BSPrice($B70*1.05,$J70+-0.02, $K70, $C70, ($I70-$B$1)/365, $G70, $H70, $D70) - BSPrice($B70,$J70, $K70, $C70, ($I70-$B$1)/365, $G70, $H70, $D70)) * $F70</f>
        <v/>
      </c>
      <c r="BV70" s="60">
        <f>(BSPrice($B70*1.05,$J70+0, $K70, $C70, ($I70-$B$1)/365, $G70, $H70, $D70) - BSPrice($B70,$J70, $K70, $C70, ($I70-$B$1)/365, $G70, $H70, $D70)) * $F70</f>
        <v/>
      </c>
      <c r="BW70" s="60">
        <f>(BSPrice($B70*1.05,$J70+0.02, $K70, $C70, ($I70-$B$1)/365, $G70, $H70, $D70) - BSPrice($B70,$J70, $K70, $C70, ($I70-$B$1)/365, $G70, $H70, $D70)) * $F70</f>
        <v/>
      </c>
      <c r="BX70" s="60">
        <f>(BSPrice($B70*1.05,$J70+0.05, $K70, $C70, ($I70-$B$1)/365, $G70, $H70, $D70) - BSPrice($B70,$J70, $K70, $C70, ($I70-$B$1)/365, $G70, $H70, $D70)) * $F70</f>
        <v/>
      </c>
      <c r="BY70" s="60">
        <f>(BSPrice($B70*1.05,$J70+0.1, $K70, $C70, ($I70-$B$1)/365, $G70, $H70, $D70) - BSPrice($B70,$J70, $K70, $C70, ($I70-$B$1)/365, $G70, $H70, $D70)) * $F70</f>
        <v/>
      </c>
      <c r="BZ70" s="60">
        <f>(BSPrice($B70*1.05,$J70+0.2, $K70, $C70, ($I70-$B$1)/365, $G70, $H70, $D70) - BSPrice($B70,$J70, $K70, $C70, ($I70-$B$1)/365, $G70, $H70, $D70)) * $F70</f>
        <v/>
      </c>
      <c r="CA70" s="60">
        <f>(BSPrice($B70*1.1,$J70+-0.05, $K70, $C70, ($I70-$B$1)/365, $G70, $H70, $D70) - BSPrice($B70,$J70, $K70, $C70, ($I70-$B$1)/365, $G70, $H70, $D70)) * $F70</f>
        <v/>
      </c>
      <c r="CB70" s="60">
        <f>(BSPrice($B70*1.1,$J70+-0.02, $K70, $C70, ($I70-$B$1)/365, $G70, $H70, $D70) - BSPrice($B70,$J70, $K70, $C70, ($I70-$B$1)/365, $G70, $H70, $D70)) * $F70</f>
        <v/>
      </c>
      <c r="CC70" s="60">
        <f>(BSPrice($B70*1.1,$J70+0, $K70, $C70, ($I70-$B$1)/365, $G70, $H70, $D70) - BSPrice($B70,$J70, $K70, $C70, ($I70-$B$1)/365, $G70, $H70, $D70)) * $F70</f>
        <v/>
      </c>
      <c r="CD70" s="60">
        <f>(BSPrice($B70*1.1,$J70+0.02, $K70, $C70, ($I70-$B$1)/365, $G70, $H70, $D70) - BSPrice($B70,$J70, $K70, $C70, ($I70-$B$1)/365, $G70, $H70, $D70)) * $F70</f>
        <v/>
      </c>
      <c r="CE70" s="60">
        <f>(BSPrice($B70*1.1,$J70+0.05, $K70, $C70, ($I70-$B$1)/365, $G70, $H70, $D70) - BSPrice($B70,$J70, $K70, $C70, ($I70-$B$1)/365, $G70, $H70, $D70)) * $F70</f>
        <v/>
      </c>
      <c r="CF70" s="60">
        <f>(BSPrice($B70*1.1,$J70+0.1, $K70, $C70, ($I70-$B$1)/365, $G70, $H70, $D70) - BSPrice($B70,$J70, $K70, $C70, ($I70-$B$1)/365, $G70, $H70, $D70)) * $F70</f>
        <v/>
      </c>
      <c r="CG70" s="60">
        <f>(BSPrice($B70*1.1,$J70+0.2, $K70, $C70, ($I70-$B$1)/365, $G70, $H70, $D70) - BSPrice($B70,$J70, $K70, $C70, ($I70-$B$1)/365, $G70, $H70, $D70)) * $F70</f>
        <v/>
      </c>
      <c r="CH70" s="60">
        <f>(BSPrice($B70*1.2,$J70+-0.05, $K70, $C70, ($I70-$B$1)/365, $G70, $H70, $D70) - BSPrice($B70,$J70, $K70, $C70, ($I70-$B$1)/365, $G70, $H70, $D70)) * $F70</f>
        <v/>
      </c>
      <c r="CI70" s="60">
        <f>(BSPrice($B70*1.2,$J70+-0.02, $K70, $C70, ($I70-$B$1)/365, $G70, $H70, $D70) - BSPrice($B70,$J70, $K70, $C70, ($I70-$B$1)/365, $G70, $H70, $D70)) * $F70</f>
        <v/>
      </c>
      <c r="CJ70" s="60">
        <f>(BSPrice($B70*1.2,$J70+0, $K70, $C70, ($I70-$B$1)/365, $G70, $H70, $D70) - BSPrice($B70,$J70, $K70, $C70, ($I70-$B$1)/365, $G70, $H70, $D70)) * $F70</f>
        <v/>
      </c>
      <c r="CK70" s="60">
        <f>(BSPrice($B70*1.2,$J70+0.02, $K70, $C70, ($I70-$B$1)/365, $G70, $H70, $D70) - BSPrice($B70,$J70, $K70, $C70, ($I70-$B$1)/365, $G70, $H70, $D70)) * $F70</f>
        <v/>
      </c>
      <c r="CL70" s="60">
        <f>(BSPrice($B70*1.2,$J70+0.05, $K70, $C70, ($I70-$B$1)/365, $G70, $H70, $D70) - BSPrice($B70,$J70, $K70, $C70, ($I70-$B$1)/365, $G70, $H70, $D70)) * $F70</f>
        <v/>
      </c>
      <c r="CM70" s="60">
        <f>(BSPrice($B70*1.2,$J70+0.1, $K70, $C70, ($I70-$B$1)/365, $G70, $H70, $D70) - BSPrice($B70,$J70, $K70, $C70, ($I70-$B$1)/365, $G70, $H70, $D70)) * $F70</f>
        <v/>
      </c>
      <c r="CN70" s="60">
        <f>(BSPrice($B70*1.2,$J70+0.2, $K70, $C70, ($I70-$B$1)/365, $G70, $H70, $D70) - BSPrice($B70,$J70, $K70, $C70, ($I70-$B$1)/365, $G70, $H70, $D70)) * $F70</f>
        <v/>
      </c>
    </row>
    <row r="71">
      <c r="A71" s="3" t="inlineStr">
        <is>
          <t>NKY Index</t>
        </is>
      </c>
      <c r="B71" s="4">
        <f>VLOOKUP(A71,PriceData!$K$4:$L$6,2,FALSE)</f>
        <v/>
      </c>
      <c r="C71" s="46">
        <f>VLOOKUP(A71,PriceData!$K$4:$M$6,3,FALSE)</f>
        <v/>
      </c>
      <c r="D71" s="4" t="inlineStr">
        <is>
          <t>Option</t>
        </is>
      </c>
      <c r="E71" s="4" t="inlineStr">
        <is>
          <t>JPY</t>
        </is>
      </c>
      <c r="F71" s="4" t="n">
        <v>-25</v>
      </c>
      <c r="G71" t="n">
        <v>10022</v>
      </c>
      <c r="H71" s="4" t="inlineStr">
        <is>
          <t>Call</t>
        </is>
      </c>
      <c r="I71" s="5" t="n">
        <v>40256</v>
      </c>
      <c r="J71" s="46">
        <f>FindImpliedVol(A71, D71, G71, I71)</f>
        <v/>
      </c>
      <c r="K71" s="30">
        <f>VLOOKUP(I71,PriceData!$A$5:$D$7,MATCH($E71,PriceData!$A$4:$D$4,0),FALSE)</f>
        <v/>
      </c>
      <c r="L71" s="2">
        <f>BSPrice($B71,$J71, $K71, $C71, ($I71-$B$1)/365, $G71, $H71, $D71)</f>
        <v/>
      </c>
      <c r="M71" s="2">
        <f>F71*L71</f>
        <v/>
      </c>
      <c r="N71" s="4" t="inlineStr">
        <is>
          <t>Exch</t>
        </is>
      </c>
      <c r="P71" s="60">
        <f>BSDelta(B71, J71, K71, C71, (I71-$B$1)/365, G71, H71, D71)</f>
        <v/>
      </c>
      <c r="Q71" s="60">
        <f>BSGamma(B71, J71, K71, C71, (I71-$B$1)/365, G71, D71)</f>
        <v/>
      </c>
      <c r="R71" s="58">
        <f>BSVega(B71, J71, K71, C71, (I71-$B$1)/365,G71, D71)</f>
        <v/>
      </c>
      <c r="S71" s="58">
        <f>BSVolga(B71, J71, K71, C71, (I71-$B$1)/365,G71, D71)</f>
        <v/>
      </c>
      <c r="T71" s="58">
        <f>BSVanna(B71,J71,K71, C71, (I71-$B$1)/365, G71, D71)</f>
        <v/>
      </c>
      <c r="U71" s="2">
        <f>BSRho(B71, J71, K71, C71, (I71-$B$1)/365, G71, H71, D71)</f>
        <v/>
      </c>
      <c r="V71" s="65">
        <f>$F71*$P71</f>
        <v/>
      </c>
      <c r="W71" s="65">
        <f>$F71*$Q71</f>
        <v/>
      </c>
      <c r="X71" s="78">
        <f>$F71*R71</f>
        <v/>
      </c>
      <c r="Y71" s="78">
        <f>$F71*S71</f>
        <v/>
      </c>
      <c r="Z71" s="78">
        <f>$F71*T71</f>
        <v/>
      </c>
      <c r="AA71" s="78">
        <f>$F71*U71</f>
        <v/>
      </c>
      <c r="AB71" s="78">
        <f>(BSPrice($B71*0.8,$J71, $K71, $C71, ($I71-$B$1)/365, $G71, $H71, $D71) - BSPrice($B71,$J71, $K71, $C71, ($I71-$B$1)/365, $G71, $H71, $D71)) * $F71</f>
        <v/>
      </c>
      <c r="AC71" s="78">
        <f>(BSPrice($B71*0.9,$J71, $K71, $C71, ($I71-$B$1)/365, $G71, $H71, $D71) - BSPrice($B71,$J71, $K71, $C71, ($I71-$B$1)/365, $G71, $H71, $D71)) * $F71</f>
        <v/>
      </c>
      <c r="AD71" s="78">
        <f>(BSPrice($B71*0.95,$J71, $K71, $C71, ($I71-$B$1)/365, $G71, $H71, $D71) - BSPrice($B71,$J71, $K71, $C71, ($I71-$B$1)/365, $G71, $H71, $D71)) * $F71</f>
        <v/>
      </c>
      <c r="AE71" s="78">
        <f>(BSPrice($B71*0.98,$J71, $K71, $C71, ($I71-$B$1)/365, $G71, $H71, $D71) - BSPrice($B71,$J71, $K71, $C71, ($I71-$B$1)/365, $G71, $H71, $D71)) * $F71</f>
        <v/>
      </c>
      <c r="AF71" s="78">
        <f>(BSPrice($B71*1.02,$J71, $K71, $C71, ($I71-$B$1)/365, $G71, $H71, $D71) - BSPrice($B71,$J71, $K71, $C71, ($I71-$B$1)/365, $G71, $H71, $D71)) * $F71</f>
        <v/>
      </c>
      <c r="AG71" s="78">
        <f>(BSPrice($B71*1.05,$J71, $K71, $C71, ($I71-$B$1)/365, $G71, $H71, $D71) - BSPrice($B71,$J71, $K71, $C71, ($I71-$B$1)/365, $G71, $H71, $D71)) * $F71</f>
        <v/>
      </c>
      <c r="AH71" s="78">
        <f>(BSPrice($B71*1.1,$J71, $K71, $C71, ($I71-$B$1)/365, $G71, $H71, $D71) - BSPrice($B71,$J71, $K71, $C71, ($I71-$B$1)/365, $G71, $H71, $D71)) * $F71</f>
        <v/>
      </c>
      <c r="AI71" s="78">
        <f>(BSPrice($B71*1.2,$J71, $K71, $C71, ($I71-$B$1)/365, $G71, $H71, $D71) - BSPrice($B71,$J71, $K71, $C71, ($I71-$B$1)/365, $G71, $H71, $D71)) * $F71</f>
        <v/>
      </c>
      <c r="AJ71" s="78">
        <f>(BSPrice($B71,$J71-0.1, $K71, $C71, ($I71-$B$1)/365, $G71, $H71, $D71) - BSPrice($B71,$J71, $K71, $C71, ($I71-$B$1)/365, $G71, $H71, $D71)) * $F71</f>
        <v/>
      </c>
      <c r="AK71" s="78">
        <f>(BSPrice($B71,$J71-0.05,$K71,$C71,($I71-$B$1)/365,$G71,$H71,$D71)-BSPrice($B71,$J71,$K71,$C71,($I71-$B$1)/365,$G71,$H71,$D71))*$F71</f>
        <v/>
      </c>
      <c r="AL71" s="78">
        <f>(BSPrice($B71,$J71-0.02, $K71, $C71, ($I71-$B$1)/365, $G71, $H71, $D71) - BSPrice($B71,$J71, $K71, $C71, ($I71-$B$1)/365, $G71, $H71, $D71)) * $F71</f>
        <v/>
      </c>
      <c r="AM71" s="78">
        <f>(BSPrice($B71,$J71-0.01, $K71, $C71, ($I71-$B$1)/365, $G71, $H71, $D71) - BSPrice($B71,$J71, $K71, $C71, ($I71-$B$1)/365, $G71, $H71, $D71)) * $F71</f>
        <v/>
      </c>
      <c r="AN71" s="78">
        <f>(BSPrice($B71,$J71+0.01, $K71, $C71, ($I71-$B$1)/365, $G71, $H71, $D71) - BSPrice($B71,$J71, $K71, $C71, ($I71-$B$1)/365, $G71, $H71, $D71)) * $F71</f>
        <v/>
      </c>
      <c r="AO71" s="78">
        <f>(BSPrice($B71,$J71+0.02, $K71, $C71, ($I71-$B$1)/365, $G71, $H71, $D71) - BSPrice($B71,$J71, $K71, $C71, ($I71-$B$1)/365, $G71, $H71, $D71)) * $F71</f>
        <v/>
      </c>
      <c r="AP71" s="78">
        <f>(BSPrice($B71,$J71+0.05, $K71, $C71, ($I71-$B$1)/365, $G71, $H71, $D71) - BSPrice($B71,$J71, $K71, $C71, ($I71-$B$1)/365, $G71, $H71, $D71)) * $F71</f>
        <v/>
      </c>
      <c r="AQ71" s="78">
        <f>(BSPrice($B71,$J71+0.1, $K71, $C71, ($I71-$B$1)/365, $G71, $H71, $D71) - BSPrice($B71,$J71, $K71, $C71, ($I71-$B$1)/365, $G71, $H71, $D71)) * $F71</f>
        <v/>
      </c>
      <c r="AR71" s="60">
        <f>(BSPrice($B71*0.8,$J71+-0.05, $K71, $C71, ($I71-$B$1)/365, $G71, $H71, $D71) - BSPrice($B71,$J71, $K71, $C71, ($I71-$B$1)/365, $G71, $H71, $D71)) * $F71</f>
        <v/>
      </c>
      <c r="AS71" s="60">
        <f>(BSPrice($B71*0.8,$J71+-0.02, $K71, $C71, ($I71-$B$1)/365, $G71, $H71, $D71) - BSPrice($B71,$J71, $K71, $C71, ($I71-$B$1)/365, $G71, $H71, $D71)) * $F71</f>
        <v/>
      </c>
      <c r="AT71" s="60">
        <f>(BSPrice($B71*0.8,$J71+0, $K71, $C71, ($I71-$B$1)/365, $G71, $H71, $D71) - BSPrice($B71,$J71, $K71, $C71, ($I71-$B$1)/365, $G71, $H71, $D71)) * $F71</f>
        <v/>
      </c>
      <c r="AU71" s="60">
        <f>(BSPrice($B71*0.8,$J71+0.02, $K71, $C71, ($I71-$B$1)/365, $G71, $H71, $D71) - BSPrice($B71,$J71, $K71, $C71, ($I71-$B$1)/365, $G71, $H71, $D71)) * $F71</f>
        <v/>
      </c>
      <c r="AV71" s="60">
        <f>(BSPrice($B71*0.8,$J71+0.05, $K71, $C71, ($I71-$B$1)/365, $G71, $H71, $D71) - BSPrice($B71,$J71, $K71, $C71, ($I71-$B$1)/365, $G71, $H71, $D71)) * $F71</f>
        <v/>
      </c>
      <c r="AW71" s="60">
        <f>(BSPrice($B71*0.8,$J71+0.1, $K71, $C71, ($I71-$B$1)/365, $G71, $H71, $D71) - BSPrice($B71,$J71, $K71, $C71, ($I71-$B$1)/365, $G71, $H71, $D71)) * $F71</f>
        <v/>
      </c>
      <c r="AX71" s="60">
        <f>(BSPrice($B71*0.8,$J71+0.2, $K71, $C71, ($I71-$B$1)/365, $G71, $H71, $D71) - BSPrice($B71,$J71, $K71, $C71, ($I71-$B$1)/365, $G71, $H71, $D71)) * $F71</f>
        <v/>
      </c>
      <c r="AY71" s="60">
        <f>(BSPrice($B71*0.9,$J71+-0.05, $K71, $C71, ($I71-$B$1)/365, $G71, $H71, $D71) - BSPrice($B71,$J71, $K71, $C71, ($I71-$B$1)/365, $G71, $H71, $D71)) * $F71</f>
        <v/>
      </c>
      <c r="AZ71" s="60">
        <f>(BSPrice($B71*0.9,$J71+-0.02, $K71, $C71, ($I71-$B$1)/365, $G71, $H71, $D71) - BSPrice($B71,$J71, $K71, $C71, ($I71-$B$1)/365, $G71, $H71, $D71)) * $F71</f>
        <v/>
      </c>
      <c r="BA71" s="60">
        <f>(BSPrice($B71*0.9,$J71+0, $K71, $C71, ($I71-$B$1)/365, $G71, $H71, $D71) - BSPrice($B71,$J71, $K71, $C71, ($I71-$B$1)/365, $G71, $H71, $D71)) * $F71</f>
        <v/>
      </c>
      <c r="BB71" s="60">
        <f>(BSPrice($B71*0.9,$J71+0.02, $K71, $C71, ($I71-$B$1)/365, $G71, $H71, $D71) - BSPrice($B71,$J71, $K71, $C71, ($I71-$B$1)/365, $G71, $H71, $D71)) * $F71</f>
        <v/>
      </c>
      <c r="BC71" s="60">
        <f>(BSPrice($B71*0.9,$J71+0.05, $K71, $C71, ($I71-$B$1)/365, $G71, $H71, $D71) - BSPrice($B71,$J71, $K71, $C71, ($I71-$B$1)/365, $G71, $H71, $D71)) * $F71</f>
        <v/>
      </c>
      <c r="BD71" s="60">
        <f>(BSPrice($B71*0.9,$J71+0.1, $K71, $C71, ($I71-$B$1)/365, $G71, $H71, $D71) - BSPrice($B71,$J71, $K71, $C71, ($I71-$B$1)/365, $G71, $H71, $D71)) * $F71</f>
        <v/>
      </c>
      <c r="BE71" s="60">
        <f>(BSPrice($B71*0.9,$J71+0.2, $K71, $C71, ($I71-$B$1)/365, $G71, $H71, $D71) - BSPrice($B71,$J71, $K71, $C71, ($I71-$B$1)/365, $G71, $H71, $D71)) * $F71</f>
        <v/>
      </c>
      <c r="BF71" s="60">
        <f>(BSPrice($B71*0.95,$J71+-0.05, $K71, $C71, ($I71-$B$1)/365, $G71, $H71, $D71) - BSPrice($B71,$J71, $K71, $C71, ($I71-$B$1)/365, $G71, $H71, $D71)) * $F71</f>
        <v/>
      </c>
      <c r="BG71" s="60">
        <f>(BSPrice($B71*0.95,$J71+-0.02, $K71, $C71, ($I71-$B$1)/365, $G71, $H71, $D71) - BSPrice($B71,$J71, $K71, $C71, ($I71-$B$1)/365, $G71, $H71, $D71)) * $F71</f>
        <v/>
      </c>
      <c r="BH71" s="60">
        <f>(BSPrice($B71*0.95,$J71+0, $K71, $C71, ($I71-$B$1)/365, $G71, $H71, $D71) - BSPrice($B71,$J71, $K71, $C71, ($I71-$B$1)/365, $G71, $H71, $D71)) * $F71</f>
        <v/>
      </c>
      <c r="BI71" s="60">
        <f>(BSPrice($B71*0.95,$J71+0.02, $K71, $C71, ($I71-$B$1)/365, $G71, $H71, $D71) - BSPrice($B71,$J71, $K71, $C71, ($I71-$B$1)/365, $G71, $H71, $D71)) * $F71</f>
        <v/>
      </c>
      <c r="BJ71" s="60">
        <f>(BSPrice($B71*0.95,$J71+0.05, $K71, $C71, ($I71-$B$1)/365, $G71, $H71, $D71) - BSPrice($B71,$J71, $K71, $C71, ($I71-$B$1)/365, $G71, $H71, $D71)) * $F71</f>
        <v/>
      </c>
      <c r="BK71" s="60">
        <f>(BSPrice($B71*0.95,$J71+0.1, $K71, $C71, ($I71-$B$1)/365, $G71, $H71, $D71) - BSPrice($B71,$J71, $K71, $C71, ($I71-$B$1)/365, $G71, $H71, $D71)) * $F71</f>
        <v/>
      </c>
      <c r="BL71" s="60">
        <f>(BSPrice($B71*0.95,$J71+0.2, $K71, $C71, ($I71-$B$1)/365, $G71, $H71, $D71) - BSPrice($B71,$J71, $K71, $C71, ($I71-$B$1)/365, $G71, $H71, $D71)) * $F71</f>
        <v/>
      </c>
      <c r="BM71" s="60">
        <f>(BSPrice($B71*1,$J71+-0.05, $K71, $C71, ($I71-$B$1)/365, $G71, $H71, $D71) - BSPrice($B71,$J71, $K71, $C71, ($I71-$B$1)/365, $G71, $H71, $D71)) * $F71</f>
        <v/>
      </c>
      <c r="BN71" s="60">
        <f>(BSPrice($B71*1,$J71+-0.02, $K71, $C71, ($I71-$B$1)/365, $G71, $H71, $D71) - BSPrice($B71,$J71, $K71, $C71, ($I71-$B$1)/365, $G71, $H71, $D71)) * $F71</f>
        <v/>
      </c>
      <c r="BO71" s="60">
        <f>(BSPrice($B71*1,$J71+0, $K71, $C71, ($I71-$B$1)/365, $G71, $H71, $D71) - BSPrice($B71,$J71, $K71, $C71, ($I71-$B$1)/365, $G71, $H71, $D71)) * $F71</f>
        <v/>
      </c>
      <c r="BP71" s="60">
        <f>(BSPrice($B71*1,$J71+0.02, $K71, $C71, ($I71-$B$1)/365, $G71, $H71, $D71) - BSPrice($B71,$J71, $K71, $C71, ($I71-$B$1)/365, $G71, $H71, $D71)) * $F71</f>
        <v/>
      </c>
      <c r="BQ71" s="60">
        <f>(BSPrice($B71*1,$J71+0.05, $K71, $C71, ($I71-$B$1)/365, $G71, $H71, $D71) - BSPrice($B71,$J71, $K71, $C71, ($I71-$B$1)/365, $G71, $H71, $D71)) * $F71</f>
        <v/>
      </c>
      <c r="BR71" s="60">
        <f>(BSPrice($B71*1,$J71+0.1, $K71, $C71, ($I71-$B$1)/365, $G71, $H71, $D71) - BSPrice($B71,$J71, $K71, $C71, ($I71-$B$1)/365, $G71, $H71, $D71)) * $F71</f>
        <v/>
      </c>
      <c r="BS71" s="60">
        <f>(BSPrice($B71*1,$J71+0.2, $K71, $C71, ($I71-$B$1)/365, $G71, $H71, $D71) - BSPrice($B71,$J71, $K71, $C71, ($I71-$B$1)/365, $G71, $H71, $D71)) * $F71</f>
        <v/>
      </c>
      <c r="BT71" s="60">
        <f>(BSPrice($B71*1.05,$J71+-0.05, $K71, $C71, ($I71-$B$1)/365, $G71, $H71, $D71) - BSPrice($B71,$J71, $K71, $C71, ($I71-$B$1)/365, $G71, $H71, $D71)) * $F71</f>
        <v/>
      </c>
      <c r="BU71" s="60">
        <f>(BSPrice($B71*1.05,$J71+-0.02, $K71, $C71, ($I71-$B$1)/365, $G71, $H71, $D71) - BSPrice($B71,$J71, $K71, $C71, ($I71-$B$1)/365, $G71, $H71, $D71)) * $F71</f>
        <v/>
      </c>
      <c r="BV71" s="60">
        <f>(BSPrice($B71*1.05,$J71+0, $K71, $C71, ($I71-$B$1)/365, $G71, $H71, $D71) - BSPrice($B71,$J71, $K71, $C71, ($I71-$B$1)/365, $G71, $H71, $D71)) * $F71</f>
        <v/>
      </c>
      <c r="BW71" s="60">
        <f>(BSPrice($B71*1.05,$J71+0.02, $K71, $C71, ($I71-$B$1)/365, $G71, $H71, $D71) - BSPrice($B71,$J71, $K71, $C71, ($I71-$B$1)/365, $G71, $H71, $D71)) * $F71</f>
        <v/>
      </c>
      <c r="BX71" s="60">
        <f>(BSPrice($B71*1.05,$J71+0.05, $K71, $C71, ($I71-$B$1)/365, $G71, $H71, $D71) - BSPrice($B71,$J71, $K71, $C71, ($I71-$B$1)/365, $G71, $H71, $D71)) * $F71</f>
        <v/>
      </c>
      <c r="BY71" s="60">
        <f>(BSPrice($B71*1.05,$J71+0.1, $K71, $C71, ($I71-$B$1)/365, $G71, $H71, $D71) - BSPrice($B71,$J71, $K71, $C71, ($I71-$B$1)/365, $G71, $H71, $D71)) * $F71</f>
        <v/>
      </c>
      <c r="BZ71" s="60">
        <f>(BSPrice($B71*1.05,$J71+0.2, $K71, $C71, ($I71-$B$1)/365, $G71, $H71, $D71) - BSPrice($B71,$J71, $K71, $C71, ($I71-$B$1)/365, $G71, $H71, $D71)) * $F71</f>
        <v/>
      </c>
      <c r="CA71" s="60">
        <f>(BSPrice($B71*1.1,$J71+-0.05, $K71, $C71, ($I71-$B$1)/365, $G71, $H71, $D71) - BSPrice($B71,$J71, $K71, $C71, ($I71-$B$1)/365, $G71, $H71, $D71)) * $F71</f>
        <v/>
      </c>
      <c r="CB71" s="60">
        <f>(BSPrice($B71*1.1,$J71+-0.02, $K71, $C71, ($I71-$B$1)/365, $G71, $H71, $D71) - BSPrice($B71,$J71, $K71, $C71, ($I71-$B$1)/365, $G71, $H71, $D71)) * $F71</f>
        <v/>
      </c>
      <c r="CC71" s="60">
        <f>(BSPrice($B71*1.1,$J71+0, $K71, $C71, ($I71-$B$1)/365, $G71, $H71, $D71) - BSPrice($B71,$J71, $K71, $C71, ($I71-$B$1)/365, $G71, $H71, $D71)) * $F71</f>
        <v/>
      </c>
      <c r="CD71" s="60">
        <f>(BSPrice($B71*1.1,$J71+0.02, $K71, $C71, ($I71-$B$1)/365, $G71, $H71, $D71) - BSPrice($B71,$J71, $K71, $C71, ($I71-$B$1)/365, $G71, $H71, $D71)) * $F71</f>
        <v/>
      </c>
      <c r="CE71" s="60">
        <f>(BSPrice($B71*1.1,$J71+0.05, $K71, $C71, ($I71-$B$1)/365, $G71, $H71, $D71) - BSPrice($B71,$J71, $K71, $C71, ($I71-$B$1)/365, $G71, $H71, $D71)) * $F71</f>
        <v/>
      </c>
      <c r="CF71" s="60">
        <f>(BSPrice($B71*1.1,$J71+0.1, $K71, $C71, ($I71-$B$1)/365, $G71, $H71, $D71) - BSPrice($B71,$J71, $K71, $C71, ($I71-$B$1)/365, $G71, $H71, $D71)) * $F71</f>
        <v/>
      </c>
      <c r="CG71" s="60">
        <f>(BSPrice($B71*1.1,$J71+0.2, $K71, $C71, ($I71-$B$1)/365, $G71, $H71, $D71) - BSPrice($B71,$J71, $K71, $C71, ($I71-$B$1)/365, $G71, $H71, $D71)) * $F71</f>
        <v/>
      </c>
      <c r="CH71" s="60">
        <f>(BSPrice($B71*1.2,$J71+-0.05, $K71, $C71, ($I71-$B$1)/365, $G71, $H71, $D71) - BSPrice($B71,$J71, $K71, $C71, ($I71-$B$1)/365, $G71, $H71, $D71)) * $F71</f>
        <v/>
      </c>
      <c r="CI71" s="60">
        <f>(BSPrice($B71*1.2,$J71+-0.02, $K71, $C71, ($I71-$B$1)/365, $G71, $H71, $D71) - BSPrice($B71,$J71, $K71, $C71, ($I71-$B$1)/365, $G71, $H71, $D71)) * $F71</f>
        <v/>
      </c>
      <c r="CJ71" s="60">
        <f>(BSPrice($B71*1.2,$J71+0, $K71, $C71, ($I71-$B$1)/365, $G71, $H71, $D71) - BSPrice($B71,$J71, $K71, $C71, ($I71-$B$1)/365, $G71, $H71, $D71)) * $F71</f>
        <v/>
      </c>
      <c r="CK71" s="60">
        <f>(BSPrice($B71*1.2,$J71+0.02, $K71, $C71, ($I71-$B$1)/365, $G71, $H71, $D71) - BSPrice($B71,$J71, $K71, $C71, ($I71-$B$1)/365, $G71, $H71, $D71)) * $F71</f>
        <v/>
      </c>
      <c r="CL71" s="60">
        <f>(BSPrice($B71*1.2,$J71+0.05, $K71, $C71, ($I71-$B$1)/365, $G71, $H71, $D71) - BSPrice($B71,$J71, $K71, $C71, ($I71-$B$1)/365, $G71, $H71, $D71)) * $F71</f>
        <v/>
      </c>
      <c r="CM71" s="60">
        <f>(BSPrice($B71*1.2,$J71+0.1, $K71, $C71, ($I71-$B$1)/365, $G71, $H71, $D71) - BSPrice($B71,$J71, $K71, $C71, ($I71-$B$1)/365, $G71, $H71, $D71)) * $F71</f>
        <v/>
      </c>
      <c r="CN71" s="60">
        <f>(BSPrice($B71*1.2,$J71+0.2, $K71, $C71, ($I71-$B$1)/365, $G71, $H71, $D71) - BSPrice($B71,$J71, $K71, $C71, ($I71-$B$1)/365, $G71, $H71, $D71)) * $F71</f>
        <v/>
      </c>
    </row>
    <row r="72">
      <c r="A72" s="3" t="inlineStr">
        <is>
          <t>NKY Index</t>
        </is>
      </c>
      <c r="B72" s="4">
        <f>VLOOKUP(A72,PriceData!$K$4:$L$6,2,FALSE)</f>
        <v/>
      </c>
      <c r="C72" s="46">
        <f>VLOOKUP(A72,PriceData!$K$4:$M$6,3,FALSE)</f>
        <v/>
      </c>
      <c r="D72" s="4" t="inlineStr">
        <is>
          <t>Option</t>
        </is>
      </c>
      <c r="E72" s="4" t="inlineStr">
        <is>
          <t>JPY</t>
        </is>
      </c>
      <c r="F72" s="4" t="n">
        <v>10</v>
      </c>
      <c r="G72" t="n">
        <v>8519</v>
      </c>
      <c r="H72" s="4" t="inlineStr">
        <is>
          <t>Put</t>
        </is>
      </c>
      <c r="I72" s="5" t="n">
        <v>40256</v>
      </c>
      <c r="J72" s="46">
        <f>FindImpliedVol(A72, D72, G72, I72)</f>
        <v/>
      </c>
      <c r="K72" s="30">
        <f>VLOOKUP(I72,PriceData!$A$5:$D$7,MATCH($E72,PriceData!$A$4:$D$4,0),FALSE)</f>
        <v/>
      </c>
      <c r="L72" s="2">
        <f>BSPrice($B72,$J72, $K72, $C72, ($I72-$B$1)/365, $G72, $H72, $D72)</f>
        <v/>
      </c>
      <c r="M72" s="2">
        <f>F72*L72</f>
        <v/>
      </c>
      <c r="N72" s="4" t="inlineStr">
        <is>
          <t>JP Horgan</t>
        </is>
      </c>
      <c r="P72" s="60">
        <f>BSDelta(B72, J72, K72, C72, (I72-$B$1)/365, G72, H72, D72)</f>
        <v/>
      </c>
      <c r="Q72" s="60">
        <f>BSGamma(B72, J72, K72, C72, (I72-$B$1)/365, G72, D72)</f>
        <v/>
      </c>
      <c r="R72" s="58">
        <f>BSVega(B72, J72, K72, C72, (I72-$B$1)/365,G72, D72)</f>
        <v/>
      </c>
      <c r="S72" s="58">
        <f>BSVolga(B72, J72, K72, C72, (I72-$B$1)/365,G72, D72)</f>
        <v/>
      </c>
      <c r="T72" s="58">
        <f>BSVanna(B72,J72,K72, C72, (I72-$B$1)/365, G72, D72)</f>
        <v/>
      </c>
      <c r="U72" s="2">
        <f>BSRho(B72, J72, K72, C72, (I72-$B$1)/365, G72, H72, D72)</f>
        <v/>
      </c>
      <c r="V72" s="65">
        <f>$F72*$P72</f>
        <v/>
      </c>
      <c r="W72" s="65">
        <f>$F72*$Q72</f>
        <v/>
      </c>
      <c r="X72" s="78">
        <f>$F72*R72</f>
        <v/>
      </c>
      <c r="Y72" s="78">
        <f>$F72*S72</f>
        <v/>
      </c>
      <c r="Z72" s="78">
        <f>$F72*T72</f>
        <v/>
      </c>
      <c r="AA72" s="78">
        <f>$F72*U72</f>
        <v/>
      </c>
      <c r="AB72" s="78">
        <f>(BSPrice($B72*0.8,$J72, $K72, $C72, ($I72-$B$1)/365, $G72, $H72, $D72) - BSPrice($B72,$J72, $K72, $C72, ($I72-$B$1)/365, $G72, $H72, $D72)) * $F72</f>
        <v/>
      </c>
      <c r="AC72" s="78">
        <f>(BSPrice($B72*0.9,$J72, $K72, $C72, ($I72-$B$1)/365, $G72, $H72, $D72) - BSPrice($B72,$J72, $K72, $C72, ($I72-$B$1)/365, $G72, $H72, $D72)) * $F72</f>
        <v/>
      </c>
      <c r="AD72" s="78">
        <f>(BSPrice($B72*0.95,$J72, $K72, $C72, ($I72-$B$1)/365, $G72, $H72, $D72) - BSPrice($B72,$J72, $K72, $C72, ($I72-$B$1)/365, $G72, $H72, $D72)) * $F72</f>
        <v/>
      </c>
      <c r="AE72" s="78">
        <f>(BSPrice($B72*0.98,$J72, $K72, $C72, ($I72-$B$1)/365, $G72, $H72, $D72) - BSPrice($B72,$J72, $K72, $C72, ($I72-$B$1)/365, $G72, $H72, $D72)) * $F72</f>
        <v/>
      </c>
      <c r="AF72" s="78">
        <f>(BSPrice($B72*1.02,$J72, $K72, $C72, ($I72-$B$1)/365, $G72, $H72, $D72) - BSPrice($B72,$J72, $K72, $C72, ($I72-$B$1)/365, $G72, $H72, $D72)) * $F72</f>
        <v/>
      </c>
      <c r="AG72" s="78">
        <f>(BSPrice($B72*1.05,$J72, $K72, $C72, ($I72-$B$1)/365, $G72, $H72, $D72) - BSPrice($B72,$J72, $K72, $C72, ($I72-$B$1)/365, $G72, $H72, $D72)) * $F72</f>
        <v/>
      </c>
      <c r="AH72" s="78">
        <f>(BSPrice($B72*1.1,$J72, $K72, $C72, ($I72-$B$1)/365, $G72, $H72, $D72) - BSPrice($B72,$J72, $K72, $C72, ($I72-$B$1)/365, $G72, $H72, $D72)) * $F72</f>
        <v/>
      </c>
      <c r="AI72" s="78">
        <f>(BSPrice($B72*1.2,$J72, $K72, $C72, ($I72-$B$1)/365, $G72, $H72, $D72) - BSPrice($B72,$J72, $K72, $C72, ($I72-$B$1)/365, $G72, $H72, $D72)) * $F72</f>
        <v/>
      </c>
      <c r="AJ72" s="78">
        <f>(BSPrice($B72,$J72-0.1, $K72, $C72, ($I72-$B$1)/365, $G72, $H72, $D72) - BSPrice($B72,$J72, $K72, $C72, ($I72-$B$1)/365, $G72, $H72, $D72)) * $F72</f>
        <v/>
      </c>
      <c r="AK72" s="78">
        <f>(BSPrice($B72,$J72-0.05,$K72,$C72,($I72-$B$1)/365,$G72,$H72,$D72)-BSPrice($B72,$J72,$K72,$C72,($I72-$B$1)/365,$G72,$H72,$D72))*$F72</f>
        <v/>
      </c>
      <c r="AL72" s="78">
        <f>(BSPrice($B72,$J72-0.02, $K72, $C72, ($I72-$B$1)/365, $G72, $H72, $D72) - BSPrice($B72,$J72, $K72, $C72, ($I72-$B$1)/365, $G72, $H72, $D72)) * $F72</f>
        <v/>
      </c>
      <c r="AM72" s="78">
        <f>(BSPrice($B72,$J72-0.01, $K72, $C72, ($I72-$B$1)/365, $G72, $H72, $D72) - BSPrice($B72,$J72, $K72, $C72, ($I72-$B$1)/365, $G72, $H72, $D72)) * $F72</f>
        <v/>
      </c>
      <c r="AN72" s="78">
        <f>(BSPrice($B72,$J72+0.01, $K72, $C72, ($I72-$B$1)/365, $G72, $H72, $D72) - BSPrice($B72,$J72, $K72, $C72, ($I72-$B$1)/365, $G72, $H72, $D72)) * $F72</f>
        <v/>
      </c>
      <c r="AO72" s="78">
        <f>(BSPrice($B72,$J72+0.02, $K72, $C72, ($I72-$B$1)/365, $G72, $H72, $D72) - BSPrice($B72,$J72, $K72, $C72, ($I72-$B$1)/365, $G72, $H72, $D72)) * $F72</f>
        <v/>
      </c>
      <c r="AP72" s="78">
        <f>(BSPrice($B72,$J72+0.05, $K72, $C72, ($I72-$B$1)/365, $G72, $H72, $D72) - BSPrice($B72,$J72, $K72, $C72, ($I72-$B$1)/365, $G72, $H72, $D72)) * $F72</f>
        <v/>
      </c>
      <c r="AQ72" s="78">
        <f>(BSPrice($B72,$J72+0.1, $K72, $C72, ($I72-$B$1)/365, $G72, $H72, $D72) - BSPrice($B72,$J72, $K72, $C72, ($I72-$B$1)/365, $G72, $H72, $D72)) * $F72</f>
        <v/>
      </c>
      <c r="AR72" s="60">
        <f>(BSPrice($B72*0.8,$J72+-0.05, $K72, $C72, ($I72-$B$1)/365, $G72, $H72, $D72) - BSPrice($B72,$J72, $K72, $C72, ($I72-$B$1)/365, $G72, $H72, $D72)) * $F72</f>
        <v/>
      </c>
      <c r="AS72" s="60">
        <f>(BSPrice($B72*0.8,$J72+-0.02, $K72, $C72, ($I72-$B$1)/365, $G72, $H72, $D72) - BSPrice($B72,$J72, $K72, $C72, ($I72-$B$1)/365, $G72, $H72, $D72)) * $F72</f>
        <v/>
      </c>
      <c r="AT72" s="60">
        <f>(BSPrice($B72*0.8,$J72+0, $K72, $C72, ($I72-$B$1)/365, $G72, $H72, $D72) - BSPrice($B72,$J72, $K72, $C72, ($I72-$B$1)/365, $G72, $H72, $D72)) * $F72</f>
        <v/>
      </c>
      <c r="AU72" s="60">
        <f>(BSPrice($B72*0.8,$J72+0.02, $K72, $C72, ($I72-$B$1)/365, $G72, $H72, $D72) - BSPrice($B72,$J72, $K72, $C72, ($I72-$B$1)/365, $G72, $H72, $D72)) * $F72</f>
        <v/>
      </c>
      <c r="AV72" s="60">
        <f>(BSPrice($B72*0.8,$J72+0.05, $K72, $C72, ($I72-$B$1)/365, $G72, $H72, $D72) - BSPrice($B72,$J72, $K72, $C72, ($I72-$B$1)/365, $G72, $H72, $D72)) * $F72</f>
        <v/>
      </c>
      <c r="AW72" s="60">
        <f>(BSPrice($B72*0.8,$J72+0.1, $K72, $C72, ($I72-$B$1)/365, $G72, $H72, $D72) - BSPrice($B72,$J72, $K72, $C72, ($I72-$B$1)/365, $G72, $H72, $D72)) * $F72</f>
        <v/>
      </c>
      <c r="AX72" s="60">
        <f>(BSPrice($B72*0.8,$J72+0.2, $K72, $C72, ($I72-$B$1)/365, $G72, $H72, $D72) - BSPrice($B72,$J72, $K72, $C72, ($I72-$B$1)/365, $G72, $H72, $D72)) * $F72</f>
        <v/>
      </c>
      <c r="AY72" s="60">
        <f>(BSPrice($B72*0.9,$J72+-0.05, $K72, $C72, ($I72-$B$1)/365, $G72, $H72, $D72) - BSPrice($B72,$J72, $K72, $C72, ($I72-$B$1)/365, $G72, $H72, $D72)) * $F72</f>
        <v/>
      </c>
      <c r="AZ72" s="60">
        <f>(BSPrice($B72*0.9,$J72+-0.02, $K72, $C72, ($I72-$B$1)/365, $G72, $H72, $D72) - BSPrice($B72,$J72, $K72, $C72, ($I72-$B$1)/365, $G72, $H72, $D72)) * $F72</f>
        <v/>
      </c>
      <c r="BA72" s="60">
        <f>(BSPrice($B72*0.9,$J72+0, $K72, $C72, ($I72-$B$1)/365, $G72, $H72, $D72) - BSPrice($B72,$J72, $K72, $C72, ($I72-$B$1)/365, $G72, $H72, $D72)) * $F72</f>
        <v/>
      </c>
      <c r="BB72" s="60">
        <f>(BSPrice($B72*0.9,$J72+0.02, $K72, $C72, ($I72-$B$1)/365, $G72, $H72, $D72) - BSPrice($B72,$J72, $K72, $C72, ($I72-$B$1)/365, $G72, $H72, $D72)) * $F72</f>
        <v/>
      </c>
      <c r="BC72" s="60">
        <f>(BSPrice($B72*0.9,$J72+0.05, $K72, $C72, ($I72-$B$1)/365, $G72, $H72, $D72) - BSPrice($B72,$J72, $K72, $C72, ($I72-$B$1)/365, $G72, $H72, $D72)) * $F72</f>
        <v/>
      </c>
      <c r="BD72" s="60">
        <f>(BSPrice($B72*0.9,$J72+0.1, $K72, $C72, ($I72-$B$1)/365, $G72, $H72, $D72) - BSPrice($B72,$J72, $K72, $C72, ($I72-$B$1)/365, $G72, $H72, $D72)) * $F72</f>
        <v/>
      </c>
      <c r="BE72" s="60">
        <f>(BSPrice($B72*0.9,$J72+0.2, $K72, $C72, ($I72-$B$1)/365, $G72, $H72, $D72) - BSPrice($B72,$J72, $K72, $C72, ($I72-$B$1)/365, $G72, $H72, $D72)) * $F72</f>
        <v/>
      </c>
      <c r="BF72" s="60">
        <f>(BSPrice($B72*0.95,$J72+-0.05, $K72, $C72, ($I72-$B$1)/365, $G72, $H72, $D72) - BSPrice($B72,$J72, $K72, $C72, ($I72-$B$1)/365, $G72, $H72, $D72)) * $F72</f>
        <v/>
      </c>
      <c r="BG72" s="60">
        <f>(BSPrice($B72*0.95,$J72+-0.02, $K72, $C72, ($I72-$B$1)/365, $G72, $H72, $D72) - BSPrice($B72,$J72, $K72, $C72, ($I72-$B$1)/365, $G72, $H72, $D72)) * $F72</f>
        <v/>
      </c>
      <c r="BH72" s="60">
        <f>(BSPrice($B72*0.95,$J72+0, $K72, $C72, ($I72-$B$1)/365, $G72, $H72, $D72) - BSPrice($B72,$J72, $K72, $C72, ($I72-$B$1)/365, $G72, $H72, $D72)) * $F72</f>
        <v/>
      </c>
      <c r="BI72" s="60">
        <f>(BSPrice($B72*0.95,$J72+0.02, $K72, $C72, ($I72-$B$1)/365, $G72, $H72, $D72) - BSPrice($B72,$J72, $K72, $C72, ($I72-$B$1)/365, $G72, $H72, $D72)) * $F72</f>
        <v/>
      </c>
      <c r="BJ72" s="60">
        <f>(BSPrice($B72*0.95,$J72+0.05, $K72, $C72, ($I72-$B$1)/365, $G72, $H72, $D72) - BSPrice($B72,$J72, $K72, $C72, ($I72-$B$1)/365, $G72, $H72, $D72)) * $F72</f>
        <v/>
      </c>
      <c r="BK72" s="60">
        <f>(BSPrice($B72*0.95,$J72+0.1, $K72, $C72, ($I72-$B$1)/365, $G72, $H72, $D72) - BSPrice($B72,$J72, $K72, $C72, ($I72-$B$1)/365, $G72, $H72, $D72)) * $F72</f>
        <v/>
      </c>
      <c r="BL72" s="60">
        <f>(BSPrice($B72*0.95,$J72+0.2, $K72, $C72, ($I72-$B$1)/365, $G72, $H72, $D72) - BSPrice($B72,$J72, $K72, $C72, ($I72-$B$1)/365, $G72, $H72, $D72)) * $F72</f>
        <v/>
      </c>
      <c r="BM72" s="60">
        <f>(BSPrice($B72*1,$J72+-0.05, $K72, $C72, ($I72-$B$1)/365, $G72, $H72, $D72) - BSPrice($B72,$J72, $K72, $C72, ($I72-$B$1)/365, $G72, $H72, $D72)) * $F72</f>
        <v/>
      </c>
      <c r="BN72" s="60">
        <f>(BSPrice($B72*1,$J72+-0.02, $K72, $C72, ($I72-$B$1)/365, $G72, $H72, $D72) - BSPrice($B72,$J72, $K72, $C72, ($I72-$B$1)/365, $G72, $H72, $D72)) * $F72</f>
        <v/>
      </c>
      <c r="BO72" s="60">
        <f>(BSPrice($B72*1,$J72+0, $K72, $C72, ($I72-$B$1)/365, $G72, $H72, $D72) - BSPrice($B72,$J72, $K72, $C72, ($I72-$B$1)/365, $G72, $H72, $D72)) * $F72</f>
        <v/>
      </c>
      <c r="BP72" s="60">
        <f>(BSPrice($B72*1,$J72+0.02, $K72, $C72, ($I72-$B$1)/365, $G72, $H72, $D72) - BSPrice($B72,$J72, $K72, $C72, ($I72-$B$1)/365, $G72, $H72, $D72)) * $F72</f>
        <v/>
      </c>
      <c r="BQ72" s="60">
        <f>(BSPrice($B72*1,$J72+0.05, $K72, $C72, ($I72-$B$1)/365, $G72, $H72, $D72) - BSPrice($B72,$J72, $K72, $C72, ($I72-$B$1)/365, $G72, $H72, $D72)) * $F72</f>
        <v/>
      </c>
      <c r="BR72" s="60">
        <f>(BSPrice($B72*1,$J72+0.1, $K72, $C72, ($I72-$B$1)/365, $G72, $H72, $D72) - BSPrice($B72,$J72, $K72, $C72, ($I72-$B$1)/365, $G72, $H72, $D72)) * $F72</f>
        <v/>
      </c>
      <c r="BS72" s="60">
        <f>(BSPrice($B72*1,$J72+0.2, $K72, $C72, ($I72-$B$1)/365, $G72, $H72, $D72) - BSPrice($B72,$J72, $K72, $C72, ($I72-$B$1)/365, $G72, $H72, $D72)) * $F72</f>
        <v/>
      </c>
      <c r="BT72" s="60">
        <f>(BSPrice($B72*1.05,$J72+-0.05, $K72, $C72, ($I72-$B$1)/365, $G72, $H72, $D72) - BSPrice($B72,$J72, $K72, $C72, ($I72-$B$1)/365, $G72, $H72, $D72)) * $F72</f>
        <v/>
      </c>
      <c r="BU72" s="60">
        <f>(BSPrice($B72*1.05,$J72+-0.02, $K72, $C72, ($I72-$B$1)/365, $G72, $H72, $D72) - BSPrice($B72,$J72, $K72, $C72, ($I72-$B$1)/365, $G72, $H72, $D72)) * $F72</f>
        <v/>
      </c>
      <c r="BV72" s="60">
        <f>(BSPrice($B72*1.05,$J72+0, $K72, $C72, ($I72-$B$1)/365, $G72, $H72, $D72) - BSPrice($B72,$J72, $K72, $C72, ($I72-$B$1)/365, $G72, $H72, $D72)) * $F72</f>
        <v/>
      </c>
      <c r="BW72" s="60">
        <f>(BSPrice($B72*1.05,$J72+0.02, $K72, $C72, ($I72-$B$1)/365, $G72, $H72, $D72) - BSPrice($B72,$J72, $K72, $C72, ($I72-$B$1)/365, $G72, $H72, $D72)) * $F72</f>
        <v/>
      </c>
      <c r="BX72" s="60">
        <f>(BSPrice($B72*1.05,$J72+0.05, $K72, $C72, ($I72-$B$1)/365, $G72, $H72, $D72) - BSPrice($B72,$J72, $K72, $C72, ($I72-$B$1)/365, $G72, $H72, $D72)) * $F72</f>
        <v/>
      </c>
      <c r="BY72" s="60">
        <f>(BSPrice($B72*1.05,$J72+0.1, $K72, $C72, ($I72-$B$1)/365, $G72, $H72, $D72) - BSPrice($B72,$J72, $K72, $C72, ($I72-$B$1)/365, $G72, $H72, $D72)) * $F72</f>
        <v/>
      </c>
      <c r="BZ72" s="60">
        <f>(BSPrice($B72*1.05,$J72+0.2, $K72, $C72, ($I72-$B$1)/365, $G72, $H72, $D72) - BSPrice($B72,$J72, $K72, $C72, ($I72-$B$1)/365, $G72, $H72, $D72)) * $F72</f>
        <v/>
      </c>
      <c r="CA72" s="60">
        <f>(BSPrice($B72*1.1,$J72+-0.05, $K72, $C72, ($I72-$B$1)/365, $G72, $H72, $D72) - BSPrice($B72,$J72, $K72, $C72, ($I72-$B$1)/365, $G72, $H72, $D72)) * $F72</f>
        <v/>
      </c>
      <c r="CB72" s="60">
        <f>(BSPrice($B72*1.1,$J72+-0.02, $K72, $C72, ($I72-$B$1)/365, $G72, $H72, $D72) - BSPrice($B72,$J72, $K72, $C72, ($I72-$B$1)/365, $G72, $H72, $D72)) * $F72</f>
        <v/>
      </c>
      <c r="CC72" s="60">
        <f>(BSPrice($B72*1.1,$J72+0, $K72, $C72, ($I72-$B$1)/365, $G72, $H72, $D72) - BSPrice($B72,$J72, $K72, $C72, ($I72-$B$1)/365, $G72, $H72, $D72)) * $F72</f>
        <v/>
      </c>
      <c r="CD72" s="60">
        <f>(BSPrice($B72*1.1,$J72+0.02, $K72, $C72, ($I72-$B$1)/365, $G72, $H72, $D72) - BSPrice($B72,$J72, $K72, $C72, ($I72-$B$1)/365, $G72, $H72, $D72)) * $F72</f>
        <v/>
      </c>
      <c r="CE72" s="60">
        <f>(BSPrice($B72*1.1,$J72+0.05, $K72, $C72, ($I72-$B$1)/365, $G72, $H72, $D72) - BSPrice($B72,$J72, $K72, $C72, ($I72-$B$1)/365, $G72, $H72, $D72)) * $F72</f>
        <v/>
      </c>
      <c r="CF72" s="60">
        <f>(BSPrice($B72*1.1,$J72+0.1, $K72, $C72, ($I72-$B$1)/365, $G72, $H72, $D72) - BSPrice($B72,$J72, $K72, $C72, ($I72-$B$1)/365, $G72, $H72, $D72)) * $F72</f>
        <v/>
      </c>
      <c r="CG72" s="60">
        <f>(BSPrice($B72*1.1,$J72+0.2, $K72, $C72, ($I72-$B$1)/365, $G72, $H72, $D72) - BSPrice($B72,$J72, $K72, $C72, ($I72-$B$1)/365, $G72, $H72, $D72)) * $F72</f>
        <v/>
      </c>
      <c r="CH72" s="60">
        <f>(BSPrice($B72*1.2,$J72+-0.05, $K72, $C72, ($I72-$B$1)/365, $G72, $H72, $D72) - BSPrice($B72,$J72, $K72, $C72, ($I72-$B$1)/365, $G72, $H72, $D72)) * $F72</f>
        <v/>
      </c>
      <c r="CI72" s="60">
        <f>(BSPrice($B72*1.2,$J72+-0.02, $K72, $C72, ($I72-$B$1)/365, $G72, $H72, $D72) - BSPrice($B72,$J72, $K72, $C72, ($I72-$B$1)/365, $G72, $H72, $D72)) * $F72</f>
        <v/>
      </c>
      <c r="CJ72" s="60">
        <f>(BSPrice($B72*1.2,$J72+0, $K72, $C72, ($I72-$B$1)/365, $G72, $H72, $D72) - BSPrice($B72,$J72, $K72, $C72, ($I72-$B$1)/365, $G72, $H72, $D72)) * $F72</f>
        <v/>
      </c>
      <c r="CK72" s="60">
        <f>(BSPrice($B72*1.2,$J72+0.02, $K72, $C72, ($I72-$B$1)/365, $G72, $H72, $D72) - BSPrice($B72,$J72, $K72, $C72, ($I72-$B$1)/365, $G72, $H72, $D72)) * $F72</f>
        <v/>
      </c>
      <c r="CL72" s="60">
        <f>(BSPrice($B72*1.2,$J72+0.05, $K72, $C72, ($I72-$B$1)/365, $G72, $H72, $D72) - BSPrice($B72,$J72, $K72, $C72, ($I72-$B$1)/365, $G72, $H72, $D72)) * $F72</f>
        <v/>
      </c>
      <c r="CM72" s="60">
        <f>(BSPrice($B72*1.2,$J72+0.1, $K72, $C72, ($I72-$B$1)/365, $G72, $H72, $D72) - BSPrice($B72,$J72, $K72, $C72, ($I72-$B$1)/365, $G72, $H72, $D72)) * $F72</f>
        <v/>
      </c>
      <c r="CN72" s="60">
        <f>(BSPrice($B72*1.2,$J72+0.2, $K72, $C72, ($I72-$B$1)/365, $G72, $H72, $D72) - BSPrice($B72,$J72, $K72, $C72, ($I72-$B$1)/365, $G72, $H72, $D72)) * $F72</f>
        <v/>
      </c>
    </row>
    <row r="73">
      <c r="A73" s="3" t="inlineStr">
        <is>
          <t>NKY Index</t>
        </is>
      </c>
      <c r="B73" s="4">
        <f>VLOOKUP(A73,PriceData!$K$4:$L$6,2,FALSE)</f>
        <v/>
      </c>
      <c r="C73" s="46">
        <f>VLOOKUP(A73,PriceData!$K$4:$M$6,3,FALSE)</f>
        <v/>
      </c>
      <c r="D73" s="4" t="inlineStr">
        <is>
          <t>Option</t>
        </is>
      </c>
      <c r="E73" s="4" t="inlineStr">
        <is>
          <t>JPY</t>
        </is>
      </c>
      <c r="F73" s="4" t="n">
        <v>-25</v>
      </c>
      <c r="G73" t="n">
        <v>10022</v>
      </c>
      <c r="H73" s="4" t="inlineStr">
        <is>
          <t>Put</t>
        </is>
      </c>
      <c r="I73" s="5" t="n">
        <v>40347</v>
      </c>
      <c r="J73" s="46">
        <f>FindImpliedVol(A73, D73, G73, I73)</f>
        <v/>
      </c>
      <c r="K73" s="30">
        <f>VLOOKUP(I73,PriceData!$A$5:$D$7,MATCH($E73,PriceData!$A$4:$D$4,0),FALSE)</f>
        <v/>
      </c>
      <c r="L73" s="2">
        <f>BSPrice($B73,$J73, $K73, $C73, ($I73-$B$1)/365, $G73, $H73, $D73)</f>
        <v/>
      </c>
      <c r="M73" s="2">
        <f>F73*L73</f>
        <v/>
      </c>
      <c r="N73" s="4" t="inlineStr">
        <is>
          <t>Exch</t>
        </is>
      </c>
      <c r="P73" s="60">
        <f>BSDelta(B73, J73, K73, C73, (I73-$B$1)/365, G73, H73, D73)</f>
        <v/>
      </c>
      <c r="Q73" s="60">
        <f>BSGamma(B73, J73, K73, C73, (I73-$B$1)/365, G73, D73)</f>
        <v/>
      </c>
      <c r="R73" s="58">
        <f>BSVega(B73, J73, K73, C73, (I73-$B$1)/365,G73, D73)</f>
        <v/>
      </c>
      <c r="S73" s="58">
        <f>BSVolga(B73, J73, K73, C73, (I73-$B$1)/365,G73, D73)</f>
        <v/>
      </c>
      <c r="T73" s="58">
        <f>BSVanna(B73,J73,K73, C73, (I73-$B$1)/365, G73, D73)</f>
        <v/>
      </c>
      <c r="U73" s="2">
        <f>BSRho(B73, J73, K73, C73, (I73-$B$1)/365, G73, H73, D73)</f>
        <v/>
      </c>
      <c r="V73" s="65">
        <f>$F73*$P73</f>
        <v/>
      </c>
      <c r="W73" s="65">
        <f>$F73*$Q73</f>
        <v/>
      </c>
      <c r="X73" s="78">
        <f>$F73*R73</f>
        <v/>
      </c>
      <c r="Y73" s="78">
        <f>$F73*S73</f>
        <v/>
      </c>
      <c r="Z73" s="78">
        <f>$F73*T73</f>
        <v/>
      </c>
      <c r="AA73" s="78">
        <f>$F73*U73</f>
        <v/>
      </c>
      <c r="AB73" s="78">
        <f>(BSPrice($B73*0.8,$J73, $K73, $C73, ($I73-$B$1)/365, $G73, $H73, $D73) - BSPrice($B73,$J73, $K73, $C73, ($I73-$B$1)/365, $G73, $H73, $D73)) * $F73</f>
        <v/>
      </c>
      <c r="AC73" s="78">
        <f>(BSPrice($B73*0.9,$J73, $K73, $C73, ($I73-$B$1)/365, $G73, $H73, $D73) - BSPrice($B73,$J73, $K73, $C73, ($I73-$B$1)/365, $G73, $H73, $D73)) * $F73</f>
        <v/>
      </c>
      <c r="AD73" s="78">
        <f>(BSPrice($B73*0.95,$J73, $K73, $C73, ($I73-$B$1)/365, $G73, $H73, $D73) - BSPrice($B73,$J73, $K73, $C73, ($I73-$B$1)/365, $G73, $H73, $D73)) * $F73</f>
        <v/>
      </c>
      <c r="AE73" s="78">
        <f>(BSPrice($B73*0.98,$J73, $K73, $C73, ($I73-$B$1)/365, $G73, $H73, $D73) - BSPrice($B73,$J73, $K73, $C73, ($I73-$B$1)/365, $G73, $H73, $D73)) * $F73</f>
        <v/>
      </c>
      <c r="AF73" s="78">
        <f>(BSPrice($B73*1.02,$J73, $K73, $C73, ($I73-$B$1)/365, $G73, $H73, $D73) - BSPrice($B73,$J73, $K73, $C73, ($I73-$B$1)/365, $G73, $H73, $D73)) * $F73</f>
        <v/>
      </c>
      <c r="AG73" s="78">
        <f>(BSPrice($B73*1.05,$J73, $K73, $C73, ($I73-$B$1)/365, $G73, $H73, $D73) - BSPrice($B73,$J73, $K73, $C73, ($I73-$B$1)/365, $G73, $H73, $D73)) * $F73</f>
        <v/>
      </c>
      <c r="AH73" s="78">
        <f>(BSPrice($B73*1.1,$J73, $K73, $C73, ($I73-$B$1)/365, $G73, $H73, $D73) - BSPrice($B73,$J73, $K73, $C73, ($I73-$B$1)/365, $G73, $H73, $D73)) * $F73</f>
        <v/>
      </c>
      <c r="AI73" s="78">
        <f>(BSPrice($B73*1.2,$J73, $K73, $C73, ($I73-$B$1)/365, $G73, $H73, $D73) - BSPrice($B73,$J73, $K73, $C73, ($I73-$B$1)/365, $G73, $H73, $D73)) * $F73</f>
        <v/>
      </c>
      <c r="AJ73" s="78">
        <f>(BSPrice($B73,$J73-0.1, $K73, $C73, ($I73-$B$1)/365, $G73, $H73, $D73) - BSPrice($B73,$J73, $K73, $C73, ($I73-$B$1)/365, $G73, $H73, $D73)) * $F73</f>
        <v/>
      </c>
      <c r="AK73" s="78">
        <f>(BSPrice($B73,$J73-0.05,$K73,$C73,($I73-$B$1)/365,$G73,$H73,$D73)-BSPrice($B73,$J73,$K73,$C73,($I73-$B$1)/365,$G73,$H73,$D73))*$F73</f>
        <v/>
      </c>
      <c r="AL73" s="78">
        <f>(BSPrice($B73,$J73-0.02, $K73, $C73, ($I73-$B$1)/365, $G73, $H73, $D73) - BSPrice($B73,$J73, $K73, $C73, ($I73-$B$1)/365, $G73, $H73, $D73)) * $F73</f>
        <v/>
      </c>
      <c r="AM73" s="78">
        <f>(BSPrice($B73,$J73-0.01, $K73, $C73, ($I73-$B$1)/365, $G73, $H73, $D73) - BSPrice($B73,$J73, $K73, $C73, ($I73-$B$1)/365, $G73, $H73, $D73)) * $F73</f>
        <v/>
      </c>
      <c r="AN73" s="78">
        <f>(BSPrice($B73,$J73+0.01, $K73, $C73, ($I73-$B$1)/365, $G73, $H73, $D73) - BSPrice($B73,$J73, $K73, $C73, ($I73-$B$1)/365, $G73, $H73, $D73)) * $F73</f>
        <v/>
      </c>
      <c r="AO73" s="78">
        <f>(BSPrice($B73,$J73+0.02, $K73, $C73, ($I73-$B$1)/365, $G73, $H73, $D73) - BSPrice($B73,$J73, $K73, $C73, ($I73-$B$1)/365, $G73, $H73, $D73)) * $F73</f>
        <v/>
      </c>
      <c r="AP73" s="78">
        <f>(BSPrice($B73,$J73+0.05, $K73, $C73, ($I73-$B$1)/365, $G73, $H73, $D73) - BSPrice($B73,$J73, $K73, $C73, ($I73-$B$1)/365, $G73, $H73, $D73)) * $F73</f>
        <v/>
      </c>
      <c r="AQ73" s="78">
        <f>(BSPrice($B73,$J73+0.1, $K73, $C73, ($I73-$B$1)/365, $G73, $H73, $D73) - BSPrice($B73,$J73, $K73, $C73, ($I73-$B$1)/365, $G73, $H73, $D73)) * $F73</f>
        <v/>
      </c>
      <c r="AR73" s="60">
        <f>(BSPrice($B73*0.8,$J73+-0.05, $K73, $C73, ($I73-$B$1)/365, $G73, $H73, $D73) - BSPrice($B73,$J73, $K73, $C73, ($I73-$B$1)/365, $G73, $H73, $D73)) * $F73</f>
        <v/>
      </c>
      <c r="AS73" s="60">
        <f>(BSPrice($B73*0.8,$J73+-0.02, $K73, $C73, ($I73-$B$1)/365, $G73, $H73, $D73) - BSPrice($B73,$J73, $K73, $C73, ($I73-$B$1)/365, $G73, $H73, $D73)) * $F73</f>
        <v/>
      </c>
      <c r="AT73" s="60">
        <f>(BSPrice($B73*0.8,$J73+0, $K73, $C73, ($I73-$B$1)/365, $G73, $H73, $D73) - BSPrice($B73,$J73, $K73, $C73, ($I73-$B$1)/365, $G73, $H73, $D73)) * $F73</f>
        <v/>
      </c>
      <c r="AU73" s="60">
        <f>(BSPrice($B73*0.8,$J73+0.02, $K73, $C73, ($I73-$B$1)/365, $G73, $H73, $D73) - BSPrice($B73,$J73, $K73, $C73, ($I73-$B$1)/365, $G73, $H73, $D73)) * $F73</f>
        <v/>
      </c>
      <c r="AV73" s="60">
        <f>(BSPrice($B73*0.8,$J73+0.05, $K73, $C73, ($I73-$B$1)/365, $G73, $H73, $D73) - BSPrice($B73,$J73, $K73, $C73, ($I73-$B$1)/365, $G73, $H73, $D73)) * $F73</f>
        <v/>
      </c>
      <c r="AW73" s="60">
        <f>(BSPrice($B73*0.8,$J73+0.1, $K73, $C73, ($I73-$B$1)/365, $G73, $H73, $D73) - BSPrice($B73,$J73, $K73, $C73, ($I73-$B$1)/365, $G73, $H73, $D73)) * $F73</f>
        <v/>
      </c>
      <c r="AX73" s="60">
        <f>(BSPrice($B73*0.8,$J73+0.2, $K73, $C73, ($I73-$B$1)/365, $G73, $H73, $D73) - BSPrice($B73,$J73, $K73, $C73, ($I73-$B$1)/365, $G73, $H73, $D73)) * $F73</f>
        <v/>
      </c>
      <c r="AY73" s="60">
        <f>(BSPrice($B73*0.9,$J73+-0.05, $K73, $C73, ($I73-$B$1)/365, $G73, $H73, $D73) - BSPrice($B73,$J73, $K73, $C73, ($I73-$B$1)/365, $G73, $H73, $D73)) * $F73</f>
        <v/>
      </c>
      <c r="AZ73" s="60">
        <f>(BSPrice($B73*0.9,$J73+-0.02, $K73, $C73, ($I73-$B$1)/365, $G73, $H73, $D73) - BSPrice($B73,$J73, $K73, $C73, ($I73-$B$1)/365, $G73, $H73, $D73)) * $F73</f>
        <v/>
      </c>
      <c r="BA73" s="60">
        <f>(BSPrice($B73*0.9,$J73+0, $K73, $C73, ($I73-$B$1)/365, $G73, $H73, $D73) - BSPrice($B73,$J73, $K73, $C73, ($I73-$B$1)/365, $G73, $H73, $D73)) * $F73</f>
        <v/>
      </c>
      <c r="BB73" s="60">
        <f>(BSPrice($B73*0.9,$J73+0.02, $K73, $C73, ($I73-$B$1)/365, $G73, $H73, $D73) - BSPrice($B73,$J73, $K73, $C73, ($I73-$B$1)/365, $G73, $H73, $D73)) * $F73</f>
        <v/>
      </c>
      <c r="BC73" s="60">
        <f>(BSPrice($B73*0.9,$J73+0.05, $K73, $C73, ($I73-$B$1)/365, $G73, $H73, $D73) - BSPrice($B73,$J73, $K73, $C73, ($I73-$B$1)/365, $G73, $H73, $D73)) * $F73</f>
        <v/>
      </c>
      <c r="BD73" s="60">
        <f>(BSPrice($B73*0.9,$J73+0.1, $K73, $C73, ($I73-$B$1)/365, $G73, $H73, $D73) - BSPrice($B73,$J73, $K73, $C73, ($I73-$B$1)/365, $G73, $H73, $D73)) * $F73</f>
        <v/>
      </c>
      <c r="BE73" s="60">
        <f>(BSPrice($B73*0.9,$J73+0.2, $K73, $C73, ($I73-$B$1)/365, $G73, $H73, $D73) - BSPrice($B73,$J73, $K73, $C73, ($I73-$B$1)/365, $G73, $H73, $D73)) * $F73</f>
        <v/>
      </c>
      <c r="BF73" s="60">
        <f>(BSPrice($B73*0.95,$J73+-0.05, $K73, $C73, ($I73-$B$1)/365, $G73, $H73, $D73) - BSPrice($B73,$J73, $K73, $C73, ($I73-$B$1)/365, $G73, $H73, $D73)) * $F73</f>
        <v/>
      </c>
      <c r="BG73" s="60">
        <f>(BSPrice($B73*0.95,$J73+-0.02, $K73, $C73, ($I73-$B$1)/365, $G73, $H73, $D73) - BSPrice($B73,$J73, $K73, $C73, ($I73-$B$1)/365, $G73, $H73, $D73)) * $F73</f>
        <v/>
      </c>
      <c r="BH73" s="60">
        <f>(BSPrice($B73*0.95,$J73+0, $K73, $C73, ($I73-$B$1)/365, $G73, $H73, $D73) - BSPrice($B73,$J73, $K73, $C73, ($I73-$B$1)/365, $G73, $H73, $D73)) * $F73</f>
        <v/>
      </c>
      <c r="BI73" s="60">
        <f>(BSPrice($B73*0.95,$J73+0.02, $K73, $C73, ($I73-$B$1)/365, $G73, $H73, $D73) - BSPrice($B73,$J73, $K73, $C73, ($I73-$B$1)/365, $G73, $H73, $D73)) * $F73</f>
        <v/>
      </c>
      <c r="BJ73" s="60">
        <f>(BSPrice($B73*0.95,$J73+0.05, $K73, $C73, ($I73-$B$1)/365, $G73, $H73, $D73) - BSPrice($B73,$J73, $K73, $C73, ($I73-$B$1)/365, $G73, $H73, $D73)) * $F73</f>
        <v/>
      </c>
      <c r="BK73" s="60">
        <f>(BSPrice($B73*0.95,$J73+0.1, $K73, $C73, ($I73-$B$1)/365, $G73, $H73, $D73) - BSPrice($B73,$J73, $K73, $C73, ($I73-$B$1)/365, $G73, $H73, $D73)) * $F73</f>
        <v/>
      </c>
      <c r="BL73" s="60">
        <f>(BSPrice($B73*0.95,$J73+0.2, $K73, $C73, ($I73-$B$1)/365, $G73, $H73, $D73) - BSPrice($B73,$J73, $K73, $C73, ($I73-$B$1)/365, $G73, $H73, $D73)) * $F73</f>
        <v/>
      </c>
      <c r="BM73" s="60">
        <f>(BSPrice($B73*1,$J73+-0.05, $K73, $C73, ($I73-$B$1)/365, $G73, $H73, $D73) - BSPrice($B73,$J73, $K73, $C73, ($I73-$B$1)/365, $G73, $H73, $D73)) * $F73</f>
        <v/>
      </c>
      <c r="BN73" s="60">
        <f>(BSPrice($B73*1,$J73+-0.02, $K73, $C73, ($I73-$B$1)/365, $G73, $H73, $D73) - BSPrice($B73,$J73, $K73, $C73, ($I73-$B$1)/365, $G73, $H73, $D73)) * $F73</f>
        <v/>
      </c>
      <c r="BO73" s="60">
        <f>(BSPrice($B73*1,$J73+0, $K73, $C73, ($I73-$B$1)/365, $G73, $H73, $D73) - BSPrice($B73,$J73, $K73, $C73, ($I73-$B$1)/365, $G73, $H73, $D73)) * $F73</f>
        <v/>
      </c>
      <c r="BP73" s="60">
        <f>(BSPrice($B73*1,$J73+0.02, $K73, $C73, ($I73-$B$1)/365, $G73, $H73, $D73) - BSPrice($B73,$J73, $K73, $C73, ($I73-$B$1)/365, $G73, $H73, $D73)) * $F73</f>
        <v/>
      </c>
      <c r="BQ73" s="60">
        <f>(BSPrice($B73*1,$J73+0.05, $K73, $C73, ($I73-$B$1)/365, $G73, $H73, $D73) - BSPrice($B73,$J73, $K73, $C73, ($I73-$B$1)/365, $G73, $H73, $D73)) * $F73</f>
        <v/>
      </c>
      <c r="BR73" s="60">
        <f>(BSPrice($B73*1,$J73+0.1, $K73, $C73, ($I73-$B$1)/365, $G73, $H73, $D73) - BSPrice($B73,$J73, $K73, $C73, ($I73-$B$1)/365, $G73, $H73, $D73)) * $F73</f>
        <v/>
      </c>
      <c r="BS73" s="60">
        <f>(BSPrice($B73*1,$J73+0.2, $K73, $C73, ($I73-$B$1)/365, $G73, $H73, $D73) - BSPrice($B73,$J73, $K73, $C73, ($I73-$B$1)/365, $G73, $H73, $D73)) * $F73</f>
        <v/>
      </c>
      <c r="BT73" s="60">
        <f>(BSPrice($B73*1.05,$J73+-0.05, $K73, $C73, ($I73-$B$1)/365, $G73, $H73, $D73) - BSPrice($B73,$J73, $K73, $C73, ($I73-$B$1)/365, $G73, $H73, $D73)) * $F73</f>
        <v/>
      </c>
      <c r="BU73" s="60">
        <f>(BSPrice($B73*1.05,$J73+-0.02, $K73, $C73, ($I73-$B$1)/365, $G73, $H73, $D73) - BSPrice($B73,$J73, $K73, $C73, ($I73-$B$1)/365, $G73, $H73, $D73)) * $F73</f>
        <v/>
      </c>
      <c r="BV73" s="60">
        <f>(BSPrice($B73*1.05,$J73+0, $K73, $C73, ($I73-$B$1)/365, $G73, $H73, $D73) - BSPrice($B73,$J73, $K73, $C73, ($I73-$B$1)/365, $G73, $H73, $D73)) * $F73</f>
        <v/>
      </c>
      <c r="BW73" s="60">
        <f>(BSPrice($B73*1.05,$J73+0.02, $K73, $C73, ($I73-$B$1)/365, $G73, $H73, $D73) - BSPrice($B73,$J73, $K73, $C73, ($I73-$B$1)/365, $G73, $H73, $D73)) * $F73</f>
        <v/>
      </c>
      <c r="BX73" s="60">
        <f>(BSPrice($B73*1.05,$J73+0.05, $K73, $C73, ($I73-$B$1)/365, $G73, $H73, $D73) - BSPrice($B73,$J73, $K73, $C73, ($I73-$B$1)/365, $G73, $H73, $D73)) * $F73</f>
        <v/>
      </c>
      <c r="BY73" s="60">
        <f>(BSPrice($B73*1.05,$J73+0.1, $K73, $C73, ($I73-$B$1)/365, $G73, $H73, $D73) - BSPrice($B73,$J73, $K73, $C73, ($I73-$B$1)/365, $G73, $H73, $D73)) * $F73</f>
        <v/>
      </c>
      <c r="BZ73" s="60">
        <f>(BSPrice($B73*1.05,$J73+0.2, $K73, $C73, ($I73-$B$1)/365, $G73, $H73, $D73) - BSPrice($B73,$J73, $K73, $C73, ($I73-$B$1)/365, $G73, $H73, $D73)) * $F73</f>
        <v/>
      </c>
      <c r="CA73" s="60">
        <f>(BSPrice($B73*1.1,$J73+-0.05, $K73, $C73, ($I73-$B$1)/365, $G73, $H73, $D73) - BSPrice($B73,$J73, $K73, $C73, ($I73-$B$1)/365, $G73, $H73, $D73)) * $F73</f>
        <v/>
      </c>
      <c r="CB73" s="60">
        <f>(BSPrice($B73*1.1,$J73+-0.02, $K73, $C73, ($I73-$B$1)/365, $G73, $H73, $D73) - BSPrice($B73,$J73, $K73, $C73, ($I73-$B$1)/365, $G73, $H73, $D73)) * $F73</f>
        <v/>
      </c>
      <c r="CC73" s="60">
        <f>(BSPrice($B73*1.1,$J73+0, $K73, $C73, ($I73-$B$1)/365, $G73, $H73, $D73) - BSPrice($B73,$J73, $K73, $C73, ($I73-$B$1)/365, $G73, $H73, $D73)) * $F73</f>
        <v/>
      </c>
      <c r="CD73" s="60">
        <f>(BSPrice($B73*1.1,$J73+0.02, $K73, $C73, ($I73-$B$1)/365, $G73, $H73, $D73) - BSPrice($B73,$J73, $K73, $C73, ($I73-$B$1)/365, $G73, $H73, $D73)) * $F73</f>
        <v/>
      </c>
      <c r="CE73" s="60">
        <f>(BSPrice($B73*1.1,$J73+0.05, $K73, $C73, ($I73-$B$1)/365, $G73, $H73, $D73) - BSPrice($B73,$J73, $K73, $C73, ($I73-$B$1)/365, $G73, $H73, $D73)) * $F73</f>
        <v/>
      </c>
      <c r="CF73" s="60">
        <f>(BSPrice($B73*1.1,$J73+0.1, $K73, $C73, ($I73-$B$1)/365, $G73, $H73, $D73) - BSPrice($B73,$J73, $K73, $C73, ($I73-$B$1)/365, $G73, $H73, $D73)) * $F73</f>
        <v/>
      </c>
      <c r="CG73" s="60">
        <f>(BSPrice($B73*1.1,$J73+0.2, $K73, $C73, ($I73-$B$1)/365, $G73, $H73, $D73) - BSPrice($B73,$J73, $K73, $C73, ($I73-$B$1)/365, $G73, $H73, $D73)) * $F73</f>
        <v/>
      </c>
      <c r="CH73" s="60">
        <f>(BSPrice($B73*1.2,$J73+-0.05, $K73, $C73, ($I73-$B$1)/365, $G73, $H73, $D73) - BSPrice($B73,$J73, $K73, $C73, ($I73-$B$1)/365, $G73, $H73, $D73)) * $F73</f>
        <v/>
      </c>
      <c r="CI73" s="60">
        <f>(BSPrice($B73*1.2,$J73+-0.02, $K73, $C73, ($I73-$B$1)/365, $G73, $H73, $D73) - BSPrice($B73,$J73, $K73, $C73, ($I73-$B$1)/365, $G73, $H73, $D73)) * $F73</f>
        <v/>
      </c>
      <c r="CJ73" s="60">
        <f>(BSPrice($B73*1.2,$J73+0, $K73, $C73, ($I73-$B$1)/365, $G73, $H73, $D73) - BSPrice($B73,$J73, $K73, $C73, ($I73-$B$1)/365, $G73, $H73, $D73)) * $F73</f>
        <v/>
      </c>
      <c r="CK73" s="60">
        <f>(BSPrice($B73*1.2,$J73+0.02, $K73, $C73, ($I73-$B$1)/365, $G73, $H73, $D73) - BSPrice($B73,$J73, $K73, $C73, ($I73-$B$1)/365, $G73, $H73, $D73)) * $F73</f>
        <v/>
      </c>
      <c r="CL73" s="60">
        <f>(BSPrice($B73*1.2,$J73+0.05, $K73, $C73, ($I73-$B$1)/365, $G73, $H73, $D73) - BSPrice($B73,$J73, $K73, $C73, ($I73-$B$1)/365, $G73, $H73, $D73)) * $F73</f>
        <v/>
      </c>
      <c r="CM73" s="60">
        <f>(BSPrice($B73*1.2,$J73+0.1, $K73, $C73, ($I73-$B$1)/365, $G73, $H73, $D73) - BSPrice($B73,$J73, $K73, $C73, ($I73-$B$1)/365, $G73, $H73, $D73)) * $F73</f>
        <v/>
      </c>
      <c r="CN73" s="60">
        <f>(BSPrice($B73*1.2,$J73+0.2, $K73, $C73, ($I73-$B$1)/365, $G73, $H73, $D73) - BSPrice($B73,$J73, $K73, $C73, ($I73-$B$1)/365, $G73, $H73, $D73)) * $F73</f>
        <v/>
      </c>
    </row>
    <row r="74">
      <c r="A74" s="3" t="inlineStr">
        <is>
          <t>NKY Index</t>
        </is>
      </c>
      <c r="B74" s="4">
        <f>VLOOKUP(A74,PriceData!$K$4:$L$6,2,FALSE)</f>
        <v/>
      </c>
      <c r="C74" s="46">
        <f>VLOOKUP(A74,PriceData!$K$4:$M$6,3,FALSE)</f>
        <v/>
      </c>
      <c r="D74" s="4" t="inlineStr">
        <is>
          <t>Option</t>
        </is>
      </c>
      <c r="E74" s="4" t="inlineStr">
        <is>
          <t>JPY</t>
        </is>
      </c>
      <c r="F74" s="4" t="n">
        <v>-10</v>
      </c>
      <c r="G74" t="n">
        <v>9120</v>
      </c>
      <c r="H74" s="4" t="inlineStr">
        <is>
          <t>Put</t>
        </is>
      </c>
      <c r="I74" s="5" t="n">
        <v>40347</v>
      </c>
      <c r="J74" s="46">
        <f>FindImpliedVol(A74, D74, G74, I74)</f>
        <v/>
      </c>
      <c r="K74" s="30">
        <f>VLOOKUP(I74,PriceData!$A$5:$D$7,MATCH($E74,PriceData!$A$4:$D$4,0),FALSE)</f>
        <v/>
      </c>
      <c r="L74" s="2">
        <f>BSPrice($B74,$J74, $K74, $C74, ($I74-$B$1)/365, $G74, $H74, $D74)</f>
        <v/>
      </c>
      <c r="M74" s="2">
        <f>F74*L74</f>
        <v/>
      </c>
      <c r="N74" s="4" t="inlineStr">
        <is>
          <t>Exch</t>
        </is>
      </c>
      <c r="P74" s="60">
        <f>BSDelta(B74, J74, K74, C74, (I74-$B$1)/365, G74, H74, D74)</f>
        <v/>
      </c>
      <c r="Q74" s="60">
        <f>BSGamma(B74, J74, K74, C74, (I74-$B$1)/365, G74, D74)</f>
        <v/>
      </c>
      <c r="R74" s="58">
        <f>BSVega(B74, J74, K74, C74, (I74-$B$1)/365,G74, D74)</f>
        <v/>
      </c>
      <c r="S74" s="58">
        <f>BSVolga(B74, J74, K74, C74, (I74-$B$1)/365,G74, D74)</f>
        <v/>
      </c>
      <c r="T74" s="58">
        <f>BSVanna(B74,J74,K74, C74, (I74-$B$1)/365, G74, D74)</f>
        <v/>
      </c>
      <c r="U74" s="2">
        <f>BSRho(B74, J74, K74, C74, (I74-$B$1)/365, G74, H74, D74)</f>
        <v/>
      </c>
      <c r="V74" s="65">
        <f>$F74*$P74</f>
        <v/>
      </c>
      <c r="W74" s="65">
        <f>$F74*$Q74</f>
        <v/>
      </c>
      <c r="X74" s="78">
        <f>$F74*R74</f>
        <v/>
      </c>
      <c r="Y74" s="78">
        <f>$F74*S74</f>
        <v/>
      </c>
      <c r="Z74" s="78">
        <f>$F74*T74</f>
        <v/>
      </c>
      <c r="AA74" s="78">
        <f>$F74*U74</f>
        <v/>
      </c>
      <c r="AB74" s="78">
        <f>(BSPrice($B74*0.8,$J74, $K74, $C74, ($I74-$B$1)/365, $G74, $H74, $D74) - BSPrice($B74,$J74, $K74, $C74, ($I74-$B$1)/365, $G74, $H74, $D74)) * $F74</f>
        <v/>
      </c>
      <c r="AC74" s="78">
        <f>(BSPrice($B74*0.9,$J74, $K74, $C74, ($I74-$B$1)/365, $G74, $H74, $D74) - BSPrice($B74,$J74, $K74, $C74, ($I74-$B$1)/365, $G74, $H74, $D74)) * $F74</f>
        <v/>
      </c>
      <c r="AD74" s="78">
        <f>(BSPrice($B74*0.95,$J74, $K74, $C74, ($I74-$B$1)/365, $G74, $H74, $D74) - BSPrice($B74,$J74, $K74, $C74, ($I74-$B$1)/365, $G74, $H74, $D74)) * $F74</f>
        <v/>
      </c>
      <c r="AE74" s="78">
        <f>(BSPrice($B74*0.98,$J74, $K74, $C74, ($I74-$B$1)/365, $G74, $H74, $D74) - BSPrice($B74,$J74, $K74, $C74, ($I74-$B$1)/365, $G74, $H74, $D74)) * $F74</f>
        <v/>
      </c>
      <c r="AF74" s="78">
        <f>(BSPrice($B74*1.02,$J74, $K74, $C74, ($I74-$B$1)/365, $G74, $H74, $D74) - BSPrice($B74,$J74, $K74, $C74, ($I74-$B$1)/365, $G74, $H74, $D74)) * $F74</f>
        <v/>
      </c>
      <c r="AG74" s="78">
        <f>(BSPrice($B74*1.05,$J74, $K74, $C74, ($I74-$B$1)/365, $G74, $H74, $D74) - BSPrice($B74,$J74, $K74, $C74, ($I74-$B$1)/365, $G74, $H74, $D74)) * $F74</f>
        <v/>
      </c>
      <c r="AH74" s="78">
        <f>(BSPrice($B74*1.1,$J74, $K74, $C74, ($I74-$B$1)/365, $G74, $H74, $D74) - BSPrice($B74,$J74, $K74, $C74, ($I74-$B$1)/365, $G74, $H74, $D74)) * $F74</f>
        <v/>
      </c>
      <c r="AI74" s="78">
        <f>(BSPrice($B74*1.2,$J74, $K74, $C74, ($I74-$B$1)/365, $G74, $H74, $D74) - BSPrice($B74,$J74, $K74, $C74, ($I74-$B$1)/365, $G74, $H74, $D74)) * $F74</f>
        <v/>
      </c>
      <c r="AJ74" s="78">
        <f>(BSPrice($B74,$J74-0.1, $K74, $C74, ($I74-$B$1)/365, $G74, $H74, $D74) - BSPrice($B74,$J74, $K74, $C74, ($I74-$B$1)/365, $G74, $H74, $D74)) * $F74</f>
        <v/>
      </c>
      <c r="AK74" s="78">
        <f>(BSPrice($B74,$J74-0.05,$K74,$C74,($I74-$B$1)/365,$G74,$H74,$D74)-BSPrice($B74,$J74,$K74,$C74,($I74-$B$1)/365,$G74,$H74,$D74))*$F74</f>
        <v/>
      </c>
      <c r="AL74" s="78">
        <f>(BSPrice($B74,$J74-0.02, $K74, $C74, ($I74-$B$1)/365, $G74, $H74, $D74) - BSPrice($B74,$J74, $K74, $C74, ($I74-$B$1)/365, $G74, $H74, $D74)) * $F74</f>
        <v/>
      </c>
      <c r="AM74" s="78">
        <f>(BSPrice($B74,$J74-0.01, $K74, $C74, ($I74-$B$1)/365, $G74, $H74, $D74) - BSPrice($B74,$J74, $K74, $C74, ($I74-$B$1)/365, $G74, $H74, $D74)) * $F74</f>
        <v/>
      </c>
      <c r="AN74" s="78">
        <f>(BSPrice($B74,$J74+0.01, $K74, $C74, ($I74-$B$1)/365, $G74, $H74, $D74) - BSPrice($B74,$J74, $K74, $C74, ($I74-$B$1)/365, $G74, $H74, $D74)) * $F74</f>
        <v/>
      </c>
      <c r="AO74" s="78">
        <f>(BSPrice($B74,$J74+0.02, $K74, $C74, ($I74-$B$1)/365, $G74, $H74, $D74) - BSPrice($B74,$J74, $K74, $C74, ($I74-$B$1)/365, $G74, $H74, $D74)) * $F74</f>
        <v/>
      </c>
      <c r="AP74" s="78">
        <f>(BSPrice($B74,$J74+0.05, $K74, $C74, ($I74-$B$1)/365, $G74, $H74, $D74) - BSPrice($B74,$J74, $K74, $C74, ($I74-$B$1)/365, $G74, $H74, $D74)) * $F74</f>
        <v/>
      </c>
      <c r="AQ74" s="78">
        <f>(BSPrice($B74,$J74+0.1, $K74, $C74, ($I74-$B$1)/365, $G74, $H74, $D74) - BSPrice($B74,$J74, $K74, $C74, ($I74-$B$1)/365, $G74, $H74, $D74)) * $F74</f>
        <v/>
      </c>
      <c r="AR74" s="60">
        <f>(BSPrice($B74*0.8,$J74+-0.05, $K74, $C74, ($I74-$B$1)/365, $G74, $H74, $D74) - BSPrice($B74,$J74, $K74, $C74, ($I74-$B$1)/365, $G74, $H74, $D74)) * $F74</f>
        <v/>
      </c>
      <c r="AS74" s="60">
        <f>(BSPrice($B74*0.8,$J74+-0.02, $K74, $C74, ($I74-$B$1)/365, $G74, $H74, $D74) - BSPrice($B74,$J74, $K74, $C74, ($I74-$B$1)/365, $G74, $H74, $D74)) * $F74</f>
        <v/>
      </c>
      <c r="AT74" s="60">
        <f>(BSPrice($B74*0.8,$J74+0, $K74, $C74, ($I74-$B$1)/365, $G74, $H74, $D74) - BSPrice($B74,$J74, $K74, $C74, ($I74-$B$1)/365, $G74, $H74, $D74)) * $F74</f>
        <v/>
      </c>
      <c r="AU74" s="60">
        <f>(BSPrice($B74*0.8,$J74+0.02, $K74, $C74, ($I74-$B$1)/365, $G74, $H74, $D74) - BSPrice($B74,$J74, $K74, $C74, ($I74-$B$1)/365, $G74, $H74, $D74)) * $F74</f>
        <v/>
      </c>
      <c r="AV74" s="60">
        <f>(BSPrice($B74*0.8,$J74+0.05, $K74, $C74, ($I74-$B$1)/365, $G74, $H74, $D74) - BSPrice($B74,$J74, $K74, $C74, ($I74-$B$1)/365, $G74, $H74, $D74)) * $F74</f>
        <v/>
      </c>
      <c r="AW74" s="60">
        <f>(BSPrice($B74*0.8,$J74+0.1, $K74, $C74, ($I74-$B$1)/365, $G74, $H74, $D74) - BSPrice($B74,$J74, $K74, $C74, ($I74-$B$1)/365, $G74, $H74, $D74)) * $F74</f>
        <v/>
      </c>
      <c r="AX74" s="60">
        <f>(BSPrice($B74*0.8,$J74+0.2, $K74, $C74, ($I74-$B$1)/365, $G74, $H74, $D74) - BSPrice($B74,$J74, $K74, $C74, ($I74-$B$1)/365, $G74, $H74, $D74)) * $F74</f>
        <v/>
      </c>
      <c r="AY74" s="60">
        <f>(BSPrice($B74*0.9,$J74+-0.05, $K74, $C74, ($I74-$B$1)/365, $G74, $H74, $D74) - BSPrice($B74,$J74, $K74, $C74, ($I74-$B$1)/365, $G74, $H74, $D74)) * $F74</f>
        <v/>
      </c>
      <c r="AZ74" s="60">
        <f>(BSPrice($B74*0.9,$J74+-0.02, $K74, $C74, ($I74-$B$1)/365, $G74, $H74, $D74) - BSPrice($B74,$J74, $K74, $C74, ($I74-$B$1)/365, $G74, $H74, $D74)) * $F74</f>
        <v/>
      </c>
      <c r="BA74" s="60">
        <f>(BSPrice($B74*0.9,$J74+0, $K74, $C74, ($I74-$B$1)/365, $G74, $H74, $D74) - BSPrice($B74,$J74, $K74, $C74, ($I74-$B$1)/365, $G74, $H74, $D74)) * $F74</f>
        <v/>
      </c>
      <c r="BB74" s="60">
        <f>(BSPrice($B74*0.9,$J74+0.02, $K74, $C74, ($I74-$B$1)/365, $G74, $H74, $D74) - BSPrice($B74,$J74, $K74, $C74, ($I74-$B$1)/365, $G74, $H74, $D74)) * $F74</f>
        <v/>
      </c>
      <c r="BC74" s="60">
        <f>(BSPrice($B74*0.9,$J74+0.05, $K74, $C74, ($I74-$B$1)/365, $G74, $H74, $D74) - BSPrice($B74,$J74, $K74, $C74, ($I74-$B$1)/365, $G74, $H74, $D74)) * $F74</f>
        <v/>
      </c>
      <c r="BD74" s="60">
        <f>(BSPrice($B74*0.9,$J74+0.1, $K74, $C74, ($I74-$B$1)/365, $G74, $H74, $D74) - BSPrice($B74,$J74, $K74, $C74, ($I74-$B$1)/365, $G74, $H74, $D74)) * $F74</f>
        <v/>
      </c>
      <c r="BE74" s="60">
        <f>(BSPrice($B74*0.9,$J74+0.2, $K74, $C74, ($I74-$B$1)/365, $G74, $H74, $D74) - BSPrice($B74,$J74, $K74, $C74, ($I74-$B$1)/365, $G74, $H74, $D74)) * $F74</f>
        <v/>
      </c>
      <c r="BF74" s="60">
        <f>(BSPrice($B74*0.95,$J74+-0.05, $K74, $C74, ($I74-$B$1)/365, $G74, $H74, $D74) - BSPrice($B74,$J74, $K74, $C74, ($I74-$B$1)/365, $G74, $H74, $D74)) * $F74</f>
        <v/>
      </c>
      <c r="BG74" s="60">
        <f>(BSPrice($B74*0.95,$J74+-0.02, $K74, $C74, ($I74-$B$1)/365, $G74, $H74, $D74) - BSPrice($B74,$J74, $K74, $C74, ($I74-$B$1)/365, $G74, $H74, $D74)) * $F74</f>
        <v/>
      </c>
      <c r="BH74" s="60">
        <f>(BSPrice($B74*0.95,$J74+0, $K74, $C74, ($I74-$B$1)/365, $G74, $H74, $D74) - BSPrice($B74,$J74, $K74, $C74, ($I74-$B$1)/365, $G74, $H74, $D74)) * $F74</f>
        <v/>
      </c>
      <c r="BI74" s="60">
        <f>(BSPrice($B74*0.95,$J74+0.02, $K74, $C74, ($I74-$B$1)/365, $G74, $H74, $D74) - BSPrice($B74,$J74, $K74, $C74, ($I74-$B$1)/365, $G74, $H74, $D74)) * $F74</f>
        <v/>
      </c>
      <c r="BJ74" s="60">
        <f>(BSPrice($B74*0.95,$J74+0.05, $K74, $C74, ($I74-$B$1)/365, $G74, $H74, $D74) - BSPrice($B74,$J74, $K74, $C74, ($I74-$B$1)/365, $G74, $H74, $D74)) * $F74</f>
        <v/>
      </c>
      <c r="BK74" s="60">
        <f>(BSPrice($B74*0.95,$J74+0.1, $K74, $C74, ($I74-$B$1)/365, $G74, $H74, $D74) - BSPrice($B74,$J74, $K74, $C74, ($I74-$B$1)/365, $G74, $H74, $D74)) * $F74</f>
        <v/>
      </c>
      <c r="BL74" s="60">
        <f>(BSPrice($B74*0.95,$J74+0.2, $K74, $C74, ($I74-$B$1)/365, $G74, $H74, $D74) - BSPrice($B74,$J74, $K74, $C74, ($I74-$B$1)/365, $G74, $H74, $D74)) * $F74</f>
        <v/>
      </c>
      <c r="BM74" s="60">
        <f>(BSPrice($B74*1,$J74+-0.05, $K74, $C74, ($I74-$B$1)/365, $G74, $H74, $D74) - BSPrice($B74,$J74, $K74, $C74, ($I74-$B$1)/365, $G74, $H74, $D74)) * $F74</f>
        <v/>
      </c>
      <c r="BN74" s="60">
        <f>(BSPrice($B74*1,$J74+-0.02, $K74, $C74, ($I74-$B$1)/365, $G74, $H74, $D74) - BSPrice($B74,$J74, $K74, $C74, ($I74-$B$1)/365, $G74, $H74, $D74)) * $F74</f>
        <v/>
      </c>
      <c r="BO74" s="60">
        <f>(BSPrice($B74*1,$J74+0, $K74, $C74, ($I74-$B$1)/365, $G74, $H74, $D74) - BSPrice($B74,$J74, $K74, $C74, ($I74-$B$1)/365, $G74, $H74, $D74)) * $F74</f>
        <v/>
      </c>
      <c r="BP74" s="60">
        <f>(BSPrice($B74*1,$J74+0.02, $K74, $C74, ($I74-$B$1)/365, $G74, $H74, $D74) - BSPrice($B74,$J74, $K74, $C74, ($I74-$B$1)/365, $G74, $H74, $D74)) * $F74</f>
        <v/>
      </c>
      <c r="BQ74" s="60">
        <f>(BSPrice($B74*1,$J74+0.05, $K74, $C74, ($I74-$B$1)/365, $G74, $H74, $D74) - BSPrice($B74,$J74, $K74, $C74, ($I74-$B$1)/365, $G74, $H74, $D74)) * $F74</f>
        <v/>
      </c>
      <c r="BR74" s="60">
        <f>(BSPrice($B74*1,$J74+0.1, $K74, $C74, ($I74-$B$1)/365, $G74, $H74, $D74) - BSPrice($B74,$J74, $K74, $C74, ($I74-$B$1)/365, $G74, $H74, $D74)) * $F74</f>
        <v/>
      </c>
      <c r="BS74" s="60">
        <f>(BSPrice($B74*1,$J74+0.2, $K74, $C74, ($I74-$B$1)/365, $G74, $H74, $D74) - BSPrice($B74,$J74, $K74, $C74, ($I74-$B$1)/365, $G74, $H74, $D74)) * $F74</f>
        <v/>
      </c>
      <c r="BT74" s="60">
        <f>(BSPrice($B74*1.05,$J74+-0.05, $K74, $C74, ($I74-$B$1)/365, $G74, $H74, $D74) - BSPrice($B74,$J74, $K74, $C74, ($I74-$B$1)/365, $G74, $H74, $D74)) * $F74</f>
        <v/>
      </c>
      <c r="BU74" s="60">
        <f>(BSPrice($B74*1.05,$J74+-0.02, $K74, $C74, ($I74-$B$1)/365, $G74, $H74, $D74) - BSPrice($B74,$J74, $K74, $C74, ($I74-$B$1)/365, $G74, $H74, $D74)) * $F74</f>
        <v/>
      </c>
      <c r="BV74" s="60">
        <f>(BSPrice($B74*1.05,$J74+0, $K74, $C74, ($I74-$B$1)/365, $G74, $H74, $D74) - BSPrice($B74,$J74, $K74, $C74, ($I74-$B$1)/365, $G74, $H74, $D74)) * $F74</f>
        <v/>
      </c>
      <c r="BW74" s="60">
        <f>(BSPrice($B74*1.05,$J74+0.02, $K74, $C74, ($I74-$B$1)/365, $G74, $H74, $D74) - BSPrice($B74,$J74, $K74, $C74, ($I74-$B$1)/365, $G74, $H74, $D74)) * $F74</f>
        <v/>
      </c>
      <c r="BX74" s="60">
        <f>(BSPrice($B74*1.05,$J74+0.05, $K74, $C74, ($I74-$B$1)/365, $G74, $H74, $D74) - BSPrice($B74,$J74, $K74, $C74, ($I74-$B$1)/365, $G74, $H74, $D74)) * $F74</f>
        <v/>
      </c>
      <c r="BY74" s="60">
        <f>(BSPrice($B74*1.05,$J74+0.1, $K74, $C74, ($I74-$B$1)/365, $G74, $H74, $D74) - BSPrice($B74,$J74, $K74, $C74, ($I74-$B$1)/365, $G74, $H74, $D74)) * $F74</f>
        <v/>
      </c>
      <c r="BZ74" s="60">
        <f>(BSPrice($B74*1.05,$J74+0.2, $K74, $C74, ($I74-$B$1)/365, $G74, $H74, $D74) - BSPrice($B74,$J74, $K74, $C74, ($I74-$B$1)/365, $G74, $H74, $D74)) * $F74</f>
        <v/>
      </c>
      <c r="CA74" s="60">
        <f>(BSPrice($B74*1.1,$J74+-0.05, $K74, $C74, ($I74-$B$1)/365, $G74, $H74, $D74) - BSPrice($B74,$J74, $K74, $C74, ($I74-$B$1)/365, $G74, $H74, $D74)) * $F74</f>
        <v/>
      </c>
      <c r="CB74" s="60">
        <f>(BSPrice($B74*1.1,$J74+-0.02, $K74, $C74, ($I74-$B$1)/365, $G74, $H74, $D74) - BSPrice($B74,$J74, $K74, $C74, ($I74-$B$1)/365, $G74, $H74, $D74)) * $F74</f>
        <v/>
      </c>
      <c r="CC74" s="60">
        <f>(BSPrice($B74*1.1,$J74+0, $K74, $C74, ($I74-$B$1)/365, $G74, $H74, $D74) - BSPrice($B74,$J74, $K74, $C74, ($I74-$B$1)/365, $G74, $H74, $D74)) * $F74</f>
        <v/>
      </c>
      <c r="CD74" s="60">
        <f>(BSPrice($B74*1.1,$J74+0.02, $K74, $C74, ($I74-$B$1)/365, $G74, $H74, $D74) - BSPrice($B74,$J74, $K74, $C74, ($I74-$B$1)/365, $G74, $H74, $D74)) * $F74</f>
        <v/>
      </c>
      <c r="CE74" s="60">
        <f>(BSPrice($B74*1.1,$J74+0.05, $K74, $C74, ($I74-$B$1)/365, $G74, $H74, $D74) - BSPrice($B74,$J74, $K74, $C74, ($I74-$B$1)/365, $G74, $H74, $D74)) * $F74</f>
        <v/>
      </c>
      <c r="CF74" s="60">
        <f>(BSPrice($B74*1.1,$J74+0.1, $K74, $C74, ($I74-$B$1)/365, $G74, $H74, $D74) - BSPrice($B74,$J74, $K74, $C74, ($I74-$B$1)/365, $G74, $H74, $D74)) * $F74</f>
        <v/>
      </c>
      <c r="CG74" s="60">
        <f>(BSPrice($B74*1.1,$J74+0.2, $K74, $C74, ($I74-$B$1)/365, $G74, $H74, $D74) - BSPrice($B74,$J74, $K74, $C74, ($I74-$B$1)/365, $G74, $H74, $D74)) * $F74</f>
        <v/>
      </c>
      <c r="CH74" s="60">
        <f>(BSPrice($B74*1.2,$J74+-0.05, $K74, $C74, ($I74-$B$1)/365, $G74, $H74, $D74) - BSPrice($B74,$J74, $K74, $C74, ($I74-$B$1)/365, $G74, $H74, $D74)) * $F74</f>
        <v/>
      </c>
      <c r="CI74" s="60">
        <f>(BSPrice($B74*1.2,$J74+-0.02, $K74, $C74, ($I74-$B$1)/365, $G74, $H74, $D74) - BSPrice($B74,$J74, $K74, $C74, ($I74-$B$1)/365, $G74, $H74, $D74)) * $F74</f>
        <v/>
      </c>
      <c r="CJ74" s="60">
        <f>(BSPrice($B74*1.2,$J74+0, $K74, $C74, ($I74-$B$1)/365, $G74, $H74, $D74) - BSPrice($B74,$J74, $K74, $C74, ($I74-$B$1)/365, $G74, $H74, $D74)) * $F74</f>
        <v/>
      </c>
      <c r="CK74" s="60">
        <f>(BSPrice($B74*1.2,$J74+0.02, $K74, $C74, ($I74-$B$1)/365, $G74, $H74, $D74) - BSPrice($B74,$J74, $K74, $C74, ($I74-$B$1)/365, $G74, $H74, $D74)) * $F74</f>
        <v/>
      </c>
      <c r="CL74" s="60">
        <f>(BSPrice($B74*1.2,$J74+0.05, $K74, $C74, ($I74-$B$1)/365, $G74, $H74, $D74) - BSPrice($B74,$J74, $K74, $C74, ($I74-$B$1)/365, $G74, $H74, $D74)) * $F74</f>
        <v/>
      </c>
      <c r="CM74" s="60">
        <f>(BSPrice($B74*1.2,$J74+0.1, $K74, $C74, ($I74-$B$1)/365, $G74, $H74, $D74) - BSPrice($B74,$J74, $K74, $C74, ($I74-$B$1)/365, $G74, $H74, $D74)) * $F74</f>
        <v/>
      </c>
      <c r="CN74" s="60">
        <f>(BSPrice($B74*1.2,$J74+0.2, $K74, $C74, ($I74-$B$1)/365, $G74, $H74, $D74) - BSPrice($B74,$J74, $K74, $C74, ($I74-$B$1)/365, $G74, $H74, $D74)) * $F74</f>
        <v/>
      </c>
    </row>
    <row r="75">
      <c r="A75" s="3" t="inlineStr">
        <is>
          <t>NKY Index</t>
        </is>
      </c>
      <c r="B75" s="4">
        <f>VLOOKUP(A75,PriceData!$K$4:$L$6,2,FALSE)</f>
        <v/>
      </c>
      <c r="C75" s="46">
        <f>VLOOKUP(A75,PriceData!$K$4:$M$6,3,FALSE)</f>
        <v/>
      </c>
      <c r="D75" s="4" t="inlineStr">
        <is>
          <t>Option</t>
        </is>
      </c>
      <c r="E75" s="4" t="inlineStr">
        <is>
          <t>JPY</t>
        </is>
      </c>
      <c r="F75" s="4" t="n">
        <v>-15</v>
      </c>
      <c r="G75" t="n">
        <v>9120</v>
      </c>
      <c r="H75" s="4" t="inlineStr">
        <is>
          <t>Put</t>
        </is>
      </c>
      <c r="I75" s="5" t="n">
        <v>40347</v>
      </c>
      <c r="J75" s="46">
        <f>FindImpliedVol(A75, D75, G75, I75)</f>
        <v/>
      </c>
      <c r="K75" s="30">
        <f>VLOOKUP(I75,PriceData!$A$5:$D$7,MATCH($E75,PriceData!$A$4:$D$4,0),FALSE)</f>
        <v/>
      </c>
      <c r="L75" s="2">
        <f>BSPrice($B75,$J75, $K75, $C75, ($I75-$B$1)/365, $G75, $H75, $D75)</f>
        <v/>
      </c>
      <c r="M75" s="2">
        <f>F75*L75</f>
        <v/>
      </c>
      <c r="N75" s="4" t="inlineStr">
        <is>
          <t>GoldMine Sacks</t>
        </is>
      </c>
      <c r="P75" s="60">
        <f>BSDelta(B75, J75, K75, C75, (I75-$B$1)/365, G75, H75, D75)</f>
        <v/>
      </c>
      <c r="Q75" s="60">
        <f>BSGamma(B75, J75, K75, C75, (I75-$B$1)/365, G75, D75)</f>
        <v/>
      </c>
      <c r="R75" s="58">
        <f>BSVega(B75, J75, K75, C75, (I75-$B$1)/365,G75, D75)</f>
        <v/>
      </c>
      <c r="S75" s="58">
        <f>BSVolga(B75, J75, K75, C75, (I75-$B$1)/365,G75, D75)</f>
        <v/>
      </c>
      <c r="T75" s="58">
        <f>BSVanna(B75,J75,K75, C75, (I75-$B$1)/365, G75, D75)</f>
        <v/>
      </c>
      <c r="U75" s="2">
        <f>BSRho(B75, J75, K75, C75, (I75-$B$1)/365, G75, H75, D75)</f>
        <v/>
      </c>
      <c r="V75" s="65">
        <f>$F75*$P75</f>
        <v/>
      </c>
      <c r="W75" s="65">
        <f>$F75*$Q75</f>
        <v/>
      </c>
      <c r="X75" s="78">
        <f>$F75*R75</f>
        <v/>
      </c>
      <c r="Y75" s="78">
        <f>$F75*S75</f>
        <v/>
      </c>
      <c r="Z75" s="78">
        <f>$F75*T75</f>
        <v/>
      </c>
      <c r="AA75" s="78">
        <f>$F75*U75</f>
        <v/>
      </c>
      <c r="AB75" s="78">
        <f>(BSPrice($B75*0.8,$J75, $K75, $C75, ($I75-$B$1)/365, $G75, $H75, $D75) - BSPrice($B75,$J75, $K75, $C75, ($I75-$B$1)/365, $G75, $H75, $D75)) * $F75</f>
        <v/>
      </c>
      <c r="AC75" s="78">
        <f>(BSPrice($B75*0.9,$J75, $K75, $C75, ($I75-$B$1)/365, $G75, $H75, $D75) - BSPrice($B75,$J75, $K75, $C75, ($I75-$B$1)/365, $G75, $H75, $D75)) * $F75</f>
        <v/>
      </c>
      <c r="AD75" s="78">
        <f>(BSPrice($B75*0.95,$J75, $K75, $C75, ($I75-$B$1)/365, $G75, $H75, $D75) - BSPrice($B75,$J75, $K75, $C75, ($I75-$B$1)/365, $G75, $H75, $D75)) * $F75</f>
        <v/>
      </c>
      <c r="AE75" s="78">
        <f>(BSPrice($B75*0.98,$J75, $K75, $C75, ($I75-$B$1)/365, $G75, $H75, $D75) - BSPrice($B75,$J75, $K75, $C75, ($I75-$B$1)/365, $G75, $H75, $D75)) * $F75</f>
        <v/>
      </c>
      <c r="AF75" s="78">
        <f>(BSPrice($B75*1.02,$J75, $K75, $C75, ($I75-$B$1)/365, $G75, $H75, $D75) - BSPrice($B75,$J75, $K75, $C75, ($I75-$B$1)/365, $G75, $H75, $D75)) * $F75</f>
        <v/>
      </c>
      <c r="AG75" s="78">
        <f>(BSPrice($B75*1.05,$J75, $K75, $C75, ($I75-$B$1)/365, $G75, $H75, $D75) - BSPrice($B75,$J75, $K75, $C75, ($I75-$B$1)/365, $G75, $H75, $D75)) * $F75</f>
        <v/>
      </c>
      <c r="AH75" s="78">
        <f>(BSPrice($B75*1.1,$J75, $K75, $C75, ($I75-$B$1)/365, $G75, $H75, $D75) - BSPrice($B75,$J75, $K75, $C75, ($I75-$B$1)/365, $G75, $H75, $D75)) * $F75</f>
        <v/>
      </c>
      <c r="AI75" s="78">
        <f>(BSPrice($B75*1.2,$J75, $K75, $C75, ($I75-$B$1)/365, $G75, $H75, $D75) - BSPrice($B75,$J75, $K75, $C75, ($I75-$B$1)/365, $G75, $H75, $D75)) * $F75</f>
        <v/>
      </c>
      <c r="AJ75" s="78">
        <f>(BSPrice($B75,$J75-0.1, $K75, $C75, ($I75-$B$1)/365, $G75, $H75, $D75) - BSPrice($B75,$J75, $K75, $C75, ($I75-$B$1)/365, $G75, $H75, $D75)) * $F75</f>
        <v/>
      </c>
      <c r="AK75" s="78">
        <f>(BSPrice($B75,$J75-0.05,$K75,$C75,($I75-$B$1)/365,$G75,$H75,$D75)-BSPrice($B75,$J75,$K75,$C75,($I75-$B$1)/365,$G75,$H75,$D75))*$F75</f>
        <v/>
      </c>
      <c r="AL75" s="78">
        <f>(BSPrice($B75,$J75-0.02, $K75, $C75, ($I75-$B$1)/365, $G75, $H75, $D75) - BSPrice($B75,$J75, $K75, $C75, ($I75-$B$1)/365, $G75, $H75, $D75)) * $F75</f>
        <v/>
      </c>
      <c r="AM75" s="78">
        <f>(BSPrice($B75,$J75-0.01, $K75, $C75, ($I75-$B$1)/365, $G75, $H75, $D75) - BSPrice($B75,$J75, $K75, $C75, ($I75-$B$1)/365, $G75, $H75, $D75)) * $F75</f>
        <v/>
      </c>
      <c r="AN75" s="78">
        <f>(BSPrice($B75,$J75+0.01, $K75, $C75, ($I75-$B$1)/365, $G75, $H75, $D75) - BSPrice($B75,$J75, $K75, $C75, ($I75-$B$1)/365, $G75, $H75, $D75)) * $F75</f>
        <v/>
      </c>
      <c r="AO75" s="78">
        <f>(BSPrice($B75,$J75+0.02, $K75, $C75, ($I75-$B$1)/365, $G75, $H75, $D75) - BSPrice($B75,$J75, $K75, $C75, ($I75-$B$1)/365, $G75, $H75, $D75)) * $F75</f>
        <v/>
      </c>
      <c r="AP75" s="78">
        <f>(BSPrice($B75,$J75+0.05, $K75, $C75, ($I75-$B$1)/365, $G75, $H75, $D75) - BSPrice($B75,$J75, $K75, $C75, ($I75-$B$1)/365, $G75, $H75, $D75)) * $F75</f>
        <v/>
      </c>
      <c r="AQ75" s="78">
        <f>(BSPrice($B75,$J75+0.1, $K75, $C75, ($I75-$B$1)/365, $G75, $H75, $D75) - BSPrice($B75,$J75, $K75, $C75, ($I75-$B$1)/365, $G75, $H75, $D75)) * $F75</f>
        <v/>
      </c>
      <c r="AR75" s="60">
        <f>(BSPrice($B75*0.8,$J75+-0.05, $K75, $C75, ($I75-$B$1)/365, $G75, $H75, $D75) - BSPrice($B75,$J75, $K75, $C75, ($I75-$B$1)/365, $G75, $H75, $D75)) * $F75</f>
        <v/>
      </c>
      <c r="AS75" s="60">
        <f>(BSPrice($B75*0.8,$J75+-0.02, $K75, $C75, ($I75-$B$1)/365, $G75, $H75, $D75) - BSPrice($B75,$J75, $K75, $C75, ($I75-$B$1)/365, $G75, $H75, $D75)) * $F75</f>
        <v/>
      </c>
      <c r="AT75" s="60">
        <f>(BSPrice($B75*0.8,$J75+0, $K75, $C75, ($I75-$B$1)/365, $G75, $H75, $D75) - BSPrice($B75,$J75, $K75, $C75, ($I75-$B$1)/365, $G75, $H75, $D75)) * $F75</f>
        <v/>
      </c>
      <c r="AU75" s="60">
        <f>(BSPrice($B75*0.8,$J75+0.02, $K75, $C75, ($I75-$B$1)/365, $G75, $H75, $D75) - BSPrice($B75,$J75, $K75, $C75, ($I75-$B$1)/365, $G75, $H75, $D75)) * $F75</f>
        <v/>
      </c>
      <c r="AV75" s="60">
        <f>(BSPrice($B75*0.8,$J75+0.05, $K75, $C75, ($I75-$B$1)/365, $G75, $H75, $D75) - BSPrice($B75,$J75, $K75, $C75, ($I75-$B$1)/365, $G75, $H75, $D75)) * $F75</f>
        <v/>
      </c>
      <c r="AW75" s="60">
        <f>(BSPrice($B75*0.8,$J75+0.1, $K75, $C75, ($I75-$B$1)/365, $G75, $H75, $D75) - BSPrice($B75,$J75, $K75, $C75, ($I75-$B$1)/365, $G75, $H75, $D75)) * $F75</f>
        <v/>
      </c>
      <c r="AX75" s="60">
        <f>(BSPrice($B75*0.8,$J75+0.2, $K75, $C75, ($I75-$B$1)/365, $G75, $H75, $D75) - BSPrice($B75,$J75, $K75, $C75, ($I75-$B$1)/365, $G75, $H75, $D75)) * $F75</f>
        <v/>
      </c>
      <c r="AY75" s="60">
        <f>(BSPrice($B75*0.9,$J75+-0.05, $K75, $C75, ($I75-$B$1)/365, $G75, $H75, $D75) - BSPrice($B75,$J75, $K75, $C75, ($I75-$B$1)/365, $G75, $H75, $D75)) * $F75</f>
        <v/>
      </c>
      <c r="AZ75" s="60">
        <f>(BSPrice($B75*0.9,$J75+-0.02, $K75, $C75, ($I75-$B$1)/365, $G75, $H75, $D75) - BSPrice($B75,$J75, $K75, $C75, ($I75-$B$1)/365, $G75, $H75, $D75)) * $F75</f>
        <v/>
      </c>
      <c r="BA75" s="60">
        <f>(BSPrice($B75*0.9,$J75+0, $K75, $C75, ($I75-$B$1)/365, $G75, $H75, $D75) - BSPrice($B75,$J75, $K75, $C75, ($I75-$B$1)/365, $G75, $H75, $D75)) * $F75</f>
        <v/>
      </c>
      <c r="BB75" s="60">
        <f>(BSPrice($B75*0.9,$J75+0.02, $K75, $C75, ($I75-$B$1)/365, $G75, $H75, $D75) - BSPrice($B75,$J75, $K75, $C75, ($I75-$B$1)/365, $G75, $H75, $D75)) * $F75</f>
        <v/>
      </c>
      <c r="BC75" s="60">
        <f>(BSPrice($B75*0.9,$J75+0.05, $K75, $C75, ($I75-$B$1)/365, $G75, $H75, $D75) - BSPrice($B75,$J75, $K75, $C75, ($I75-$B$1)/365, $G75, $H75, $D75)) * $F75</f>
        <v/>
      </c>
      <c r="BD75" s="60">
        <f>(BSPrice($B75*0.9,$J75+0.1, $K75, $C75, ($I75-$B$1)/365, $G75, $H75, $D75) - BSPrice($B75,$J75, $K75, $C75, ($I75-$B$1)/365, $G75, $H75, $D75)) * $F75</f>
        <v/>
      </c>
      <c r="BE75" s="60">
        <f>(BSPrice($B75*0.9,$J75+0.2, $K75, $C75, ($I75-$B$1)/365, $G75, $H75, $D75) - BSPrice($B75,$J75, $K75, $C75, ($I75-$B$1)/365, $G75, $H75, $D75)) * $F75</f>
        <v/>
      </c>
      <c r="BF75" s="60">
        <f>(BSPrice($B75*0.95,$J75+-0.05, $K75, $C75, ($I75-$B$1)/365, $G75, $H75, $D75) - BSPrice($B75,$J75, $K75, $C75, ($I75-$B$1)/365, $G75, $H75, $D75)) * $F75</f>
        <v/>
      </c>
      <c r="BG75" s="60">
        <f>(BSPrice($B75*0.95,$J75+-0.02, $K75, $C75, ($I75-$B$1)/365, $G75, $H75, $D75) - BSPrice($B75,$J75, $K75, $C75, ($I75-$B$1)/365, $G75, $H75, $D75)) * $F75</f>
        <v/>
      </c>
      <c r="BH75" s="60">
        <f>(BSPrice($B75*0.95,$J75+0, $K75, $C75, ($I75-$B$1)/365, $G75, $H75, $D75) - BSPrice($B75,$J75, $K75, $C75, ($I75-$B$1)/365, $G75, $H75, $D75)) * $F75</f>
        <v/>
      </c>
      <c r="BI75" s="60">
        <f>(BSPrice($B75*0.95,$J75+0.02, $K75, $C75, ($I75-$B$1)/365, $G75, $H75, $D75) - BSPrice($B75,$J75, $K75, $C75, ($I75-$B$1)/365, $G75, $H75, $D75)) * $F75</f>
        <v/>
      </c>
      <c r="BJ75" s="60">
        <f>(BSPrice($B75*0.95,$J75+0.05, $K75, $C75, ($I75-$B$1)/365, $G75, $H75, $D75) - BSPrice($B75,$J75, $K75, $C75, ($I75-$B$1)/365, $G75, $H75, $D75)) * $F75</f>
        <v/>
      </c>
      <c r="BK75" s="60">
        <f>(BSPrice($B75*0.95,$J75+0.1, $K75, $C75, ($I75-$B$1)/365, $G75, $H75, $D75) - BSPrice($B75,$J75, $K75, $C75, ($I75-$B$1)/365, $G75, $H75, $D75)) * $F75</f>
        <v/>
      </c>
      <c r="BL75" s="60">
        <f>(BSPrice($B75*0.95,$J75+0.2, $K75, $C75, ($I75-$B$1)/365, $G75, $H75, $D75) - BSPrice($B75,$J75, $K75, $C75, ($I75-$B$1)/365, $G75, $H75, $D75)) * $F75</f>
        <v/>
      </c>
      <c r="BM75" s="60">
        <f>(BSPrice($B75*1,$J75+-0.05, $K75, $C75, ($I75-$B$1)/365, $G75, $H75, $D75) - BSPrice($B75,$J75, $K75, $C75, ($I75-$B$1)/365, $G75, $H75, $D75)) * $F75</f>
        <v/>
      </c>
      <c r="BN75" s="60">
        <f>(BSPrice($B75*1,$J75+-0.02, $K75, $C75, ($I75-$B$1)/365, $G75, $H75, $D75) - BSPrice($B75,$J75, $K75, $C75, ($I75-$B$1)/365, $G75, $H75, $D75)) * $F75</f>
        <v/>
      </c>
      <c r="BO75" s="60">
        <f>(BSPrice($B75*1,$J75+0, $K75, $C75, ($I75-$B$1)/365, $G75, $H75, $D75) - BSPrice($B75,$J75, $K75, $C75, ($I75-$B$1)/365, $G75, $H75, $D75)) * $F75</f>
        <v/>
      </c>
      <c r="BP75" s="60">
        <f>(BSPrice($B75*1,$J75+0.02, $K75, $C75, ($I75-$B$1)/365, $G75, $H75, $D75) - BSPrice($B75,$J75, $K75, $C75, ($I75-$B$1)/365, $G75, $H75, $D75)) * $F75</f>
        <v/>
      </c>
      <c r="BQ75" s="60">
        <f>(BSPrice($B75*1,$J75+0.05, $K75, $C75, ($I75-$B$1)/365, $G75, $H75, $D75) - BSPrice($B75,$J75, $K75, $C75, ($I75-$B$1)/365, $G75, $H75, $D75)) * $F75</f>
        <v/>
      </c>
      <c r="BR75" s="60">
        <f>(BSPrice($B75*1,$J75+0.1, $K75, $C75, ($I75-$B$1)/365, $G75, $H75, $D75) - BSPrice($B75,$J75, $K75, $C75, ($I75-$B$1)/365, $G75, $H75, $D75)) * $F75</f>
        <v/>
      </c>
      <c r="BS75" s="60">
        <f>(BSPrice($B75*1,$J75+0.2, $K75, $C75, ($I75-$B$1)/365, $G75, $H75, $D75) - BSPrice($B75,$J75, $K75, $C75, ($I75-$B$1)/365, $G75, $H75, $D75)) * $F75</f>
        <v/>
      </c>
      <c r="BT75" s="60">
        <f>(BSPrice($B75*1.05,$J75+-0.05, $K75, $C75, ($I75-$B$1)/365, $G75, $H75, $D75) - BSPrice($B75,$J75, $K75, $C75, ($I75-$B$1)/365, $G75, $H75, $D75)) * $F75</f>
        <v/>
      </c>
      <c r="BU75" s="60">
        <f>(BSPrice($B75*1.05,$J75+-0.02, $K75, $C75, ($I75-$B$1)/365, $G75, $H75, $D75) - BSPrice($B75,$J75, $K75, $C75, ($I75-$B$1)/365, $G75, $H75, $D75)) * $F75</f>
        <v/>
      </c>
      <c r="BV75" s="60">
        <f>(BSPrice($B75*1.05,$J75+0, $K75, $C75, ($I75-$B$1)/365, $G75, $H75, $D75) - BSPrice($B75,$J75, $K75, $C75, ($I75-$B$1)/365, $G75, $H75, $D75)) * $F75</f>
        <v/>
      </c>
      <c r="BW75" s="60">
        <f>(BSPrice($B75*1.05,$J75+0.02, $K75, $C75, ($I75-$B$1)/365, $G75, $H75, $D75) - BSPrice($B75,$J75, $K75, $C75, ($I75-$B$1)/365, $G75, $H75, $D75)) * $F75</f>
        <v/>
      </c>
      <c r="BX75" s="60">
        <f>(BSPrice($B75*1.05,$J75+0.05, $K75, $C75, ($I75-$B$1)/365, $G75, $H75, $D75) - BSPrice($B75,$J75, $K75, $C75, ($I75-$B$1)/365, $G75, $H75, $D75)) * $F75</f>
        <v/>
      </c>
      <c r="BY75" s="60">
        <f>(BSPrice($B75*1.05,$J75+0.1, $K75, $C75, ($I75-$B$1)/365, $G75, $H75, $D75) - BSPrice($B75,$J75, $K75, $C75, ($I75-$B$1)/365, $G75, $H75, $D75)) * $F75</f>
        <v/>
      </c>
      <c r="BZ75" s="60">
        <f>(BSPrice($B75*1.05,$J75+0.2, $K75, $C75, ($I75-$B$1)/365, $G75, $H75, $D75) - BSPrice($B75,$J75, $K75, $C75, ($I75-$B$1)/365, $G75, $H75, $D75)) * $F75</f>
        <v/>
      </c>
      <c r="CA75" s="60">
        <f>(BSPrice($B75*1.1,$J75+-0.05, $K75, $C75, ($I75-$B$1)/365, $G75, $H75, $D75) - BSPrice($B75,$J75, $K75, $C75, ($I75-$B$1)/365, $G75, $H75, $D75)) * $F75</f>
        <v/>
      </c>
      <c r="CB75" s="60">
        <f>(BSPrice($B75*1.1,$J75+-0.02, $K75, $C75, ($I75-$B$1)/365, $G75, $H75, $D75) - BSPrice($B75,$J75, $K75, $C75, ($I75-$B$1)/365, $G75, $H75, $D75)) * $F75</f>
        <v/>
      </c>
      <c r="CC75" s="60">
        <f>(BSPrice($B75*1.1,$J75+0, $K75, $C75, ($I75-$B$1)/365, $G75, $H75, $D75) - BSPrice($B75,$J75, $K75, $C75, ($I75-$B$1)/365, $G75, $H75, $D75)) * $F75</f>
        <v/>
      </c>
      <c r="CD75" s="60">
        <f>(BSPrice($B75*1.1,$J75+0.02, $K75, $C75, ($I75-$B$1)/365, $G75, $H75, $D75) - BSPrice($B75,$J75, $K75, $C75, ($I75-$B$1)/365, $G75, $H75, $D75)) * $F75</f>
        <v/>
      </c>
      <c r="CE75" s="60">
        <f>(BSPrice($B75*1.1,$J75+0.05, $K75, $C75, ($I75-$B$1)/365, $G75, $H75, $D75) - BSPrice($B75,$J75, $K75, $C75, ($I75-$B$1)/365, $G75, $H75, $D75)) * $F75</f>
        <v/>
      </c>
      <c r="CF75" s="60">
        <f>(BSPrice($B75*1.1,$J75+0.1, $K75, $C75, ($I75-$B$1)/365, $G75, $H75, $D75) - BSPrice($B75,$J75, $K75, $C75, ($I75-$B$1)/365, $G75, $H75, $D75)) * $F75</f>
        <v/>
      </c>
      <c r="CG75" s="60">
        <f>(BSPrice($B75*1.1,$J75+0.2, $K75, $C75, ($I75-$B$1)/365, $G75, $H75, $D75) - BSPrice($B75,$J75, $K75, $C75, ($I75-$B$1)/365, $G75, $H75, $D75)) * $F75</f>
        <v/>
      </c>
      <c r="CH75" s="60">
        <f>(BSPrice($B75*1.2,$J75+-0.05, $K75, $C75, ($I75-$B$1)/365, $G75, $H75, $D75) - BSPrice($B75,$J75, $K75, $C75, ($I75-$B$1)/365, $G75, $H75, $D75)) * $F75</f>
        <v/>
      </c>
      <c r="CI75" s="60">
        <f>(BSPrice($B75*1.2,$J75+-0.02, $K75, $C75, ($I75-$B$1)/365, $G75, $H75, $D75) - BSPrice($B75,$J75, $K75, $C75, ($I75-$B$1)/365, $G75, $H75, $D75)) * $F75</f>
        <v/>
      </c>
      <c r="CJ75" s="60">
        <f>(BSPrice($B75*1.2,$J75+0, $K75, $C75, ($I75-$B$1)/365, $G75, $H75, $D75) - BSPrice($B75,$J75, $K75, $C75, ($I75-$B$1)/365, $G75, $H75, $D75)) * $F75</f>
        <v/>
      </c>
      <c r="CK75" s="60">
        <f>(BSPrice($B75*1.2,$J75+0.02, $K75, $C75, ($I75-$B$1)/365, $G75, $H75, $D75) - BSPrice($B75,$J75, $K75, $C75, ($I75-$B$1)/365, $G75, $H75, $D75)) * $F75</f>
        <v/>
      </c>
      <c r="CL75" s="60">
        <f>(BSPrice($B75*1.2,$J75+0.05, $K75, $C75, ($I75-$B$1)/365, $G75, $H75, $D75) - BSPrice($B75,$J75, $K75, $C75, ($I75-$B$1)/365, $G75, $H75, $D75)) * $F75</f>
        <v/>
      </c>
      <c r="CM75" s="60">
        <f>(BSPrice($B75*1.2,$J75+0.1, $K75, $C75, ($I75-$B$1)/365, $G75, $H75, $D75) - BSPrice($B75,$J75, $K75, $C75, ($I75-$B$1)/365, $G75, $H75, $D75)) * $F75</f>
        <v/>
      </c>
      <c r="CN75" s="60">
        <f>(BSPrice($B75*1.2,$J75+0.2, $K75, $C75, ($I75-$B$1)/365, $G75, $H75, $D75) - BSPrice($B75,$J75, $K75, $C75, ($I75-$B$1)/365, $G75, $H75, $D75)) * $F75</f>
        <v/>
      </c>
    </row>
    <row r="76">
      <c r="A76" s="3" t="inlineStr">
        <is>
          <t>NKY Index</t>
        </is>
      </c>
      <c r="B76" s="4">
        <f>VLOOKUP(A76,PriceData!$K$4:$L$6,2,FALSE)</f>
        <v/>
      </c>
      <c r="C76" s="46">
        <f>VLOOKUP(A76,PriceData!$K$4:$M$6,3,FALSE)</f>
        <v/>
      </c>
      <c r="D76" s="4" t="inlineStr">
        <is>
          <t>Option</t>
        </is>
      </c>
      <c r="E76" s="4" t="inlineStr">
        <is>
          <t>JPY</t>
        </is>
      </c>
      <c r="F76" s="4" t="n">
        <v>-20</v>
      </c>
      <c r="G76" t="n">
        <v>11225</v>
      </c>
      <c r="H76" s="4" t="inlineStr">
        <is>
          <t>Call</t>
        </is>
      </c>
      <c r="I76" s="5" t="n">
        <v>40347</v>
      </c>
      <c r="J76" s="46">
        <f>FindImpliedVol(A76, D76, G76, I76)</f>
        <v/>
      </c>
      <c r="K76" s="30">
        <f>VLOOKUP(I76,PriceData!$A$5:$D$7,MATCH($E76,PriceData!$A$4:$D$4,0),FALSE)</f>
        <v/>
      </c>
      <c r="L76" s="2">
        <f>BSPrice($B76,$J76, $K76, $C76, ($I76-$B$1)/365, $G76, $H76, $D76)</f>
        <v/>
      </c>
      <c r="M76" s="2">
        <f>F76*L76</f>
        <v/>
      </c>
      <c r="N76" s="4" t="inlineStr">
        <is>
          <t>Exch</t>
        </is>
      </c>
      <c r="P76" s="60">
        <f>BSDelta(B76, J76, K76, C76, (I76-$B$1)/365, G76, H76, D76)</f>
        <v/>
      </c>
      <c r="Q76" s="60">
        <f>BSGamma(B76, J76, K76, C76, (I76-$B$1)/365, G76, D76)</f>
        <v/>
      </c>
      <c r="R76" s="58">
        <f>BSVega(B76, J76, K76, C76, (I76-$B$1)/365,G76, D76)</f>
        <v/>
      </c>
      <c r="S76" s="58">
        <f>BSVolga(B76, J76, K76, C76, (I76-$B$1)/365,G76, D76)</f>
        <v/>
      </c>
      <c r="T76" s="58">
        <f>BSVanna(B76,J76,K76, C76, (I76-$B$1)/365, G76, D76)</f>
        <v/>
      </c>
      <c r="U76" s="2">
        <f>BSRho(B76, J76, K76, C76, (I76-$B$1)/365, G76, H76, D76)</f>
        <v/>
      </c>
      <c r="V76" s="65">
        <f>$F76*$P76</f>
        <v/>
      </c>
      <c r="W76" s="65">
        <f>$F76*$Q76</f>
        <v/>
      </c>
      <c r="X76" s="78">
        <f>$F76*R76</f>
        <v/>
      </c>
      <c r="Y76" s="78">
        <f>$F76*S76</f>
        <v/>
      </c>
      <c r="Z76" s="78">
        <f>$F76*T76</f>
        <v/>
      </c>
      <c r="AA76" s="78">
        <f>$F76*U76</f>
        <v/>
      </c>
      <c r="AB76" s="78">
        <f>(BSPrice($B76*0.8,$J76, $K76, $C76, ($I76-$B$1)/365, $G76, $H76, $D76) - BSPrice($B76,$J76, $K76, $C76, ($I76-$B$1)/365, $G76, $H76, $D76)) * $F76</f>
        <v/>
      </c>
      <c r="AC76" s="78">
        <f>(BSPrice($B76*0.9,$J76, $K76, $C76, ($I76-$B$1)/365, $G76, $H76, $D76) - BSPrice($B76,$J76, $K76, $C76, ($I76-$B$1)/365, $G76, $H76, $D76)) * $F76</f>
        <v/>
      </c>
      <c r="AD76" s="78">
        <f>(BSPrice($B76*0.95,$J76, $K76, $C76, ($I76-$B$1)/365, $G76, $H76, $D76) - BSPrice($B76,$J76, $K76, $C76, ($I76-$B$1)/365, $G76, $H76, $D76)) * $F76</f>
        <v/>
      </c>
      <c r="AE76" s="78">
        <f>(BSPrice($B76*0.98,$J76, $K76, $C76, ($I76-$B$1)/365, $G76, $H76, $D76) - BSPrice($B76,$J76, $K76, $C76, ($I76-$B$1)/365, $G76, $H76, $D76)) * $F76</f>
        <v/>
      </c>
      <c r="AF76" s="78">
        <f>(BSPrice($B76*1.02,$J76, $K76, $C76, ($I76-$B$1)/365, $G76, $H76, $D76) - BSPrice($B76,$J76, $K76, $C76, ($I76-$B$1)/365, $G76, $H76, $D76)) * $F76</f>
        <v/>
      </c>
      <c r="AG76" s="78">
        <f>(BSPrice($B76*1.05,$J76, $K76, $C76, ($I76-$B$1)/365, $G76, $H76, $D76) - BSPrice($B76,$J76, $K76, $C76, ($I76-$B$1)/365, $G76, $H76, $D76)) * $F76</f>
        <v/>
      </c>
      <c r="AH76" s="78">
        <f>(BSPrice($B76*1.1,$J76, $K76, $C76, ($I76-$B$1)/365, $G76, $H76, $D76) - BSPrice($B76,$J76, $K76, $C76, ($I76-$B$1)/365, $G76, $H76, $D76)) * $F76</f>
        <v/>
      </c>
      <c r="AI76" s="78">
        <f>(BSPrice($B76*1.2,$J76, $K76, $C76, ($I76-$B$1)/365, $G76, $H76, $D76) - BSPrice($B76,$J76, $K76, $C76, ($I76-$B$1)/365, $G76, $H76, $D76)) * $F76</f>
        <v/>
      </c>
      <c r="AJ76" s="78">
        <f>(BSPrice($B76,$J76-0.1, $K76, $C76, ($I76-$B$1)/365, $G76, $H76, $D76) - BSPrice($B76,$J76, $K76, $C76, ($I76-$B$1)/365, $G76, $H76, $D76)) * $F76</f>
        <v/>
      </c>
      <c r="AK76" s="78">
        <f>(BSPrice($B76,$J76-0.05,$K76,$C76,($I76-$B$1)/365,$G76,$H76,$D76)-BSPrice($B76,$J76,$K76,$C76,($I76-$B$1)/365,$G76,$H76,$D76))*$F76</f>
        <v/>
      </c>
      <c r="AL76" s="78">
        <f>(BSPrice($B76,$J76-0.02, $K76, $C76, ($I76-$B$1)/365, $G76, $H76, $D76) - BSPrice($B76,$J76, $K76, $C76, ($I76-$B$1)/365, $G76, $H76, $D76)) * $F76</f>
        <v/>
      </c>
      <c r="AM76" s="78">
        <f>(BSPrice($B76,$J76-0.01, $K76, $C76, ($I76-$B$1)/365, $G76, $H76, $D76) - BSPrice($B76,$J76, $K76, $C76, ($I76-$B$1)/365, $G76, $H76, $D76)) * $F76</f>
        <v/>
      </c>
      <c r="AN76" s="78">
        <f>(BSPrice($B76,$J76+0.01, $K76, $C76, ($I76-$B$1)/365, $G76, $H76, $D76) - BSPrice($B76,$J76, $K76, $C76, ($I76-$B$1)/365, $G76, $H76, $D76)) * $F76</f>
        <v/>
      </c>
      <c r="AO76" s="78">
        <f>(BSPrice($B76,$J76+0.02, $K76, $C76, ($I76-$B$1)/365, $G76, $H76, $D76) - BSPrice($B76,$J76, $K76, $C76, ($I76-$B$1)/365, $G76, $H76, $D76)) * $F76</f>
        <v/>
      </c>
      <c r="AP76" s="78">
        <f>(BSPrice($B76,$J76+0.05, $K76, $C76, ($I76-$B$1)/365, $G76, $H76, $D76) - BSPrice($B76,$J76, $K76, $C76, ($I76-$B$1)/365, $G76, $H76, $D76)) * $F76</f>
        <v/>
      </c>
      <c r="AQ76" s="78">
        <f>(BSPrice($B76,$J76+0.1, $K76, $C76, ($I76-$B$1)/365, $G76, $H76, $D76) - BSPrice($B76,$J76, $K76, $C76, ($I76-$B$1)/365, $G76, $H76, $D76)) * $F76</f>
        <v/>
      </c>
      <c r="AR76" s="60">
        <f>(BSPrice($B76*0.8,$J76+-0.05, $K76, $C76, ($I76-$B$1)/365, $G76, $H76, $D76) - BSPrice($B76,$J76, $K76, $C76, ($I76-$B$1)/365, $G76, $H76, $D76)) * $F76</f>
        <v/>
      </c>
      <c r="AS76" s="60">
        <f>(BSPrice($B76*0.8,$J76+-0.02, $K76, $C76, ($I76-$B$1)/365, $G76, $H76, $D76) - BSPrice($B76,$J76, $K76, $C76, ($I76-$B$1)/365, $G76, $H76, $D76)) * $F76</f>
        <v/>
      </c>
      <c r="AT76" s="60">
        <f>(BSPrice($B76*0.8,$J76+0, $K76, $C76, ($I76-$B$1)/365, $G76, $H76, $D76) - BSPrice($B76,$J76, $K76, $C76, ($I76-$B$1)/365, $G76, $H76, $D76)) * $F76</f>
        <v/>
      </c>
      <c r="AU76" s="60">
        <f>(BSPrice($B76*0.8,$J76+0.02, $K76, $C76, ($I76-$B$1)/365, $G76, $H76, $D76) - BSPrice($B76,$J76, $K76, $C76, ($I76-$B$1)/365, $G76, $H76, $D76)) * $F76</f>
        <v/>
      </c>
      <c r="AV76" s="60">
        <f>(BSPrice($B76*0.8,$J76+0.05, $K76, $C76, ($I76-$B$1)/365, $G76, $H76, $D76) - BSPrice($B76,$J76, $K76, $C76, ($I76-$B$1)/365, $G76, $H76, $D76)) * $F76</f>
        <v/>
      </c>
      <c r="AW76" s="60">
        <f>(BSPrice($B76*0.8,$J76+0.1, $K76, $C76, ($I76-$B$1)/365, $G76, $H76, $D76) - BSPrice($B76,$J76, $K76, $C76, ($I76-$B$1)/365, $G76, $H76, $D76)) * $F76</f>
        <v/>
      </c>
      <c r="AX76" s="60">
        <f>(BSPrice($B76*0.8,$J76+0.2, $K76, $C76, ($I76-$B$1)/365, $G76, $H76, $D76) - BSPrice($B76,$J76, $K76, $C76, ($I76-$B$1)/365, $G76, $H76, $D76)) * $F76</f>
        <v/>
      </c>
      <c r="AY76" s="60">
        <f>(BSPrice($B76*0.9,$J76+-0.05, $K76, $C76, ($I76-$B$1)/365, $G76, $H76, $D76) - BSPrice($B76,$J76, $K76, $C76, ($I76-$B$1)/365, $G76, $H76, $D76)) * $F76</f>
        <v/>
      </c>
      <c r="AZ76" s="60">
        <f>(BSPrice($B76*0.9,$J76+-0.02, $K76, $C76, ($I76-$B$1)/365, $G76, $H76, $D76) - BSPrice($B76,$J76, $K76, $C76, ($I76-$B$1)/365, $G76, $H76, $D76)) * $F76</f>
        <v/>
      </c>
      <c r="BA76" s="60">
        <f>(BSPrice($B76*0.9,$J76+0, $K76, $C76, ($I76-$B$1)/365, $G76, $H76, $D76) - BSPrice($B76,$J76, $K76, $C76, ($I76-$B$1)/365, $G76, $H76, $D76)) * $F76</f>
        <v/>
      </c>
      <c r="BB76" s="60">
        <f>(BSPrice($B76*0.9,$J76+0.02, $K76, $C76, ($I76-$B$1)/365, $G76, $H76, $D76) - BSPrice($B76,$J76, $K76, $C76, ($I76-$B$1)/365, $G76, $H76, $D76)) * $F76</f>
        <v/>
      </c>
      <c r="BC76" s="60">
        <f>(BSPrice($B76*0.9,$J76+0.05, $K76, $C76, ($I76-$B$1)/365, $G76, $H76, $D76) - BSPrice($B76,$J76, $K76, $C76, ($I76-$B$1)/365, $G76, $H76, $D76)) * $F76</f>
        <v/>
      </c>
      <c r="BD76" s="60">
        <f>(BSPrice($B76*0.9,$J76+0.1, $K76, $C76, ($I76-$B$1)/365, $G76, $H76, $D76) - BSPrice($B76,$J76, $K76, $C76, ($I76-$B$1)/365, $G76, $H76, $D76)) * $F76</f>
        <v/>
      </c>
      <c r="BE76" s="60">
        <f>(BSPrice($B76*0.9,$J76+0.2, $K76, $C76, ($I76-$B$1)/365, $G76, $H76, $D76) - BSPrice($B76,$J76, $K76, $C76, ($I76-$B$1)/365, $G76, $H76, $D76)) * $F76</f>
        <v/>
      </c>
      <c r="BF76" s="60">
        <f>(BSPrice($B76*0.95,$J76+-0.05, $K76, $C76, ($I76-$B$1)/365, $G76, $H76, $D76) - BSPrice($B76,$J76, $K76, $C76, ($I76-$B$1)/365, $G76, $H76, $D76)) * $F76</f>
        <v/>
      </c>
      <c r="BG76" s="60">
        <f>(BSPrice($B76*0.95,$J76+-0.02, $K76, $C76, ($I76-$B$1)/365, $G76, $H76, $D76) - BSPrice($B76,$J76, $K76, $C76, ($I76-$B$1)/365, $G76, $H76, $D76)) * $F76</f>
        <v/>
      </c>
      <c r="BH76" s="60">
        <f>(BSPrice($B76*0.95,$J76+0, $K76, $C76, ($I76-$B$1)/365, $G76, $H76, $D76) - BSPrice($B76,$J76, $K76, $C76, ($I76-$B$1)/365, $G76, $H76, $D76)) * $F76</f>
        <v/>
      </c>
      <c r="BI76" s="60">
        <f>(BSPrice($B76*0.95,$J76+0.02, $K76, $C76, ($I76-$B$1)/365, $G76, $H76, $D76) - BSPrice($B76,$J76, $K76, $C76, ($I76-$B$1)/365, $G76, $H76, $D76)) * $F76</f>
        <v/>
      </c>
      <c r="BJ76" s="60">
        <f>(BSPrice($B76*0.95,$J76+0.05, $K76, $C76, ($I76-$B$1)/365, $G76, $H76, $D76) - BSPrice($B76,$J76, $K76, $C76, ($I76-$B$1)/365, $G76, $H76, $D76)) * $F76</f>
        <v/>
      </c>
      <c r="BK76" s="60">
        <f>(BSPrice($B76*0.95,$J76+0.1, $K76, $C76, ($I76-$B$1)/365, $G76, $H76, $D76) - BSPrice($B76,$J76, $K76, $C76, ($I76-$B$1)/365, $G76, $H76, $D76)) * $F76</f>
        <v/>
      </c>
      <c r="BL76" s="60">
        <f>(BSPrice($B76*0.95,$J76+0.2, $K76, $C76, ($I76-$B$1)/365, $G76, $H76, $D76) - BSPrice($B76,$J76, $K76, $C76, ($I76-$B$1)/365, $G76, $H76, $D76)) * $F76</f>
        <v/>
      </c>
      <c r="BM76" s="60">
        <f>(BSPrice($B76*1,$J76+-0.05, $K76, $C76, ($I76-$B$1)/365, $G76, $H76, $D76) - BSPrice($B76,$J76, $K76, $C76, ($I76-$B$1)/365, $G76, $H76, $D76)) * $F76</f>
        <v/>
      </c>
      <c r="BN76" s="60">
        <f>(BSPrice($B76*1,$J76+-0.02, $K76, $C76, ($I76-$B$1)/365, $G76, $H76, $D76) - BSPrice($B76,$J76, $K76, $C76, ($I76-$B$1)/365, $G76, $H76, $D76)) * $F76</f>
        <v/>
      </c>
      <c r="BO76" s="60">
        <f>(BSPrice($B76*1,$J76+0, $K76, $C76, ($I76-$B$1)/365, $G76, $H76, $D76) - BSPrice($B76,$J76, $K76, $C76, ($I76-$B$1)/365, $G76, $H76, $D76)) * $F76</f>
        <v/>
      </c>
      <c r="BP76" s="60">
        <f>(BSPrice($B76*1,$J76+0.02, $K76, $C76, ($I76-$B$1)/365, $G76, $H76, $D76) - BSPrice($B76,$J76, $K76, $C76, ($I76-$B$1)/365, $G76, $H76, $D76)) * $F76</f>
        <v/>
      </c>
      <c r="BQ76" s="60">
        <f>(BSPrice($B76*1,$J76+0.05, $K76, $C76, ($I76-$B$1)/365, $G76, $H76, $D76) - BSPrice($B76,$J76, $K76, $C76, ($I76-$B$1)/365, $G76, $H76, $D76)) * $F76</f>
        <v/>
      </c>
      <c r="BR76" s="60">
        <f>(BSPrice($B76*1,$J76+0.1, $K76, $C76, ($I76-$B$1)/365, $G76, $H76, $D76) - BSPrice($B76,$J76, $K76, $C76, ($I76-$B$1)/365, $G76, $H76, $D76)) * $F76</f>
        <v/>
      </c>
      <c r="BS76" s="60">
        <f>(BSPrice($B76*1,$J76+0.2, $K76, $C76, ($I76-$B$1)/365, $G76, $H76, $D76) - BSPrice($B76,$J76, $K76, $C76, ($I76-$B$1)/365, $G76, $H76, $D76)) * $F76</f>
        <v/>
      </c>
      <c r="BT76" s="60">
        <f>(BSPrice($B76*1.05,$J76+-0.05, $K76, $C76, ($I76-$B$1)/365, $G76, $H76, $D76) - BSPrice($B76,$J76, $K76, $C76, ($I76-$B$1)/365, $G76, $H76, $D76)) * $F76</f>
        <v/>
      </c>
      <c r="BU76" s="60">
        <f>(BSPrice($B76*1.05,$J76+-0.02, $K76, $C76, ($I76-$B$1)/365, $G76, $H76, $D76) - BSPrice($B76,$J76, $K76, $C76, ($I76-$B$1)/365, $G76, $H76, $D76)) * $F76</f>
        <v/>
      </c>
      <c r="BV76" s="60">
        <f>(BSPrice($B76*1.05,$J76+0, $K76, $C76, ($I76-$B$1)/365, $G76, $H76, $D76) - BSPrice($B76,$J76, $K76, $C76, ($I76-$B$1)/365, $G76, $H76, $D76)) * $F76</f>
        <v/>
      </c>
      <c r="BW76" s="60">
        <f>(BSPrice($B76*1.05,$J76+0.02, $K76, $C76, ($I76-$B$1)/365, $G76, $H76, $D76) - BSPrice($B76,$J76, $K76, $C76, ($I76-$B$1)/365, $G76, $H76, $D76)) * $F76</f>
        <v/>
      </c>
      <c r="BX76" s="60">
        <f>(BSPrice($B76*1.05,$J76+0.05, $K76, $C76, ($I76-$B$1)/365, $G76, $H76, $D76) - BSPrice($B76,$J76, $K76, $C76, ($I76-$B$1)/365, $G76, $H76, $D76)) * $F76</f>
        <v/>
      </c>
      <c r="BY76" s="60">
        <f>(BSPrice($B76*1.05,$J76+0.1, $K76, $C76, ($I76-$B$1)/365, $G76, $H76, $D76) - BSPrice($B76,$J76, $K76, $C76, ($I76-$B$1)/365, $G76, $H76, $D76)) * $F76</f>
        <v/>
      </c>
      <c r="BZ76" s="60">
        <f>(BSPrice($B76*1.05,$J76+0.2, $K76, $C76, ($I76-$B$1)/365, $G76, $H76, $D76) - BSPrice($B76,$J76, $K76, $C76, ($I76-$B$1)/365, $G76, $H76, $D76)) * $F76</f>
        <v/>
      </c>
      <c r="CA76" s="60">
        <f>(BSPrice($B76*1.1,$J76+-0.05, $K76, $C76, ($I76-$B$1)/365, $G76, $H76, $D76) - BSPrice($B76,$J76, $K76, $C76, ($I76-$B$1)/365, $G76, $H76, $D76)) * $F76</f>
        <v/>
      </c>
      <c r="CB76" s="60">
        <f>(BSPrice($B76*1.1,$J76+-0.02, $K76, $C76, ($I76-$B$1)/365, $G76, $H76, $D76) - BSPrice($B76,$J76, $K76, $C76, ($I76-$B$1)/365, $G76, $H76, $D76)) * $F76</f>
        <v/>
      </c>
      <c r="CC76" s="60">
        <f>(BSPrice($B76*1.1,$J76+0, $K76, $C76, ($I76-$B$1)/365, $G76, $H76, $D76) - BSPrice($B76,$J76, $K76, $C76, ($I76-$B$1)/365, $G76, $H76, $D76)) * $F76</f>
        <v/>
      </c>
      <c r="CD76" s="60">
        <f>(BSPrice($B76*1.1,$J76+0.02, $K76, $C76, ($I76-$B$1)/365, $G76, $H76, $D76) - BSPrice($B76,$J76, $K76, $C76, ($I76-$B$1)/365, $G76, $H76, $D76)) * $F76</f>
        <v/>
      </c>
      <c r="CE76" s="60">
        <f>(BSPrice($B76*1.1,$J76+0.05, $K76, $C76, ($I76-$B$1)/365, $G76, $H76, $D76) - BSPrice($B76,$J76, $K76, $C76, ($I76-$B$1)/365, $G76, $H76, $D76)) * $F76</f>
        <v/>
      </c>
      <c r="CF76" s="60">
        <f>(BSPrice($B76*1.1,$J76+0.1, $K76, $C76, ($I76-$B$1)/365, $G76, $H76, $D76) - BSPrice($B76,$J76, $K76, $C76, ($I76-$B$1)/365, $G76, $H76, $D76)) * $F76</f>
        <v/>
      </c>
      <c r="CG76" s="60">
        <f>(BSPrice($B76*1.1,$J76+0.2, $K76, $C76, ($I76-$B$1)/365, $G76, $H76, $D76) - BSPrice($B76,$J76, $K76, $C76, ($I76-$B$1)/365, $G76, $H76, $D76)) * $F76</f>
        <v/>
      </c>
      <c r="CH76" s="60">
        <f>(BSPrice($B76*1.2,$J76+-0.05, $K76, $C76, ($I76-$B$1)/365, $G76, $H76, $D76) - BSPrice($B76,$J76, $K76, $C76, ($I76-$B$1)/365, $G76, $H76, $D76)) * $F76</f>
        <v/>
      </c>
      <c r="CI76" s="60">
        <f>(BSPrice($B76*1.2,$J76+-0.02, $K76, $C76, ($I76-$B$1)/365, $G76, $H76, $D76) - BSPrice($B76,$J76, $K76, $C76, ($I76-$B$1)/365, $G76, $H76, $D76)) * $F76</f>
        <v/>
      </c>
      <c r="CJ76" s="60">
        <f>(BSPrice($B76*1.2,$J76+0, $K76, $C76, ($I76-$B$1)/365, $G76, $H76, $D76) - BSPrice($B76,$J76, $K76, $C76, ($I76-$B$1)/365, $G76, $H76, $D76)) * $F76</f>
        <v/>
      </c>
      <c r="CK76" s="60">
        <f>(BSPrice($B76*1.2,$J76+0.02, $K76, $C76, ($I76-$B$1)/365, $G76, $H76, $D76) - BSPrice($B76,$J76, $K76, $C76, ($I76-$B$1)/365, $G76, $H76, $D76)) * $F76</f>
        <v/>
      </c>
      <c r="CL76" s="60">
        <f>(BSPrice($B76*1.2,$J76+0.05, $K76, $C76, ($I76-$B$1)/365, $G76, $H76, $D76) - BSPrice($B76,$J76, $K76, $C76, ($I76-$B$1)/365, $G76, $H76, $D76)) * $F76</f>
        <v/>
      </c>
      <c r="CM76" s="60">
        <f>(BSPrice($B76*1.2,$J76+0.1, $K76, $C76, ($I76-$B$1)/365, $G76, $H76, $D76) - BSPrice($B76,$J76, $K76, $C76, ($I76-$B$1)/365, $G76, $H76, $D76)) * $F76</f>
        <v/>
      </c>
      <c r="CN76" s="60">
        <f>(BSPrice($B76*1.2,$J76+0.2, $K76, $C76, ($I76-$B$1)/365, $G76, $H76, $D76) - BSPrice($B76,$J76, $K76, $C76, ($I76-$B$1)/365, $G76, $H76, $D76)) * $F76</f>
        <v/>
      </c>
    </row>
    <row r="77">
      <c r="A77" s="3" t="inlineStr">
        <is>
          <t>NKY Index</t>
        </is>
      </c>
      <c r="B77" s="4">
        <f>VLOOKUP(A77,PriceData!$K$4:$L$6,2,FALSE)</f>
        <v/>
      </c>
      <c r="C77" s="46">
        <f>VLOOKUP(A77,PriceData!$K$4:$M$6,3,FALSE)</f>
        <v/>
      </c>
      <c r="D77" s="4" t="inlineStr">
        <is>
          <t>Option</t>
        </is>
      </c>
      <c r="E77" s="4" t="inlineStr">
        <is>
          <t>JPY</t>
        </is>
      </c>
      <c r="F77" s="4" t="n">
        <v>-10</v>
      </c>
      <c r="G77" t="n">
        <v>11225</v>
      </c>
      <c r="H77" s="4" t="inlineStr">
        <is>
          <t>Put</t>
        </is>
      </c>
      <c r="I77" s="5" t="n">
        <v>40347</v>
      </c>
      <c r="J77" s="46">
        <f>FindImpliedVol(A77, D77, G77, I77)</f>
        <v/>
      </c>
      <c r="K77" s="30">
        <f>VLOOKUP(I77,PriceData!$A$5:$D$7,MATCH($E77,PriceData!$A$4:$D$4,0),FALSE)</f>
        <v/>
      </c>
      <c r="L77" s="2">
        <f>BSPrice($B77,$J77, $K77, $C77, ($I77-$B$1)/365, $G77, $H77, $D77)</f>
        <v/>
      </c>
      <c r="M77" s="2">
        <f>F77*L77</f>
        <v/>
      </c>
      <c r="N77" s="4" t="inlineStr">
        <is>
          <t>UBS</t>
        </is>
      </c>
      <c r="P77" s="60">
        <f>BSDelta(B77, J77, K77, C77, (I77-$B$1)/365, G77, H77, D77)</f>
        <v/>
      </c>
      <c r="Q77" s="60">
        <f>BSGamma(B77, J77, K77, C77, (I77-$B$1)/365, G77, D77)</f>
        <v/>
      </c>
      <c r="R77" s="58">
        <f>BSVega(B77, J77, K77, C77, (I77-$B$1)/365,G77, D77)</f>
        <v/>
      </c>
      <c r="S77" s="58">
        <f>BSVolga(B77, J77, K77, C77, (I77-$B$1)/365,G77, D77)</f>
        <v/>
      </c>
      <c r="T77" s="58">
        <f>BSVanna(B77,J77,K77, C77, (I77-$B$1)/365, G77, D77)</f>
        <v/>
      </c>
      <c r="U77" s="2">
        <f>BSRho(B77, J77, K77, C77, (I77-$B$1)/365, G77, H77, D77)</f>
        <v/>
      </c>
      <c r="V77" s="65">
        <f>$F77*$P77</f>
        <v/>
      </c>
      <c r="W77" s="65">
        <f>$F77*$Q77</f>
        <v/>
      </c>
      <c r="X77" s="78">
        <f>$F77*R77</f>
        <v/>
      </c>
      <c r="Y77" s="78">
        <f>$F77*S77</f>
        <v/>
      </c>
      <c r="Z77" s="78">
        <f>$F77*T77</f>
        <v/>
      </c>
      <c r="AA77" s="78">
        <f>$F77*U77</f>
        <v/>
      </c>
      <c r="AB77" s="78">
        <f>(BSPrice($B77*0.8,$J77, $K77, $C77, ($I77-$B$1)/365, $G77, $H77, $D77) - BSPrice($B77,$J77, $K77, $C77, ($I77-$B$1)/365, $G77, $H77, $D77)) * $F77</f>
        <v/>
      </c>
      <c r="AC77" s="78">
        <f>(BSPrice($B77*0.9,$J77, $K77, $C77, ($I77-$B$1)/365, $G77, $H77, $D77) - BSPrice($B77,$J77, $K77, $C77, ($I77-$B$1)/365, $G77, $H77, $D77)) * $F77</f>
        <v/>
      </c>
      <c r="AD77" s="78">
        <f>(BSPrice($B77*0.95,$J77, $K77, $C77, ($I77-$B$1)/365, $G77, $H77, $D77) - BSPrice($B77,$J77, $K77, $C77, ($I77-$B$1)/365, $G77, $H77, $D77)) * $F77</f>
        <v/>
      </c>
      <c r="AE77" s="78">
        <f>(BSPrice($B77*0.98,$J77, $K77, $C77, ($I77-$B$1)/365, $G77, $H77, $D77) - BSPrice($B77,$J77, $K77, $C77, ($I77-$B$1)/365, $G77, $H77, $D77)) * $F77</f>
        <v/>
      </c>
      <c r="AF77" s="78">
        <f>(BSPrice($B77*1.02,$J77, $K77, $C77, ($I77-$B$1)/365, $G77, $H77, $D77) - BSPrice($B77,$J77, $K77, $C77, ($I77-$B$1)/365, $G77, $H77, $D77)) * $F77</f>
        <v/>
      </c>
      <c r="AG77" s="78">
        <f>(BSPrice($B77*1.05,$J77, $K77, $C77, ($I77-$B$1)/365, $G77, $H77, $D77) - BSPrice($B77,$J77, $K77, $C77, ($I77-$B$1)/365, $G77, $H77, $D77)) * $F77</f>
        <v/>
      </c>
      <c r="AH77" s="78">
        <f>(BSPrice($B77*1.1,$J77, $K77, $C77, ($I77-$B$1)/365, $G77, $H77, $D77) - BSPrice($B77,$J77, $K77, $C77, ($I77-$B$1)/365, $G77, $H77, $D77)) * $F77</f>
        <v/>
      </c>
      <c r="AI77" s="78">
        <f>(BSPrice($B77*1.2,$J77, $K77, $C77, ($I77-$B$1)/365, $G77, $H77, $D77) - BSPrice($B77,$J77, $K77, $C77, ($I77-$B$1)/365, $G77, $H77, $D77)) * $F77</f>
        <v/>
      </c>
      <c r="AJ77" s="78">
        <f>(BSPrice($B77,$J77-0.1, $K77, $C77, ($I77-$B$1)/365, $G77, $H77, $D77) - BSPrice($B77,$J77, $K77, $C77, ($I77-$B$1)/365, $G77, $H77, $D77)) * $F77</f>
        <v/>
      </c>
      <c r="AK77" s="78">
        <f>(BSPrice($B77,$J77-0.05,$K77,$C77,($I77-$B$1)/365,$G77,$H77,$D77)-BSPrice($B77,$J77,$K77,$C77,($I77-$B$1)/365,$G77,$H77,$D77))*$F77</f>
        <v/>
      </c>
      <c r="AL77" s="78">
        <f>(BSPrice($B77,$J77-0.02, $K77, $C77, ($I77-$B$1)/365, $G77, $H77, $D77) - BSPrice($B77,$J77, $K77, $C77, ($I77-$B$1)/365, $G77, $H77, $D77)) * $F77</f>
        <v/>
      </c>
      <c r="AM77" s="78">
        <f>(BSPrice($B77,$J77-0.01, $K77, $C77, ($I77-$B$1)/365, $G77, $H77, $D77) - BSPrice($B77,$J77, $K77, $C77, ($I77-$B$1)/365, $G77, $H77, $D77)) * $F77</f>
        <v/>
      </c>
      <c r="AN77" s="78">
        <f>(BSPrice($B77,$J77+0.01, $K77, $C77, ($I77-$B$1)/365, $G77, $H77, $D77) - BSPrice($B77,$J77, $K77, $C77, ($I77-$B$1)/365, $G77, $H77, $D77)) * $F77</f>
        <v/>
      </c>
      <c r="AO77" s="78">
        <f>(BSPrice($B77,$J77+0.02, $K77, $C77, ($I77-$B$1)/365, $G77, $H77, $D77) - BSPrice($B77,$J77, $K77, $C77, ($I77-$B$1)/365, $G77, $H77, $D77)) * $F77</f>
        <v/>
      </c>
      <c r="AP77" s="78">
        <f>(BSPrice($B77,$J77+0.05, $K77, $C77, ($I77-$B$1)/365, $G77, $H77, $D77) - BSPrice($B77,$J77, $K77, $C77, ($I77-$B$1)/365, $G77, $H77, $D77)) * $F77</f>
        <v/>
      </c>
      <c r="AQ77" s="78">
        <f>(BSPrice($B77,$J77+0.1, $K77, $C77, ($I77-$B$1)/365, $G77, $H77, $D77) - BSPrice($B77,$J77, $K77, $C77, ($I77-$B$1)/365, $G77, $H77, $D77)) * $F77</f>
        <v/>
      </c>
      <c r="AR77" s="60">
        <f>(BSPrice($B77*0.8,$J77+-0.05, $K77, $C77, ($I77-$B$1)/365, $G77, $H77, $D77) - BSPrice($B77,$J77, $K77, $C77, ($I77-$B$1)/365, $G77, $H77, $D77)) * $F77</f>
        <v/>
      </c>
      <c r="AS77" s="60">
        <f>(BSPrice($B77*0.8,$J77+-0.02, $K77, $C77, ($I77-$B$1)/365, $G77, $H77, $D77) - BSPrice($B77,$J77, $K77, $C77, ($I77-$B$1)/365, $G77, $H77, $D77)) * $F77</f>
        <v/>
      </c>
      <c r="AT77" s="60">
        <f>(BSPrice($B77*0.8,$J77+0, $K77, $C77, ($I77-$B$1)/365, $G77, $H77, $D77) - BSPrice($B77,$J77, $K77, $C77, ($I77-$B$1)/365, $G77, $H77, $D77)) * $F77</f>
        <v/>
      </c>
      <c r="AU77" s="60">
        <f>(BSPrice($B77*0.8,$J77+0.02, $K77, $C77, ($I77-$B$1)/365, $G77, $H77, $D77) - BSPrice($B77,$J77, $K77, $C77, ($I77-$B$1)/365, $G77, $H77, $D77)) * $F77</f>
        <v/>
      </c>
      <c r="AV77" s="60">
        <f>(BSPrice($B77*0.8,$J77+0.05, $K77, $C77, ($I77-$B$1)/365, $G77, $H77, $D77) - BSPrice($B77,$J77, $K77, $C77, ($I77-$B$1)/365, $G77, $H77, $D77)) * $F77</f>
        <v/>
      </c>
      <c r="AW77" s="60">
        <f>(BSPrice($B77*0.8,$J77+0.1, $K77, $C77, ($I77-$B$1)/365, $G77, $H77, $D77) - BSPrice($B77,$J77, $K77, $C77, ($I77-$B$1)/365, $G77, $H77, $D77)) * $F77</f>
        <v/>
      </c>
      <c r="AX77" s="60">
        <f>(BSPrice($B77*0.8,$J77+0.2, $K77, $C77, ($I77-$B$1)/365, $G77, $H77, $D77) - BSPrice($B77,$J77, $K77, $C77, ($I77-$B$1)/365, $G77, $H77, $D77)) * $F77</f>
        <v/>
      </c>
      <c r="AY77" s="60">
        <f>(BSPrice($B77*0.9,$J77+-0.05, $K77, $C77, ($I77-$B$1)/365, $G77, $H77, $D77) - BSPrice($B77,$J77, $K77, $C77, ($I77-$B$1)/365, $G77, $H77, $D77)) * $F77</f>
        <v/>
      </c>
      <c r="AZ77" s="60">
        <f>(BSPrice($B77*0.9,$J77+-0.02, $K77, $C77, ($I77-$B$1)/365, $G77, $H77, $D77) - BSPrice($B77,$J77, $K77, $C77, ($I77-$B$1)/365, $G77, $H77, $D77)) * $F77</f>
        <v/>
      </c>
      <c r="BA77" s="60">
        <f>(BSPrice($B77*0.9,$J77+0, $K77, $C77, ($I77-$B$1)/365, $G77, $H77, $D77) - BSPrice($B77,$J77, $K77, $C77, ($I77-$B$1)/365, $G77, $H77, $D77)) * $F77</f>
        <v/>
      </c>
      <c r="BB77" s="60">
        <f>(BSPrice($B77*0.9,$J77+0.02, $K77, $C77, ($I77-$B$1)/365, $G77, $H77, $D77) - BSPrice($B77,$J77, $K77, $C77, ($I77-$B$1)/365, $G77, $H77, $D77)) * $F77</f>
        <v/>
      </c>
      <c r="BC77" s="60">
        <f>(BSPrice($B77*0.9,$J77+0.05, $K77, $C77, ($I77-$B$1)/365, $G77, $H77, $D77) - BSPrice($B77,$J77, $K77, $C77, ($I77-$B$1)/365, $G77, $H77, $D77)) * $F77</f>
        <v/>
      </c>
      <c r="BD77" s="60">
        <f>(BSPrice($B77*0.9,$J77+0.1, $K77, $C77, ($I77-$B$1)/365, $G77, $H77, $D77) - BSPrice($B77,$J77, $K77, $C77, ($I77-$B$1)/365, $G77, $H77, $D77)) * $F77</f>
        <v/>
      </c>
      <c r="BE77" s="60">
        <f>(BSPrice($B77*0.9,$J77+0.2, $K77, $C77, ($I77-$B$1)/365, $G77, $H77, $D77) - BSPrice($B77,$J77, $K77, $C77, ($I77-$B$1)/365, $G77, $H77, $D77)) * $F77</f>
        <v/>
      </c>
      <c r="BF77" s="60">
        <f>(BSPrice($B77*0.95,$J77+-0.05, $K77, $C77, ($I77-$B$1)/365, $G77, $H77, $D77) - BSPrice($B77,$J77, $K77, $C77, ($I77-$B$1)/365, $G77, $H77, $D77)) * $F77</f>
        <v/>
      </c>
      <c r="BG77" s="60">
        <f>(BSPrice($B77*0.95,$J77+-0.02, $K77, $C77, ($I77-$B$1)/365, $G77, $H77, $D77) - BSPrice($B77,$J77, $K77, $C77, ($I77-$B$1)/365, $G77, $H77, $D77)) * $F77</f>
        <v/>
      </c>
      <c r="BH77" s="60">
        <f>(BSPrice($B77*0.95,$J77+0, $K77, $C77, ($I77-$B$1)/365, $G77, $H77, $D77) - BSPrice($B77,$J77, $K77, $C77, ($I77-$B$1)/365, $G77, $H77, $D77)) * $F77</f>
        <v/>
      </c>
      <c r="BI77" s="60">
        <f>(BSPrice($B77*0.95,$J77+0.02, $K77, $C77, ($I77-$B$1)/365, $G77, $H77, $D77) - BSPrice($B77,$J77, $K77, $C77, ($I77-$B$1)/365, $G77, $H77, $D77)) * $F77</f>
        <v/>
      </c>
      <c r="BJ77" s="60">
        <f>(BSPrice($B77*0.95,$J77+0.05, $K77, $C77, ($I77-$B$1)/365, $G77, $H77, $D77) - BSPrice($B77,$J77, $K77, $C77, ($I77-$B$1)/365, $G77, $H77, $D77)) * $F77</f>
        <v/>
      </c>
      <c r="BK77" s="60">
        <f>(BSPrice($B77*0.95,$J77+0.1, $K77, $C77, ($I77-$B$1)/365, $G77, $H77, $D77) - BSPrice($B77,$J77, $K77, $C77, ($I77-$B$1)/365, $G77, $H77, $D77)) * $F77</f>
        <v/>
      </c>
      <c r="BL77" s="60">
        <f>(BSPrice($B77*0.95,$J77+0.2, $K77, $C77, ($I77-$B$1)/365, $G77, $H77, $D77) - BSPrice($B77,$J77, $K77, $C77, ($I77-$B$1)/365, $G77, $H77, $D77)) * $F77</f>
        <v/>
      </c>
      <c r="BM77" s="60">
        <f>(BSPrice($B77*1,$J77+-0.05, $K77, $C77, ($I77-$B$1)/365, $G77, $H77, $D77) - BSPrice($B77,$J77, $K77, $C77, ($I77-$B$1)/365, $G77, $H77, $D77)) * $F77</f>
        <v/>
      </c>
      <c r="BN77" s="60">
        <f>(BSPrice($B77*1,$J77+-0.02, $K77, $C77, ($I77-$B$1)/365, $G77, $H77, $D77) - BSPrice($B77,$J77, $K77, $C77, ($I77-$B$1)/365, $G77, $H77, $D77)) * $F77</f>
        <v/>
      </c>
      <c r="BO77" s="60">
        <f>(BSPrice($B77*1,$J77+0, $K77, $C77, ($I77-$B$1)/365, $G77, $H77, $D77) - BSPrice($B77,$J77, $K77, $C77, ($I77-$B$1)/365, $G77, $H77, $D77)) * $F77</f>
        <v/>
      </c>
      <c r="BP77" s="60">
        <f>(BSPrice($B77*1,$J77+0.02, $K77, $C77, ($I77-$B$1)/365, $G77, $H77, $D77) - BSPrice($B77,$J77, $K77, $C77, ($I77-$B$1)/365, $G77, $H77, $D77)) * $F77</f>
        <v/>
      </c>
      <c r="BQ77" s="60">
        <f>(BSPrice($B77*1,$J77+0.05, $K77, $C77, ($I77-$B$1)/365, $G77, $H77, $D77) - BSPrice($B77,$J77, $K77, $C77, ($I77-$B$1)/365, $G77, $H77, $D77)) * $F77</f>
        <v/>
      </c>
      <c r="BR77" s="60">
        <f>(BSPrice($B77*1,$J77+0.1, $K77, $C77, ($I77-$B$1)/365, $G77, $H77, $D77) - BSPrice($B77,$J77, $K77, $C77, ($I77-$B$1)/365, $G77, $H77, $D77)) * $F77</f>
        <v/>
      </c>
      <c r="BS77" s="60">
        <f>(BSPrice($B77*1,$J77+0.2, $K77, $C77, ($I77-$B$1)/365, $G77, $H77, $D77) - BSPrice($B77,$J77, $K77, $C77, ($I77-$B$1)/365, $G77, $H77, $D77)) * $F77</f>
        <v/>
      </c>
      <c r="BT77" s="60">
        <f>(BSPrice($B77*1.05,$J77+-0.05, $K77, $C77, ($I77-$B$1)/365, $G77, $H77, $D77) - BSPrice($B77,$J77, $K77, $C77, ($I77-$B$1)/365, $G77, $H77, $D77)) * $F77</f>
        <v/>
      </c>
      <c r="BU77" s="60">
        <f>(BSPrice($B77*1.05,$J77+-0.02, $K77, $C77, ($I77-$B$1)/365, $G77, $H77, $D77) - BSPrice($B77,$J77, $K77, $C77, ($I77-$B$1)/365, $G77, $H77, $D77)) * $F77</f>
        <v/>
      </c>
      <c r="BV77" s="60">
        <f>(BSPrice($B77*1.05,$J77+0, $K77, $C77, ($I77-$B$1)/365, $G77, $H77, $D77) - BSPrice($B77,$J77, $K77, $C77, ($I77-$B$1)/365, $G77, $H77, $D77)) * $F77</f>
        <v/>
      </c>
      <c r="BW77" s="60">
        <f>(BSPrice($B77*1.05,$J77+0.02, $K77, $C77, ($I77-$B$1)/365, $G77, $H77, $D77) - BSPrice($B77,$J77, $K77, $C77, ($I77-$B$1)/365, $G77, $H77, $D77)) * $F77</f>
        <v/>
      </c>
      <c r="BX77" s="60">
        <f>(BSPrice($B77*1.05,$J77+0.05, $K77, $C77, ($I77-$B$1)/365, $G77, $H77, $D77) - BSPrice($B77,$J77, $K77, $C77, ($I77-$B$1)/365, $G77, $H77, $D77)) * $F77</f>
        <v/>
      </c>
      <c r="BY77" s="60">
        <f>(BSPrice($B77*1.05,$J77+0.1, $K77, $C77, ($I77-$B$1)/365, $G77, $H77, $D77) - BSPrice($B77,$J77, $K77, $C77, ($I77-$B$1)/365, $G77, $H77, $D77)) * $F77</f>
        <v/>
      </c>
      <c r="BZ77" s="60">
        <f>(BSPrice($B77*1.05,$J77+0.2, $K77, $C77, ($I77-$B$1)/365, $G77, $H77, $D77) - BSPrice($B77,$J77, $K77, $C77, ($I77-$B$1)/365, $G77, $H77, $D77)) * $F77</f>
        <v/>
      </c>
      <c r="CA77" s="60">
        <f>(BSPrice($B77*1.1,$J77+-0.05, $K77, $C77, ($I77-$B$1)/365, $G77, $H77, $D77) - BSPrice($B77,$J77, $K77, $C77, ($I77-$B$1)/365, $G77, $H77, $D77)) * $F77</f>
        <v/>
      </c>
      <c r="CB77" s="60">
        <f>(BSPrice($B77*1.1,$J77+-0.02, $K77, $C77, ($I77-$B$1)/365, $G77, $H77, $D77) - BSPrice($B77,$J77, $K77, $C77, ($I77-$B$1)/365, $G77, $H77, $D77)) * $F77</f>
        <v/>
      </c>
      <c r="CC77" s="60">
        <f>(BSPrice($B77*1.1,$J77+0, $K77, $C77, ($I77-$B$1)/365, $G77, $H77, $D77) - BSPrice($B77,$J77, $K77, $C77, ($I77-$B$1)/365, $G77, $H77, $D77)) * $F77</f>
        <v/>
      </c>
      <c r="CD77" s="60">
        <f>(BSPrice($B77*1.1,$J77+0.02, $K77, $C77, ($I77-$B$1)/365, $G77, $H77, $D77) - BSPrice($B77,$J77, $K77, $C77, ($I77-$B$1)/365, $G77, $H77, $D77)) * $F77</f>
        <v/>
      </c>
      <c r="CE77" s="60">
        <f>(BSPrice($B77*1.1,$J77+0.05, $K77, $C77, ($I77-$B$1)/365, $G77, $H77, $D77) - BSPrice($B77,$J77, $K77, $C77, ($I77-$B$1)/365, $G77, $H77, $D77)) * $F77</f>
        <v/>
      </c>
      <c r="CF77" s="60">
        <f>(BSPrice($B77*1.1,$J77+0.1, $K77, $C77, ($I77-$B$1)/365, $G77, $H77, $D77) - BSPrice($B77,$J77, $K77, $C77, ($I77-$B$1)/365, $G77, $H77, $D77)) * $F77</f>
        <v/>
      </c>
      <c r="CG77" s="60">
        <f>(BSPrice($B77*1.1,$J77+0.2, $K77, $C77, ($I77-$B$1)/365, $G77, $H77, $D77) - BSPrice($B77,$J77, $K77, $C77, ($I77-$B$1)/365, $G77, $H77, $D77)) * $F77</f>
        <v/>
      </c>
      <c r="CH77" s="60">
        <f>(BSPrice($B77*1.2,$J77+-0.05, $K77, $C77, ($I77-$B$1)/365, $G77, $H77, $D77) - BSPrice($B77,$J77, $K77, $C77, ($I77-$B$1)/365, $G77, $H77, $D77)) * $F77</f>
        <v/>
      </c>
      <c r="CI77" s="60">
        <f>(BSPrice($B77*1.2,$J77+-0.02, $K77, $C77, ($I77-$B$1)/365, $G77, $H77, $D77) - BSPrice($B77,$J77, $K77, $C77, ($I77-$B$1)/365, $G77, $H77, $D77)) * $F77</f>
        <v/>
      </c>
      <c r="CJ77" s="60">
        <f>(BSPrice($B77*1.2,$J77+0, $K77, $C77, ($I77-$B$1)/365, $G77, $H77, $D77) - BSPrice($B77,$J77, $K77, $C77, ($I77-$B$1)/365, $G77, $H77, $D77)) * $F77</f>
        <v/>
      </c>
      <c r="CK77" s="60">
        <f>(BSPrice($B77*1.2,$J77+0.02, $K77, $C77, ($I77-$B$1)/365, $G77, $H77, $D77) - BSPrice($B77,$J77, $K77, $C77, ($I77-$B$1)/365, $G77, $H77, $D77)) * $F77</f>
        <v/>
      </c>
      <c r="CL77" s="60">
        <f>(BSPrice($B77*1.2,$J77+0.05, $K77, $C77, ($I77-$B$1)/365, $G77, $H77, $D77) - BSPrice($B77,$J77, $K77, $C77, ($I77-$B$1)/365, $G77, $H77, $D77)) * $F77</f>
        <v/>
      </c>
      <c r="CM77" s="60">
        <f>(BSPrice($B77*1.2,$J77+0.1, $K77, $C77, ($I77-$B$1)/365, $G77, $H77, $D77) - BSPrice($B77,$J77, $K77, $C77, ($I77-$B$1)/365, $G77, $H77, $D77)) * $F77</f>
        <v/>
      </c>
      <c r="CN77" s="60">
        <f>(BSPrice($B77*1.2,$J77+0.2, $K77, $C77, ($I77-$B$1)/365, $G77, $H77, $D77) - BSPrice($B77,$J77, $K77, $C77, ($I77-$B$1)/365, $G77, $H77, $D77)) * $F77</f>
        <v/>
      </c>
    </row>
    <row r="78">
      <c r="A78" s="3" t="inlineStr">
        <is>
          <t>NKY Index</t>
        </is>
      </c>
      <c r="B78" s="4">
        <f>VLOOKUP(A78,PriceData!$K$4:$L$6,2,FALSE)</f>
        <v/>
      </c>
      <c r="C78" s="46">
        <f>VLOOKUP(A78,PriceData!$K$4:$M$6,3,FALSE)</f>
        <v/>
      </c>
      <c r="D78" s="4" t="inlineStr">
        <is>
          <t>Option</t>
        </is>
      </c>
      <c r="E78" s="4" t="inlineStr">
        <is>
          <t>JPY</t>
        </is>
      </c>
      <c r="F78" s="4" t="n">
        <v>-15</v>
      </c>
      <c r="G78" t="n">
        <v>10323</v>
      </c>
      <c r="H78" s="4" t="inlineStr">
        <is>
          <t>Call</t>
        </is>
      </c>
      <c r="I78" s="5" t="n">
        <v>40347</v>
      </c>
      <c r="J78" s="46">
        <f>FindImpliedVol(A78, D78, G78, I78)</f>
        <v/>
      </c>
      <c r="K78" s="30">
        <f>VLOOKUP(I78,PriceData!$A$5:$D$7,MATCH($E78,PriceData!$A$4:$D$4,0),FALSE)</f>
        <v/>
      </c>
      <c r="L78" s="2">
        <f>BSPrice($B78,$J78, $K78, $C78, ($I78-$B$1)/365, $G78, $H78, $D78)</f>
        <v/>
      </c>
      <c r="M78" s="2">
        <f>F78*L78</f>
        <v/>
      </c>
      <c r="N78" s="4" t="inlineStr">
        <is>
          <t>Exch</t>
        </is>
      </c>
      <c r="P78" s="60">
        <f>BSDelta(B78, J78, K78, C78, (I78-$B$1)/365, G78, H78, D78)</f>
        <v/>
      </c>
      <c r="Q78" s="60">
        <f>BSGamma(B78, J78, K78, C78, (I78-$B$1)/365, G78, D78)</f>
        <v/>
      </c>
      <c r="R78" s="58">
        <f>BSVega(B78, J78, K78, C78, (I78-$B$1)/365,G78, D78)</f>
        <v/>
      </c>
      <c r="S78" s="58">
        <f>BSVolga(B78, J78, K78, C78, (I78-$B$1)/365,G78, D78)</f>
        <v/>
      </c>
      <c r="T78" s="58">
        <f>BSVanna(B78,J78,K78, C78, (I78-$B$1)/365, G78, D78)</f>
        <v/>
      </c>
      <c r="U78" s="2">
        <f>BSRho(B78, J78, K78, C78, (I78-$B$1)/365, G78, H78, D78)</f>
        <v/>
      </c>
      <c r="V78" s="65">
        <f>$F78*$P78</f>
        <v/>
      </c>
      <c r="W78" s="65">
        <f>$F78*$Q78</f>
        <v/>
      </c>
      <c r="X78" s="78">
        <f>$F78*R78</f>
        <v/>
      </c>
      <c r="Y78" s="78">
        <f>$F78*S78</f>
        <v/>
      </c>
      <c r="Z78" s="78">
        <f>$F78*T78</f>
        <v/>
      </c>
      <c r="AA78" s="78">
        <f>$F78*U78</f>
        <v/>
      </c>
      <c r="AB78" s="78">
        <f>(BSPrice($B78*0.8,$J78, $K78, $C78, ($I78-$B$1)/365, $G78, $H78, $D78) - BSPrice($B78,$J78, $K78, $C78, ($I78-$B$1)/365, $G78, $H78, $D78)) * $F78</f>
        <v/>
      </c>
      <c r="AC78" s="78">
        <f>(BSPrice($B78*0.9,$J78, $K78, $C78, ($I78-$B$1)/365, $G78, $H78, $D78) - BSPrice($B78,$J78, $K78, $C78, ($I78-$B$1)/365, $G78, $H78, $D78)) * $F78</f>
        <v/>
      </c>
      <c r="AD78" s="78">
        <f>(BSPrice($B78*0.95,$J78, $K78, $C78, ($I78-$B$1)/365, $G78, $H78, $D78) - BSPrice($B78,$J78, $K78, $C78, ($I78-$B$1)/365, $G78, $H78, $D78)) * $F78</f>
        <v/>
      </c>
      <c r="AE78" s="78">
        <f>(BSPrice($B78*0.98,$J78, $K78, $C78, ($I78-$B$1)/365, $G78, $H78, $D78) - BSPrice($B78,$J78, $K78, $C78, ($I78-$B$1)/365, $G78, $H78, $D78)) * $F78</f>
        <v/>
      </c>
      <c r="AF78" s="78">
        <f>(BSPrice($B78*1.02,$J78, $K78, $C78, ($I78-$B$1)/365, $G78, $H78, $D78) - BSPrice($B78,$J78, $K78, $C78, ($I78-$B$1)/365, $G78, $H78, $D78)) * $F78</f>
        <v/>
      </c>
      <c r="AG78" s="78">
        <f>(BSPrice($B78*1.05,$J78, $K78, $C78, ($I78-$B$1)/365, $G78, $H78, $D78) - BSPrice($B78,$J78, $K78, $C78, ($I78-$B$1)/365, $G78, $H78, $D78)) * $F78</f>
        <v/>
      </c>
      <c r="AH78" s="78">
        <f>(BSPrice($B78*1.1,$J78, $K78, $C78, ($I78-$B$1)/365, $G78, $H78, $D78) - BSPrice($B78,$J78, $K78, $C78, ($I78-$B$1)/365, $G78, $H78, $D78)) * $F78</f>
        <v/>
      </c>
      <c r="AI78" s="78">
        <f>(BSPrice($B78*1.2,$J78, $K78, $C78, ($I78-$B$1)/365, $G78, $H78, $D78) - BSPrice($B78,$J78, $K78, $C78, ($I78-$B$1)/365, $G78, $H78, $D78)) * $F78</f>
        <v/>
      </c>
      <c r="AJ78" s="78">
        <f>(BSPrice($B78,$J78-0.1, $K78, $C78, ($I78-$B$1)/365, $G78, $H78, $D78) - BSPrice($B78,$J78, $K78, $C78, ($I78-$B$1)/365, $G78, $H78, $D78)) * $F78</f>
        <v/>
      </c>
      <c r="AK78" s="78">
        <f>(BSPrice($B78,$J78-0.05,$K78,$C78,($I78-$B$1)/365,$G78,$H78,$D78)-BSPrice($B78,$J78,$K78,$C78,($I78-$B$1)/365,$G78,$H78,$D78))*$F78</f>
        <v/>
      </c>
      <c r="AL78" s="78">
        <f>(BSPrice($B78,$J78-0.02, $K78, $C78, ($I78-$B$1)/365, $G78, $H78, $D78) - BSPrice($B78,$J78, $K78, $C78, ($I78-$B$1)/365, $G78, $H78, $D78)) * $F78</f>
        <v/>
      </c>
      <c r="AM78" s="78">
        <f>(BSPrice($B78,$J78-0.01, $K78, $C78, ($I78-$B$1)/365, $G78, $H78, $D78) - BSPrice($B78,$J78, $K78, $C78, ($I78-$B$1)/365, $G78, $H78, $D78)) * $F78</f>
        <v/>
      </c>
      <c r="AN78" s="78">
        <f>(BSPrice($B78,$J78+0.01, $K78, $C78, ($I78-$B$1)/365, $G78, $H78, $D78) - BSPrice($B78,$J78, $K78, $C78, ($I78-$B$1)/365, $G78, $H78, $D78)) * $F78</f>
        <v/>
      </c>
      <c r="AO78" s="78">
        <f>(BSPrice($B78,$J78+0.02, $K78, $C78, ($I78-$B$1)/365, $G78, $H78, $D78) - BSPrice($B78,$J78, $K78, $C78, ($I78-$B$1)/365, $G78, $H78, $D78)) * $F78</f>
        <v/>
      </c>
      <c r="AP78" s="78">
        <f>(BSPrice($B78,$J78+0.05, $K78, $C78, ($I78-$B$1)/365, $G78, $H78, $D78) - BSPrice($B78,$J78, $K78, $C78, ($I78-$B$1)/365, $G78, $H78, $D78)) * $F78</f>
        <v/>
      </c>
      <c r="AQ78" s="78">
        <f>(BSPrice($B78,$J78+0.1, $K78, $C78, ($I78-$B$1)/365, $G78, $H78, $D78) - BSPrice($B78,$J78, $K78, $C78, ($I78-$B$1)/365, $G78, $H78, $D78)) * $F78</f>
        <v/>
      </c>
      <c r="AR78" s="60">
        <f>(BSPrice($B78*0.8,$J78+-0.05, $K78, $C78, ($I78-$B$1)/365, $G78, $H78, $D78) - BSPrice($B78,$J78, $K78, $C78, ($I78-$B$1)/365, $G78, $H78, $D78)) * $F78</f>
        <v/>
      </c>
      <c r="AS78" s="60">
        <f>(BSPrice($B78*0.8,$J78+-0.02, $K78, $C78, ($I78-$B$1)/365, $G78, $H78, $D78) - BSPrice($B78,$J78, $K78, $C78, ($I78-$B$1)/365, $G78, $H78, $D78)) * $F78</f>
        <v/>
      </c>
      <c r="AT78" s="60">
        <f>(BSPrice($B78*0.8,$J78+0, $K78, $C78, ($I78-$B$1)/365, $G78, $H78, $D78) - BSPrice($B78,$J78, $K78, $C78, ($I78-$B$1)/365, $G78, $H78, $D78)) * $F78</f>
        <v/>
      </c>
      <c r="AU78" s="60">
        <f>(BSPrice($B78*0.8,$J78+0.02, $K78, $C78, ($I78-$B$1)/365, $G78, $H78, $D78) - BSPrice($B78,$J78, $K78, $C78, ($I78-$B$1)/365, $G78, $H78, $D78)) * $F78</f>
        <v/>
      </c>
      <c r="AV78" s="60">
        <f>(BSPrice($B78*0.8,$J78+0.05, $K78, $C78, ($I78-$B$1)/365, $G78, $H78, $D78) - BSPrice($B78,$J78, $K78, $C78, ($I78-$B$1)/365, $G78, $H78, $D78)) * $F78</f>
        <v/>
      </c>
      <c r="AW78" s="60">
        <f>(BSPrice($B78*0.8,$J78+0.1, $K78, $C78, ($I78-$B$1)/365, $G78, $H78, $D78) - BSPrice($B78,$J78, $K78, $C78, ($I78-$B$1)/365, $G78, $H78, $D78)) * $F78</f>
        <v/>
      </c>
      <c r="AX78" s="60">
        <f>(BSPrice($B78*0.8,$J78+0.2, $K78, $C78, ($I78-$B$1)/365, $G78, $H78, $D78) - BSPrice($B78,$J78, $K78, $C78, ($I78-$B$1)/365, $G78, $H78, $D78)) * $F78</f>
        <v/>
      </c>
      <c r="AY78" s="60">
        <f>(BSPrice($B78*0.9,$J78+-0.05, $K78, $C78, ($I78-$B$1)/365, $G78, $H78, $D78) - BSPrice($B78,$J78, $K78, $C78, ($I78-$B$1)/365, $G78, $H78, $D78)) * $F78</f>
        <v/>
      </c>
      <c r="AZ78" s="60">
        <f>(BSPrice($B78*0.9,$J78+-0.02, $K78, $C78, ($I78-$B$1)/365, $G78, $H78, $D78) - BSPrice($B78,$J78, $K78, $C78, ($I78-$B$1)/365, $G78, $H78, $D78)) * $F78</f>
        <v/>
      </c>
      <c r="BA78" s="60">
        <f>(BSPrice($B78*0.9,$J78+0, $K78, $C78, ($I78-$B$1)/365, $G78, $H78, $D78) - BSPrice($B78,$J78, $K78, $C78, ($I78-$B$1)/365, $G78, $H78, $D78)) * $F78</f>
        <v/>
      </c>
      <c r="BB78" s="60">
        <f>(BSPrice($B78*0.9,$J78+0.02, $K78, $C78, ($I78-$B$1)/365, $G78, $H78, $D78) - BSPrice($B78,$J78, $K78, $C78, ($I78-$B$1)/365, $G78, $H78, $D78)) * $F78</f>
        <v/>
      </c>
      <c r="BC78" s="60">
        <f>(BSPrice($B78*0.9,$J78+0.05, $K78, $C78, ($I78-$B$1)/365, $G78, $H78, $D78) - BSPrice($B78,$J78, $K78, $C78, ($I78-$B$1)/365, $G78, $H78, $D78)) * $F78</f>
        <v/>
      </c>
      <c r="BD78" s="60">
        <f>(BSPrice($B78*0.9,$J78+0.1, $K78, $C78, ($I78-$B$1)/365, $G78, $H78, $D78) - BSPrice($B78,$J78, $K78, $C78, ($I78-$B$1)/365, $G78, $H78, $D78)) * $F78</f>
        <v/>
      </c>
      <c r="BE78" s="60">
        <f>(BSPrice($B78*0.9,$J78+0.2, $K78, $C78, ($I78-$B$1)/365, $G78, $H78, $D78) - BSPrice($B78,$J78, $K78, $C78, ($I78-$B$1)/365, $G78, $H78, $D78)) * $F78</f>
        <v/>
      </c>
      <c r="BF78" s="60">
        <f>(BSPrice($B78*0.95,$J78+-0.05, $K78, $C78, ($I78-$B$1)/365, $G78, $H78, $D78) - BSPrice($B78,$J78, $K78, $C78, ($I78-$B$1)/365, $G78, $H78, $D78)) * $F78</f>
        <v/>
      </c>
      <c r="BG78" s="60">
        <f>(BSPrice($B78*0.95,$J78+-0.02, $K78, $C78, ($I78-$B$1)/365, $G78, $H78, $D78) - BSPrice($B78,$J78, $K78, $C78, ($I78-$B$1)/365, $G78, $H78, $D78)) * $F78</f>
        <v/>
      </c>
      <c r="BH78" s="60">
        <f>(BSPrice($B78*0.95,$J78+0, $K78, $C78, ($I78-$B$1)/365, $G78, $H78, $D78) - BSPrice($B78,$J78, $K78, $C78, ($I78-$B$1)/365, $G78, $H78, $D78)) * $F78</f>
        <v/>
      </c>
      <c r="BI78" s="60">
        <f>(BSPrice($B78*0.95,$J78+0.02, $K78, $C78, ($I78-$B$1)/365, $G78, $H78, $D78) - BSPrice($B78,$J78, $K78, $C78, ($I78-$B$1)/365, $G78, $H78, $D78)) * $F78</f>
        <v/>
      </c>
      <c r="BJ78" s="60">
        <f>(BSPrice($B78*0.95,$J78+0.05, $K78, $C78, ($I78-$B$1)/365, $G78, $H78, $D78) - BSPrice($B78,$J78, $K78, $C78, ($I78-$B$1)/365, $G78, $H78, $D78)) * $F78</f>
        <v/>
      </c>
      <c r="BK78" s="60">
        <f>(BSPrice($B78*0.95,$J78+0.1, $K78, $C78, ($I78-$B$1)/365, $G78, $H78, $D78) - BSPrice($B78,$J78, $K78, $C78, ($I78-$B$1)/365, $G78, $H78, $D78)) * $F78</f>
        <v/>
      </c>
      <c r="BL78" s="60">
        <f>(BSPrice($B78*0.95,$J78+0.2, $K78, $C78, ($I78-$B$1)/365, $G78, $H78, $D78) - BSPrice($B78,$J78, $K78, $C78, ($I78-$B$1)/365, $G78, $H78, $D78)) * $F78</f>
        <v/>
      </c>
      <c r="BM78" s="60">
        <f>(BSPrice($B78*1,$J78+-0.05, $K78, $C78, ($I78-$B$1)/365, $G78, $H78, $D78) - BSPrice($B78,$J78, $K78, $C78, ($I78-$B$1)/365, $G78, $H78, $D78)) * $F78</f>
        <v/>
      </c>
      <c r="BN78" s="60">
        <f>(BSPrice($B78*1,$J78+-0.02, $K78, $C78, ($I78-$B$1)/365, $G78, $H78, $D78) - BSPrice($B78,$J78, $K78, $C78, ($I78-$B$1)/365, $G78, $H78, $D78)) * $F78</f>
        <v/>
      </c>
      <c r="BO78" s="60">
        <f>(BSPrice($B78*1,$J78+0, $K78, $C78, ($I78-$B$1)/365, $G78, $H78, $D78) - BSPrice($B78,$J78, $K78, $C78, ($I78-$B$1)/365, $G78, $H78, $D78)) * $F78</f>
        <v/>
      </c>
      <c r="BP78" s="60">
        <f>(BSPrice($B78*1,$J78+0.02, $K78, $C78, ($I78-$B$1)/365, $G78, $H78, $D78) - BSPrice($B78,$J78, $K78, $C78, ($I78-$B$1)/365, $G78, $H78, $D78)) * $F78</f>
        <v/>
      </c>
      <c r="BQ78" s="60">
        <f>(BSPrice($B78*1,$J78+0.05, $K78, $C78, ($I78-$B$1)/365, $G78, $H78, $D78) - BSPrice($B78,$J78, $K78, $C78, ($I78-$B$1)/365, $G78, $H78, $D78)) * $F78</f>
        <v/>
      </c>
      <c r="BR78" s="60">
        <f>(BSPrice($B78*1,$J78+0.1, $K78, $C78, ($I78-$B$1)/365, $G78, $H78, $D78) - BSPrice($B78,$J78, $K78, $C78, ($I78-$B$1)/365, $G78, $H78, $D78)) * $F78</f>
        <v/>
      </c>
      <c r="BS78" s="60">
        <f>(BSPrice($B78*1,$J78+0.2, $K78, $C78, ($I78-$B$1)/365, $G78, $H78, $D78) - BSPrice($B78,$J78, $K78, $C78, ($I78-$B$1)/365, $G78, $H78, $D78)) * $F78</f>
        <v/>
      </c>
      <c r="BT78" s="60">
        <f>(BSPrice($B78*1.05,$J78+-0.05, $K78, $C78, ($I78-$B$1)/365, $G78, $H78, $D78) - BSPrice($B78,$J78, $K78, $C78, ($I78-$B$1)/365, $G78, $H78, $D78)) * $F78</f>
        <v/>
      </c>
      <c r="BU78" s="60">
        <f>(BSPrice($B78*1.05,$J78+-0.02, $K78, $C78, ($I78-$B$1)/365, $G78, $H78, $D78) - BSPrice($B78,$J78, $K78, $C78, ($I78-$B$1)/365, $G78, $H78, $D78)) * $F78</f>
        <v/>
      </c>
      <c r="BV78" s="60">
        <f>(BSPrice($B78*1.05,$J78+0, $K78, $C78, ($I78-$B$1)/365, $G78, $H78, $D78) - BSPrice($B78,$J78, $K78, $C78, ($I78-$B$1)/365, $G78, $H78, $D78)) * $F78</f>
        <v/>
      </c>
      <c r="BW78" s="60">
        <f>(BSPrice($B78*1.05,$J78+0.02, $K78, $C78, ($I78-$B$1)/365, $G78, $H78, $D78) - BSPrice($B78,$J78, $K78, $C78, ($I78-$B$1)/365, $G78, $H78, $D78)) * $F78</f>
        <v/>
      </c>
      <c r="BX78" s="60">
        <f>(BSPrice($B78*1.05,$J78+0.05, $K78, $C78, ($I78-$B$1)/365, $G78, $H78, $D78) - BSPrice($B78,$J78, $K78, $C78, ($I78-$B$1)/365, $G78, $H78, $D78)) * $F78</f>
        <v/>
      </c>
      <c r="BY78" s="60">
        <f>(BSPrice($B78*1.05,$J78+0.1, $K78, $C78, ($I78-$B$1)/365, $G78, $H78, $D78) - BSPrice($B78,$J78, $K78, $C78, ($I78-$B$1)/365, $G78, $H78, $D78)) * $F78</f>
        <v/>
      </c>
      <c r="BZ78" s="60">
        <f>(BSPrice($B78*1.05,$J78+0.2, $K78, $C78, ($I78-$B$1)/365, $G78, $H78, $D78) - BSPrice($B78,$J78, $K78, $C78, ($I78-$B$1)/365, $G78, $H78, $D78)) * $F78</f>
        <v/>
      </c>
      <c r="CA78" s="60">
        <f>(BSPrice($B78*1.1,$J78+-0.05, $K78, $C78, ($I78-$B$1)/365, $G78, $H78, $D78) - BSPrice($B78,$J78, $K78, $C78, ($I78-$B$1)/365, $G78, $H78, $D78)) * $F78</f>
        <v/>
      </c>
      <c r="CB78" s="60">
        <f>(BSPrice($B78*1.1,$J78+-0.02, $K78, $C78, ($I78-$B$1)/365, $G78, $H78, $D78) - BSPrice($B78,$J78, $K78, $C78, ($I78-$B$1)/365, $G78, $H78, $D78)) * $F78</f>
        <v/>
      </c>
      <c r="CC78" s="60">
        <f>(BSPrice($B78*1.1,$J78+0, $K78, $C78, ($I78-$B$1)/365, $G78, $H78, $D78) - BSPrice($B78,$J78, $K78, $C78, ($I78-$B$1)/365, $G78, $H78, $D78)) * $F78</f>
        <v/>
      </c>
      <c r="CD78" s="60">
        <f>(BSPrice($B78*1.1,$J78+0.02, $K78, $C78, ($I78-$B$1)/365, $G78, $H78, $D78) - BSPrice($B78,$J78, $K78, $C78, ($I78-$B$1)/365, $G78, $H78, $D78)) * $F78</f>
        <v/>
      </c>
      <c r="CE78" s="60">
        <f>(BSPrice($B78*1.1,$J78+0.05, $K78, $C78, ($I78-$B$1)/365, $G78, $H78, $D78) - BSPrice($B78,$J78, $K78, $C78, ($I78-$B$1)/365, $G78, $H78, $D78)) * $F78</f>
        <v/>
      </c>
      <c r="CF78" s="60">
        <f>(BSPrice($B78*1.1,$J78+0.1, $K78, $C78, ($I78-$B$1)/365, $G78, $H78, $D78) - BSPrice($B78,$J78, $K78, $C78, ($I78-$B$1)/365, $G78, $H78, $D78)) * $F78</f>
        <v/>
      </c>
      <c r="CG78" s="60">
        <f>(BSPrice($B78*1.1,$J78+0.2, $K78, $C78, ($I78-$B$1)/365, $G78, $H78, $D78) - BSPrice($B78,$J78, $K78, $C78, ($I78-$B$1)/365, $G78, $H78, $D78)) * $F78</f>
        <v/>
      </c>
      <c r="CH78" s="60">
        <f>(BSPrice($B78*1.2,$J78+-0.05, $K78, $C78, ($I78-$B$1)/365, $G78, $H78, $D78) - BSPrice($B78,$J78, $K78, $C78, ($I78-$B$1)/365, $G78, $H78, $D78)) * $F78</f>
        <v/>
      </c>
      <c r="CI78" s="60">
        <f>(BSPrice($B78*1.2,$J78+-0.02, $K78, $C78, ($I78-$B$1)/365, $G78, $H78, $D78) - BSPrice($B78,$J78, $K78, $C78, ($I78-$B$1)/365, $G78, $H78, $D78)) * $F78</f>
        <v/>
      </c>
      <c r="CJ78" s="60">
        <f>(BSPrice($B78*1.2,$J78+0, $K78, $C78, ($I78-$B$1)/365, $G78, $H78, $D78) - BSPrice($B78,$J78, $K78, $C78, ($I78-$B$1)/365, $G78, $H78, $D78)) * $F78</f>
        <v/>
      </c>
      <c r="CK78" s="60">
        <f>(BSPrice($B78*1.2,$J78+0.02, $K78, $C78, ($I78-$B$1)/365, $G78, $H78, $D78) - BSPrice($B78,$J78, $K78, $C78, ($I78-$B$1)/365, $G78, $H78, $D78)) * $F78</f>
        <v/>
      </c>
      <c r="CL78" s="60">
        <f>(BSPrice($B78*1.2,$J78+0.05, $K78, $C78, ($I78-$B$1)/365, $G78, $H78, $D78) - BSPrice($B78,$J78, $K78, $C78, ($I78-$B$1)/365, $G78, $H78, $D78)) * $F78</f>
        <v/>
      </c>
      <c r="CM78" s="60">
        <f>(BSPrice($B78*1.2,$J78+0.1, $K78, $C78, ($I78-$B$1)/365, $G78, $H78, $D78) - BSPrice($B78,$J78, $K78, $C78, ($I78-$B$1)/365, $G78, $H78, $D78)) * $F78</f>
        <v/>
      </c>
      <c r="CN78" s="60">
        <f>(BSPrice($B78*1.2,$J78+0.2, $K78, $C78, ($I78-$B$1)/365, $G78, $H78, $D78) - BSPrice($B78,$J78, $K78, $C78, ($I78-$B$1)/365, $G78, $H78, $D78)) * $F78</f>
        <v/>
      </c>
    </row>
    <row r="79">
      <c r="A79" s="3" t="inlineStr">
        <is>
          <t>NKY Index</t>
        </is>
      </c>
      <c r="B79" s="4">
        <f>VLOOKUP(A79,PriceData!$K$4:$L$6,2,FALSE)</f>
        <v/>
      </c>
      <c r="C79" s="46">
        <f>VLOOKUP(A79,PriceData!$K$4:$M$6,3,FALSE)</f>
        <v/>
      </c>
      <c r="D79" s="4" t="inlineStr">
        <is>
          <t>Option</t>
        </is>
      </c>
      <c r="E79" s="4" t="inlineStr">
        <is>
          <t>JPY</t>
        </is>
      </c>
      <c r="F79" s="4" t="n">
        <v>-20</v>
      </c>
      <c r="G79" t="n">
        <v>10022</v>
      </c>
      <c r="H79" s="4" t="inlineStr">
        <is>
          <t>Put</t>
        </is>
      </c>
      <c r="I79" s="5" t="n">
        <v>40347</v>
      </c>
      <c r="J79" s="46">
        <f>FindImpliedVol(A79, D79, G79, I79)</f>
        <v/>
      </c>
      <c r="K79" s="30">
        <f>VLOOKUP(I79,PriceData!$A$5:$D$7,MATCH($E79,PriceData!$A$4:$D$4,0),FALSE)</f>
        <v/>
      </c>
      <c r="L79" s="2">
        <f>BSPrice($B79,$J79, $K79, $C79, ($I79-$B$1)/365, $G79, $H79, $D79)</f>
        <v/>
      </c>
      <c r="M79" s="2">
        <f>F79*L79</f>
        <v/>
      </c>
      <c r="N79" s="4" t="inlineStr">
        <is>
          <t>Exch</t>
        </is>
      </c>
      <c r="P79" s="60">
        <f>BSDelta(B79, J79, K79, C79, (I79-$B$1)/365, G79, H79, D79)</f>
        <v/>
      </c>
      <c r="Q79" s="60">
        <f>BSGamma(B79, J79, K79, C79, (I79-$B$1)/365, G79, D79)</f>
        <v/>
      </c>
      <c r="R79" s="58">
        <f>BSVega(B79, J79, K79, C79, (I79-$B$1)/365,G79, D79)</f>
        <v/>
      </c>
      <c r="S79" s="58">
        <f>BSVolga(B79, J79, K79, C79, (I79-$B$1)/365,G79, D79)</f>
        <v/>
      </c>
      <c r="T79" s="58">
        <f>BSVanna(B79,J79,K79, C79, (I79-$B$1)/365, G79, D79)</f>
        <v/>
      </c>
      <c r="U79" s="2">
        <f>BSRho(B79, J79, K79, C79, (I79-$B$1)/365, G79, H79, D79)</f>
        <v/>
      </c>
      <c r="V79" s="65">
        <f>$F79*$P79</f>
        <v/>
      </c>
      <c r="W79" s="65">
        <f>$F79*$Q79</f>
        <v/>
      </c>
      <c r="X79" s="78">
        <f>$F79*R79</f>
        <v/>
      </c>
      <c r="Y79" s="78">
        <f>$F79*S79</f>
        <v/>
      </c>
      <c r="Z79" s="78">
        <f>$F79*T79</f>
        <v/>
      </c>
      <c r="AA79" s="78">
        <f>$F79*U79</f>
        <v/>
      </c>
      <c r="AB79" s="78">
        <f>(BSPrice($B79*0.8,$J79, $K79, $C79, ($I79-$B$1)/365, $G79, $H79, $D79) - BSPrice($B79,$J79, $K79, $C79, ($I79-$B$1)/365, $G79, $H79, $D79)) * $F79</f>
        <v/>
      </c>
      <c r="AC79" s="78">
        <f>(BSPrice($B79*0.9,$J79, $K79, $C79, ($I79-$B$1)/365, $G79, $H79, $D79) - BSPrice($B79,$J79, $K79, $C79, ($I79-$B$1)/365, $G79, $H79, $D79)) * $F79</f>
        <v/>
      </c>
      <c r="AD79" s="78">
        <f>(BSPrice($B79*0.95,$J79, $K79, $C79, ($I79-$B$1)/365, $G79, $H79, $D79) - BSPrice($B79,$J79, $K79, $C79, ($I79-$B$1)/365, $G79, $H79, $D79)) * $F79</f>
        <v/>
      </c>
      <c r="AE79" s="78">
        <f>(BSPrice($B79*0.98,$J79, $K79, $C79, ($I79-$B$1)/365, $G79, $H79, $D79) - BSPrice($B79,$J79, $K79, $C79, ($I79-$B$1)/365, $G79, $H79, $D79)) * $F79</f>
        <v/>
      </c>
      <c r="AF79" s="78">
        <f>(BSPrice($B79*1.02,$J79, $K79, $C79, ($I79-$B$1)/365, $G79, $H79, $D79) - BSPrice($B79,$J79, $K79, $C79, ($I79-$B$1)/365, $G79, $H79, $D79)) * $F79</f>
        <v/>
      </c>
      <c r="AG79" s="78">
        <f>(BSPrice($B79*1.05,$J79, $K79, $C79, ($I79-$B$1)/365, $G79, $H79, $D79) - BSPrice($B79,$J79, $K79, $C79, ($I79-$B$1)/365, $G79, $H79, $D79)) * $F79</f>
        <v/>
      </c>
      <c r="AH79" s="78">
        <f>(BSPrice($B79*1.1,$J79, $K79, $C79, ($I79-$B$1)/365, $G79, $H79, $D79) - BSPrice($B79,$J79, $K79, $C79, ($I79-$B$1)/365, $G79, $H79, $D79)) * $F79</f>
        <v/>
      </c>
      <c r="AI79" s="78">
        <f>(BSPrice($B79*1.2,$J79, $K79, $C79, ($I79-$B$1)/365, $G79, $H79, $D79) - BSPrice($B79,$J79, $K79, $C79, ($I79-$B$1)/365, $G79, $H79, $D79)) * $F79</f>
        <v/>
      </c>
      <c r="AJ79" s="78">
        <f>(BSPrice($B79,$J79-0.1, $K79, $C79, ($I79-$B$1)/365, $G79, $H79, $D79) - BSPrice($B79,$J79, $K79, $C79, ($I79-$B$1)/365, $G79, $H79, $D79)) * $F79</f>
        <v/>
      </c>
      <c r="AK79" s="78">
        <f>(BSPrice($B79,$J79-0.05,$K79,$C79,($I79-$B$1)/365,$G79,$H79,$D79)-BSPrice($B79,$J79,$K79,$C79,($I79-$B$1)/365,$G79,$H79,$D79))*$F79</f>
        <v/>
      </c>
      <c r="AL79" s="78">
        <f>(BSPrice($B79,$J79-0.02, $K79, $C79, ($I79-$B$1)/365, $G79, $H79, $D79) - BSPrice($B79,$J79, $K79, $C79, ($I79-$B$1)/365, $G79, $H79, $D79)) * $F79</f>
        <v/>
      </c>
      <c r="AM79" s="78">
        <f>(BSPrice($B79,$J79-0.01, $K79, $C79, ($I79-$B$1)/365, $G79, $H79, $D79) - BSPrice($B79,$J79, $K79, $C79, ($I79-$B$1)/365, $G79, $H79, $D79)) * $F79</f>
        <v/>
      </c>
      <c r="AN79" s="78">
        <f>(BSPrice($B79,$J79+0.01, $K79, $C79, ($I79-$B$1)/365, $G79, $H79, $D79) - BSPrice($B79,$J79, $K79, $C79, ($I79-$B$1)/365, $G79, $H79, $D79)) * $F79</f>
        <v/>
      </c>
      <c r="AO79" s="78">
        <f>(BSPrice($B79,$J79+0.02, $K79, $C79, ($I79-$B$1)/365, $G79, $H79, $D79) - BSPrice($B79,$J79, $K79, $C79, ($I79-$B$1)/365, $G79, $H79, $D79)) * $F79</f>
        <v/>
      </c>
      <c r="AP79" s="78">
        <f>(BSPrice($B79,$J79+0.05, $K79, $C79, ($I79-$B$1)/365, $G79, $H79, $D79) - BSPrice($B79,$J79, $K79, $C79, ($I79-$B$1)/365, $G79, $H79, $D79)) * $F79</f>
        <v/>
      </c>
      <c r="AQ79" s="78">
        <f>(BSPrice($B79,$J79+0.1, $K79, $C79, ($I79-$B$1)/365, $G79, $H79, $D79) - BSPrice($B79,$J79, $K79, $C79, ($I79-$B$1)/365, $G79, $H79, $D79)) * $F79</f>
        <v/>
      </c>
      <c r="AR79" s="60">
        <f>(BSPrice($B79*0.8,$J79+-0.05, $K79, $C79, ($I79-$B$1)/365, $G79, $H79, $D79) - BSPrice($B79,$J79, $K79, $C79, ($I79-$B$1)/365, $G79, $H79, $D79)) * $F79</f>
        <v/>
      </c>
      <c r="AS79" s="60">
        <f>(BSPrice($B79*0.8,$J79+-0.02, $K79, $C79, ($I79-$B$1)/365, $G79, $H79, $D79) - BSPrice($B79,$J79, $K79, $C79, ($I79-$B$1)/365, $G79, $H79, $D79)) * $F79</f>
        <v/>
      </c>
      <c r="AT79" s="60">
        <f>(BSPrice($B79*0.8,$J79+0, $K79, $C79, ($I79-$B$1)/365, $G79, $H79, $D79) - BSPrice($B79,$J79, $K79, $C79, ($I79-$B$1)/365, $G79, $H79, $D79)) * $F79</f>
        <v/>
      </c>
      <c r="AU79" s="60">
        <f>(BSPrice($B79*0.8,$J79+0.02, $K79, $C79, ($I79-$B$1)/365, $G79, $H79, $D79) - BSPrice($B79,$J79, $K79, $C79, ($I79-$B$1)/365, $G79, $H79, $D79)) * $F79</f>
        <v/>
      </c>
      <c r="AV79" s="60">
        <f>(BSPrice($B79*0.8,$J79+0.05, $K79, $C79, ($I79-$B$1)/365, $G79, $H79, $D79) - BSPrice($B79,$J79, $K79, $C79, ($I79-$B$1)/365, $G79, $H79, $D79)) * $F79</f>
        <v/>
      </c>
      <c r="AW79" s="60">
        <f>(BSPrice($B79*0.8,$J79+0.1, $K79, $C79, ($I79-$B$1)/365, $G79, $H79, $D79) - BSPrice($B79,$J79, $K79, $C79, ($I79-$B$1)/365, $G79, $H79, $D79)) * $F79</f>
        <v/>
      </c>
      <c r="AX79" s="60">
        <f>(BSPrice($B79*0.8,$J79+0.2, $K79, $C79, ($I79-$B$1)/365, $G79, $H79, $D79) - BSPrice($B79,$J79, $K79, $C79, ($I79-$B$1)/365, $G79, $H79, $D79)) * $F79</f>
        <v/>
      </c>
      <c r="AY79" s="60">
        <f>(BSPrice($B79*0.9,$J79+-0.05, $K79, $C79, ($I79-$B$1)/365, $G79, $H79, $D79) - BSPrice($B79,$J79, $K79, $C79, ($I79-$B$1)/365, $G79, $H79, $D79)) * $F79</f>
        <v/>
      </c>
      <c r="AZ79" s="60">
        <f>(BSPrice($B79*0.9,$J79+-0.02, $K79, $C79, ($I79-$B$1)/365, $G79, $H79, $D79) - BSPrice($B79,$J79, $K79, $C79, ($I79-$B$1)/365, $G79, $H79, $D79)) * $F79</f>
        <v/>
      </c>
      <c r="BA79" s="60">
        <f>(BSPrice($B79*0.9,$J79+0, $K79, $C79, ($I79-$B$1)/365, $G79, $H79, $D79) - BSPrice($B79,$J79, $K79, $C79, ($I79-$B$1)/365, $G79, $H79, $D79)) * $F79</f>
        <v/>
      </c>
      <c r="BB79" s="60">
        <f>(BSPrice($B79*0.9,$J79+0.02, $K79, $C79, ($I79-$B$1)/365, $G79, $H79, $D79) - BSPrice($B79,$J79, $K79, $C79, ($I79-$B$1)/365, $G79, $H79, $D79)) * $F79</f>
        <v/>
      </c>
      <c r="BC79" s="60">
        <f>(BSPrice($B79*0.9,$J79+0.05, $K79, $C79, ($I79-$B$1)/365, $G79, $H79, $D79) - BSPrice($B79,$J79, $K79, $C79, ($I79-$B$1)/365, $G79, $H79, $D79)) * $F79</f>
        <v/>
      </c>
      <c r="BD79" s="60">
        <f>(BSPrice($B79*0.9,$J79+0.1, $K79, $C79, ($I79-$B$1)/365, $G79, $H79, $D79) - BSPrice($B79,$J79, $K79, $C79, ($I79-$B$1)/365, $G79, $H79, $D79)) * $F79</f>
        <v/>
      </c>
      <c r="BE79" s="60">
        <f>(BSPrice($B79*0.9,$J79+0.2, $K79, $C79, ($I79-$B$1)/365, $G79, $H79, $D79) - BSPrice($B79,$J79, $K79, $C79, ($I79-$B$1)/365, $G79, $H79, $D79)) * $F79</f>
        <v/>
      </c>
      <c r="BF79" s="60">
        <f>(BSPrice($B79*0.95,$J79+-0.05, $K79, $C79, ($I79-$B$1)/365, $G79, $H79, $D79) - BSPrice($B79,$J79, $K79, $C79, ($I79-$B$1)/365, $G79, $H79, $D79)) * $F79</f>
        <v/>
      </c>
      <c r="BG79" s="60">
        <f>(BSPrice($B79*0.95,$J79+-0.02, $K79, $C79, ($I79-$B$1)/365, $G79, $H79, $D79) - BSPrice($B79,$J79, $K79, $C79, ($I79-$B$1)/365, $G79, $H79, $D79)) * $F79</f>
        <v/>
      </c>
      <c r="BH79" s="60">
        <f>(BSPrice($B79*0.95,$J79+0, $K79, $C79, ($I79-$B$1)/365, $G79, $H79, $D79) - BSPrice($B79,$J79, $K79, $C79, ($I79-$B$1)/365, $G79, $H79, $D79)) * $F79</f>
        <v/>
      </c>
      <c r="BI79" s="60">
        <f>(BSPrice($B79*0.95,$J79+0.02, $K79, $C79, ($I79-$B$1)/365, $G79, $H79, $D79) - BSPrice($B79,$J79, $K79, $C79, ($I79-$B$1)/365, $G79, $H79, $D79)) * $F79</f>
        <v/>
      </c>
      <c r="BJ79" s="60">
        <f>(BSPrice($B79*0.95,$J79+0.05, $K79, $C79, ($I79-$B$1)/365, $G79, $H79, $D79) - BSPrice($B79,$J79, $K79, $C79, ($I79-$B$1)/365, $G79, $H79, $D79)) * $F79</f>
        <v/>
      </c>
      <c r="BK79" s="60">
        <f>(BSPrice($B79*0.95,$J79+0.1, $K79, $C79, ($I79-$B$1)/365, $G79, $H79, $D79) - BSPrice($B79,$J79, $K79, $C79, ($I79-$B$1)/365, $G79, $H79, $D79)) * $F79</f>
        <v/>
      </c>
      <c r="BL79" s="60">
        <f>(BSPrice($B79*0.95,$J79+0.2, $K79, $C79, ($I79-$B$1)/365, $G79, $H79, $D79) - BSPrice($B79,$J79, $K79, $C79, ($I79-$B$1)/365, $G79, $H79, $D79)) * $F79</f>
        <v/>
      </c>
      <c r="BM79" s="60">
        <f>(BSPrice($B79*1,$J79+-0.05, $K79, $C79, ($I79-$B$1)/365, $G79, $H79, $D79) - BSPrice($B79,$J79, $K79, $C79, ($I79-$B$1)/365, $G79, $H79, $D79)) * $F79</f>
        <v/>
      </c>
      <c r="BN79" s="60">
        <f>(BSPrice($B79*1,$J79+-0.02, $K79, $C79, ($I79-$B$1)/365, $G79, $H79, $D79) - BSPrice($B79,$J79, $K79, $C79, ($I79-$B$1)/365, $G79, $H79, $D79)) * $F79</f>
        <v/>
      </c>
      <c r="BO79" s="60">
        <f>(BSPrice($B79*1,$J79+0, $K79, $C79, ($I79-$B$1)/365, $G79, $H79, $D79) - BSPrice($B79,$J79, $K79, $C79, ($I79-$B$1)/365, $G79, $H79, $D79)) * $F79</f>
        <v/>
      </c>
      <c r="BP79" s="60">
        <f>(BSPrice($B79*1,$J79+0.02, $K79, $C79, ($I79-$B$1)/365, $G79, $H79, $D79) - BSPrice($B79,$J79, $K79, $C79, ($I79-$B$1)/365, $G79, $H79, $D79)) * $F79</f>
        <v/>
      </c>
      <c r="BQ79" s="60">
        <f>(BSPrice($B79*1,$J79+0.05, $K79, $C79, ($I79-$B$1)/365, $G79, $H79, $D79) - BSPrice($B79,$J79, $K79, $C79, ($I79-$B$1)/365, $G79, $H79, $D79)) * $F79</f>
        <v/>
      </c>
      <c r="BR79" s="60">
        <f>(BSPrice($B79*1,$J79+0.1, $K79, $C79, ($I79-$B$1)/365, $G79, $H79, $D79) - BSPrice($B79,$J79, $K79, $C79, ($I79-$B$1)/365, $G79, $H79, $D79)) * $F79</f>
        <v/>
      </c>
      <c r="BS79" s="60">
        <f>(BSPrice($B79*1,$J79+0.2, $K79, $C79, ($I79-$B$1)/365, $G79, $H79, $D79) - BSPrice($B79,$J79, $K79, $C79, ($I79-$B$1)/365, $G79, $H79, $D79)) * $F79</f>
        <v/>
      </c>
      <c r="BT79" s="60">
        <f>(BSPrice($B79*1.05,$J79+-0.05, $K79, $C79, ($I79-$B$1)/365, $G79, $H79, $D79) - BSPrice($B79,$J79, $K79, $C79, ($I79-$B$1)/365, $G79, $H79, $D79)) * $F79</f>
        <v/>
      </c>
      <c r="BU79" s="60">
        <f>(BSPrice($B79*1.05,$J79+-0.02, $K79, $C79, ($I79-$B$1)/365, $G79, $H79, $D79) - BSPrice($B79,$J79, $K79, $C79, ($I79-$B$1)/365, $G79, $H79, $D79)) * $F79</f>
        <v/>
      </c>
      <c r="BV79" s="60">
        <f>(BSPrice($B79*1.05,$J79+0, $K79, $C79, ($I79-$B$1)/365, $G79, $H79, $D79) - BSPrice($B79,$J79, $K79, $C79, ($I79-$B$1)/365, $G79, $H79, $D79)) * $F79</f>
        <v/>
      </c>
      <c r="BW79" s="60">
        <f>(BSPrice($B79*1.05,$J79+0.02, $K79, $C79, ($I79-$B$1)/365, $G79, $H79, $D79) - BSPrice($B79,$J79, $K79, $C79, ($I79-$B$1)/365, $G79, $H79, $D79)) * $F79</f>
        <v/>
      </c>
      <c r="BX79" s="60">
        <f>(BSPrice($B79*1.05,$J79+0.05, $K79, $C79, ($I79-$B$1)/365, $G79, $H79, $D79) - BSPrice($B79,$J79, $K79, $C79, ($I79-$B$1)/365, $G79, $H79, $D79)) * $F79</f>
        <v/>
      </c>
      <c r="BY79" s="60">
        <f>(BSPrice($B79*1.05,$J79+0.1, $K79, $C79, ($I79-$B$1)/365, $G79, $H79, $D79) - BSPrice($B79,$J79, $K79, $C79, ($I79-$B$1)/365, $G79, $H79, $D79)) * $F79</f>
        <v/>
      </c>
      <c r="BZ79" s="60">
        <f>(BSPrice($B79*1.05,$J79+0.2, $K79, $C79, ($I79-$B$1)/365, $G79, $H79, $D79) - BSPrice($B79,$J79, $K79, $C79, ($I79-$B$1)/365, $G79, $H79, $D79)) * $F79</f>
        <v/>
      </c>
      <c r="CA79" s="60">
        <f>(BSPrice($B79*1.1,$J79+-0.05, $K79, $C79, ($I79-$B$1)/365, $G79, $H79, $D79) - BSPrice($B79,$J79, $K79, $C79, ($I79-$B$1)/365, $G79, $H79, $D79)) * $F79</f>
        <v/>
      </c>
      <c r="CB79" s="60">
        <f>(BSPrice($B79*1.1,$J79+-0.02, $K79, $C79, ($I79-$B$1)/365, $G79, $H79, $D79) - BSPrice($B79,$J79, $K79, $C79, ($I79-$B$1)/365, $G79, $H79, $D79)) * $F79</f>
        <v/>
      </c>
      <c r="CC79" s="60">
        <f>(BSPrice($B79*1.1,$J79+0, $K79, $C79, ($I79-$B$1)/365, $G79, $H79, $D79) - BSPrice($B79,$J79, $K79, $C79, ($I79-$B$1)/365, $G79, $H79, $D79)) * $F79</f>
        <v/>
      </c>
      <c r="CD79" s="60">
        <f>(BSPrice($B79*1.1,$J79+0.02, $K79, $C79, ($I79-$B$1)/365, $G79, $H79, $D79) - BSPrice($B79,$J79, $K79, $C79, ($I79-$B$1)/365, $G79, $H79, $D79)) * $F79</f>
        <v/>
      </c>
      <c r="CE79" s="60">
        <f>(BSPrice($B79*1.1,$J79+0.05, $K79, $C79, ($I79-$B$1)/365, $G79, $H79, $D79) - BSPrice($B79,$J79, $K79, $C79, ($I79-$B$1)/365, $G79, $H79, $D79)) * $F79</f>
        <v/>
      </c>
      <c r="CF79" s="60">
        <f>(BSPrice($B79*1.1,$J79+0.1, $K79, $C79, ($I79-$B$1)/365, $G79, $H79, $D79) - BSPrice($B79,$J79, $K79, $C79, ($I79-$B$1)/365, $G79, $H79, $D79)) * $F79</f>
        <v/>
      </c>
      <c r="CG79" s="60">
        <f>(BSPrice($B79*1.1,$J79+0.2, $K79, $C79, ($I79-$B$1)/365, $G79, $H79, $D79) - BSPrice($B79,$J79, $K79, $C79, ($I79-$B$1)/365, $G79, $H79, $D79)) * $F79</f>
        <v/>
      </c>
      <c r="CH79" s="60">
        <f>(BSPrice($B79*1.2,$J79+-0.05, $K79, $C79, ($I79-$B$1)/365, $G79, $H79, $D79) - BSPrice($B79,$J79, $K79, $C79, ($I79-$B$1)/365, $G79, $H79, $D79)) * $F79</f>
        <v/>
      </c>
      <c r="CI79" s="60">
        <f>(BSPrice($B79*1.2,$J79+-0.02, $K79, $C79, ($I79-$B$1)/365, $G79, $H79, $D79) - BSPrice($B79,$J79, $K79, $C79, ($I79-$B$1)/365, $G79, $H79, $D79)) * $F79</f>
        <v/>
      </c>
      <c r="CJ79" s="60">
        <f>(BSPrice($B79*1.2,$J79+0, $K79, $C79, ($I79-$B$1)/365, $G79, $H79, $D79) - BSPrice($B79,$J79, $K79, $C79, ($I79-$B$1)/365, $G79, $H79, $D79)) * $F79</f>
        <v/>
      </c>
      <c r="CK79" s="60">
        <f>(BSPrice($B79*1.2,$J79+0.02, $K79, $C79, ($I79-$B$1)/365, $G79, $H79, $D79) - BSPrice($B79,$J79, $K79, $C79, ($I79-$B$1)/365, $G79, $H79, $D79)) * $F79</f>
        <v/>
      </c>
      <c r="CL79" s="60">
        <f>(BSPrice($B79*1.2,$J79+0.05, $K79, $C79, ($I79-$B$1)/365, $G79, $H79, $D79) - BSPrice($B79,$J79, $K79, $C79, ($I79-$B$1)/365, $G79, $H79, $D79)) * $F79</f>
        <v/>
      </c>
      <c r="CM79" s="60">
        <f>(BSPrice($B79*1.2,$J79+0.1, $K79, $C79, ($I79-$B$1)/365, $G79, $H79, $D79) - BSPrice($B79,$J79, $K79, $C79, ($I79-$B$1)/365, $G79, $H79, $D79)) * $F79</f>
        <v/>
      </c>
      <c r="CN79" s="60">
        <f>(BSPrice($B79*1.2,$J79+0.2, $K79, $C79, ($I79-$B$1)/365, $G79, $H79, $D79) - BSPrice($B79,$J79, $K79, $C79, ($I79-$B$1)/365, $G79, $H79, $D79)) * $F79</f>
        <v/>
      </c>
    </row>
    <row r="80">
      <c r="A80" s="3" t="inlineStr">
        <is>
          <t>NKY Index</t>
        </is>
      </c>
      <c r="B80" s="4">
        <f>VLOOKUP(A80,PriceData!$K$4:$L$6,2,FALSE)</f>
        <v/>
      </c>
      <c r="C80" s="46">
        <f>VLOOKUP(A80,PriceData!$K$4:$M$6,3,FALSE)</f>
        <v/>
      </c>
      <c r="D80" s="4" t="inlineStr">
        <is>
          <t>Option</t>
        </is>
      </c>
      <c r="E80" s="4" t="inlineStr">
        <is>
          <t>JPY</t>
        </is>
      </c>
      <c r="F80" s="4" t="n">
        <v>-20</v>
      </c>
      <c r="G80" t="n">
        <v>11525</v>
      </c>
      <c r="H80" s="4" t="inlineStr">
        <is>
          <t>Call</t>
        </is>
      </c>
      <c r="I80" s="5" t="n">
        <v>40347</v>
      </c>
      <c r="J80" s="46">
        <f>FindImpliedVol(A80, D80, G80, I80)</f>
        <v/>
      </c>
      <c r="K80" s="30">
        <f>VLOOKUP(I80,PriceData!$A$5:$D$7,MATCH($E80,PriceData!$A$4:$D$4,0),FALSE)</f>
        <v/>
      </c>
      <c r="L80" s="2">
        <f>BSPrice($B80,$J80, $K80, $C80, ($I80-$B$1)/365, $G80, $H80, $D80)</f>
        <v/>
      </c>
      <c r="M80" s="2">
        <f>F80*L80</f>
        <v/>
      </c>
      <c r="N80" s="4" t="inlineStr">
        <is>
          <t>JP Horgan</t>
        </is>
      </c>
      <c r="P80" s="60">
        <f>BSDelta(B80, J80, K80, C80, (I80-$B$1)/365, G80, H80, D80)</f>
        <v/>
      </c>
      <c r="Q80" s="60">
        <f>BSGamma(B80, J80, K80, C80, (I80-$B$1)/365, G80, D80)</f>
        <v/>
      </c>
      <c r="R80" s="58">
        <f>BSVega(B80, J80, K80, C80, (I80-$B$1)/365,G80, D80)</f>
        <v/>
      </c>
      <c r="S80" s="58">
        <f>BSVolga(B80, J80, K80, C80, (I80-$B$1)/365,G80, D80)</f>
        <v/>
      </c>
      <c r="T80" s="58">
        <f>BSVanna(B80,J80,K80, C80, (I80-$B$1)/365, G80, D80)</f>
        <v/>
      </c>
      <c r="U80" s="2">
        <f>BSRho(B80, J80, K80, C80, (I80-$B$1)/365, G80, H80, D80)</f>
        <v/>
      </c>
      <c r="V80" s="65">
        <f>$F80*$P80</f>
        <v/>
      </c>
      <c r="W80" s="65">
        <f>$F80*$Q80</f>
        <v/>
      </c>
      <c r="X80" s="78">
        <f>$F80*R80</f>
        <v/>
      </c>
      <c r="Y80" s="78">
        <f>$F80*S80</f>
        <v/>
      </c>
      <c r="Z80" s="78">
        <f>$F80*T80</f>
        <v/>
      </c>
      <c r="AA80" s="78">
        <f>$F80*U80</f>
        <v/>
      </c>
      <c r="AB80" s="78">
        <f>(BSPrice($B80*0.8,$J80, $K80, $C80, ($I80-$B$1)/365, $G80, $H80, $D80) - BSPrice($B80,$J80, $K80, $C80, ($I80-$B$1)/365, $G80, $H80, $D80)) * $F80</f>
        <v/>
      </c>
      <c r="AC80" s="78">
        <f>(BSPrice($B80*0.9,$J80, $K80, $C80, ($I80-$B$1)/365, $G80, $H80, $D80) - BSPrice($B80,$J80, $K80, $C80, ($I80-$B$1)/365, $G80, $H80, $D80)) * $F80</f>
        <v/>
      </c>
      <c r="AD80" s="78">
        <f>(BSPrice($B80*0.95,$J80, $K80, $C80, ($I80-$B$1)/365, $G80, $H80, $D80) - BSPrice($B80,$J80, $K80, $C80, ($I80-$B$1)/365, $G80, $H80, $D80)) * $F80</f>
        <v/>
      </c>
      <c r="AE80" s="78">
        <f>(BSPrice($B80*0.98,$J80, $K80, $C80, ($I80-$B$1)/365, $G80, $H80, $D80) - BSPrice($B80,$J80, $K80, $C80, ($I80-$B$1)/365, $G80, $H80, $D80)) * $F80</f>
        <v/>
      </c>
      <c r="AF80" s="78">
        <f>(BSPrice($B80*1.02,$J80, $K80, $C80, ($I80-$B$1)/365, $G80, $H80, $D80) - BSPrice($B80,$J80, $K80, $C80, ($I80-$B$1)/365, $G80, $H80, $D80)) * $F80</f>
        <v/>
      </c>
      <c r="AG80" s="78">
        <f>(BSPrice($B80*1.05,$J80, $K80, $C80, ($I80-$B$1)/365, $G80, $H80, $D80) - BSPrice($B80,$J80, $K80, $C80, ($I80-$B$1)/365, $G80, $H80, $D80)) * $F80</f>
        <v/>
      </c>
      <c r="AH80" s="78">
        <f>(BSPrice($B80*1.1,$J80, $K80, $C80, ($I80-$B$1)/365, $G80, $H80, $D80) - BSPrice($B80,$J80, $K80, $C80, ($I80-$B$1)/365, $G80, $H80, $D80)) * $F80</f>
        <v/>
      </c>
      <c r="AI80" s="78">
        <f>(BSPrice($B80*1.2,$J80, $K80, $C80, ($I80-$B$1)/365, $G80, $H80, $D80) - BSPrice($B80,$J80, $K80, $C80, ($I80-$B$1)/365, $G80, $H80, $D80)) * $F80</f>
        <v/>
      </c>
      <c r="AJ80" s="78">
        <f>(BSPrice($B80,$J80-0.1, $K80, $C80, ($I80-$B$1)/365, $G80, $H80, $D80) - BSPrice($B80,$J80, $K80, $C80, ($I80-$B$1)/365, $G80, $H80, $D80)) * $F80</f>
        <v/>
      </c>
      <c r="AK80" s="78">
        <f>(BSPrice($B80,$J80-0.05,$K80,$C80,($I80-$B$1)/365,$G80,$H80,$D80)-BSPrice($B80,$J80,$K80,$C80,($I80-$B$1)/365,$G80,$H80,$D80))*$F80</f>
        <v/>
      </c>
      <c r="AL80" s="78">
        <f>(BSPrice($B80,$J80-0.02, $K80, $C80, ($I80-$B$1)/365, $G80, $H80, $D80) - BSPrice($B80,$J80, $K80, $C80, ($I80-$B$1)/365, $G80, $H80, $D80)) * $F80</f>
        <v/>
      </c>
      <c r="AM80" s="78">
        <f>(BSPrice($B80,$J80-0.01, $K80, $C80, ($I80-$B$1)/365, $G80, $H80, $D80) - BSPrice($B80,$J80, $K80, $C80, ($I80-$B$1)/365, $G80, $H80, $D80)) * $F80</f>
        <v/>
      </c>
      <c r="AN80" s="78">
        <f>(BSPrice($B80,$J80+0.01, $K80, $C80, ($I80-$B$1)/365, $G80, $H80, $D80) - BSPrice($B80,$J80, $K80, $C80, ($I80-$B$1)/365, $G80, $H80, $D80)) * $F80</f>
        <v/>
      </c>
      <c r="AO80" s="78">
        <f>(BSPrice($B80,$J80+0.02, $K80, $C80, ($I80-$B$1)/365, $G80, $H80, $D80) - BSPrice($B80,$J80, $K80, $C80, ($I80-$B$1)/365, $G80, $H80, $D80)) * $F80</f>
        <v/>
      </c>
      <c r="AP80" s="78">
        <f>(BSPrice($B80,$J80+0.05, $K80, $C80, ($I80-$B$1)/365, $G80, $H80, $D80) - BSPrice($B80,$J80, $K80, $C80, ($I80-$B$1)/365, $G80, $H80, $D80)) * $F80</f>
        <v/>
      </c>
      <c r="AQ80" s="78">
        <f>(BSPrice($B80,$J80+0.1, $K80, $C80, ($I80-$B$1)/365, $G80, $H80, $D80) - BSPrice($B80,$J80, $K80, $C80, ($I80-$B$1)/365, $G80, $H80, $D80)) * $F80</f>
        <v/>
      </c>
      <c r="AR80" s="60">
        <f>(BSPrice($B80*0.8,$J80+-0.05, $K80, $C80, ($I80-$B$1)/365, $G80, $H80, $D80) - BSPrice($B80,$J80, $K80, $C80, ($I80-$B$1)/365, $G80, $H80, $D80)) * $F80</f>
        <v/>
      </c>
      <c r="AS80" s="60">
        <f>(BSPrice($B80*0.8,$J80+-0.02, $K80, $C80, ($I80-$B$1)/365, $G80, $H80, $D80) - BSPrice($B80,$J80, $K80, $C80, ($I80-$B$1)/365, $G80, $H80, $D80)) * $F80</f>
        <v/>
      </c>
      <c r="AT80" s="60">
        <f>(BSPrice($B80*0.8,$J80+0, $K80, $C80, ($I80-$B$1)/365, $G80, $H80, $D80) - BSPrice($B80,$J80, $K80, $C80, ($I80-$B$1)/365, $G80, $H80, $D80)) * $F80</f>
        <v/>
      </c>
      <c r="AU80" s="60">
        <f>(BSPrice($B80*0.8,$J80+0.02, $K80, $C80, ($I80-$B$1)/365, $G80, $H80, $D80) - BSPrice($B80,$J80, $K80, $C80, ($I80-$B$1)/365, $G80, $H80, $D80)) * $F80</f>
        <v/>
      </c>
      <c r="AV80" s="60">
        <f>(BSPrice($B80*0.8,$J80+0.05, $K80, $C80, ($I80-$B$1)/365, $G80, $H80, $D80) - BSPrice($B80,$J80, $K80, $C80, ($I80-$B$1)/365, $G80, $H80, $D80)) * $F80</f>
        <v/>
      </c>
      <c r="AW80" s="60">
        <f>(BSPrice($B80*0.8,$J80+0.1, $K80, $C80, ($I80-$B$1)/365, $G80, $H80, $D80) - BSPrice($B80,$J80, $K80, $C80, ($I80-$B$1)/365, $G80, $H80, $D80)) * $F80</f>
        <v/>
      </c>
      <c r="AX80" s="60">
        <f>(BSPrice($B80*0.8,$J80+0.2, $K80, $C80, ($I80-$B$1)/365, $G80, $H80, $D80) - BSPrice($B80,$J80, $K80, $C80, ($I80-$B$1)/365, $G80, $H80, $D80)) * $F80</f>
        <v/>
      </c>
      <c r="AY80" s="60">
        <f>(BSPrice($B80*0.9,$J80+-0.05, $K80, $C80, ($I80-$B$1)/365, $G80, $H80, $D80) - BSPrice($B80,$J80, $K80, $C80, ($I80-$B$1)/365, $G80, $H80, $D80)) * $F80</f>
        <v/>
      </c>
      <c r="AZ80" s="60">
        <f>(BSPrice($B80*0.9,$J80+-0.02, $K80, $C80, ($I80-$B$1)/365, $G80, $H80, $D80) - BSPrice($B80,$J80, $K80, $C80, ($I80-$B$1)/365, $G80, $H80, $D80)) * $F80</f>
        <v/>
      </c>
      <c r="BA80" s="60">
        <f>(BSPrice($B80*0.9,$J80+0, $K80, $C80, ($I80-$B$1)/365, $G80, $H80, $D80) - BSPrice($B80,$J80, $K80, $C80, ($I80-$B$1)/365, $G80, $H80, $D80)) * $F80</f>
        <v/>
      </c>
      <c r="BB80" s="60">
        <f>(BSPrice($B80*0.9,$J80+0.02, $K80, $C80, ($I80-$B$1)/365, $G80, $H80, $D80) - BSPrice($B80,$J80, $K80, $C80, ($I80-$B$1)/365, $G80, $H80, $D80)) * $F80</f>
        <v/>
      </c>
      <c r="BC80" s="60">
        <f>(BSPrice($B80*0.9,$J80+0.05, $K80, $C80, ($I80-$B$1)/365, $G80, $H80, $D80) - BSPrice($B80,$J80, $K80, $C80, ($I80-$B$1)/365, $G80, $H80, $D80)) * $F80</f>
        <v/>
      </c>
      <c r="BD80" s="60">
        <f>(BSPrice($B80*0.9,$J80+0.1, $K80, $C80, ($I80-$B$1)/365, $G80, $H80, $D80) - BSPrice($B80,$J80, $K80, $C80, ($I80-$B$1)/365, $G80, $H80, $D80)) * $F80</f>
        <v/>
      </c>
      <c r="BE80" s="60">
        <f>(BSPrice($B80*0.9,$J80+0.2, $K80, $C80, ($I80-$B$1)/365, $G80, $H80, $D80) - BSPrice($B80,$J80, $K80, $C80, ($I80-$B$1)/365, $G80, $H80, $D80)) * $F80</f>
        <v/>
      </c>
      <c r="BF80" s="60">
        <f>(BSPrice($B80*0.95,$J80+-0.05, $K80, $C80, ($I80-$B$1)/365, $G80, $H80, $D80) - BSPrice($B80,$J80, $K80, $C80, ($I80-$B$1)/365, $G80, $H80, $D80)) * $F80</f>
        <v/>
      </c>
      <c r="BG80" s="60">
        <f>(BSPrice($B80*0.95,$J80+-0.02, $K80, $C80, ($I80-$B$1)/365, $G80, $H80, $D80) - BSPrice($B80,$J80, $K80, $C80, ($I80-$B$1)/365, $G80, $H80, $D80)) * $F80</f>
        <v/>
      </c>
      <c r="BH80" s="60">
        <f>(BSPrice($B80*0.95,$J80+0, $K80, $C80, ($I80-$B$1)/365, $G80, $H80, $D80) - BSPrice($B80,$J80, $K80, $C80, ($I80-$B$1)/365, $G80, $H80, $D80)) * $F80</f>
        <v/>
      </c>
      <c r="BI80" s="60">
        <f>(BSPrice($B80*0.95,$J80+0.02, $K80, $C80, ($I80-$B$1)/365, $G80, $H80, $D80) - BSPrice($B80,$J80, $K80, $C80, ($I80-$B$1)/365, $G80, $H80, $D80)) * $F80</f>
        <v/>
      </c>
      <c r="BJ80" s="60">
        <f>(BSPrice($B80*0.95,$J80+0.05, $K80, $C80, ($I80-$B$1)/365, $G80, $H80, $D80) - BSPrice($B80,$J80, $K80, $C80, ($I80-$B$1)/365, $G80, $H80, $D80)) * $F80</f>
        <v/>
      </c>
      <c r="BK80" s="60">
        <f>(BSPrice($B80*0.95,$J80+0.1, $K80, $C80, ($I80-$B$1)/365, $G80, $H80, $D80) - BSPrice($B80,$J80, $K80, $C80, ($I80-$B$1)/365, $G80, $H80, $D80)) * $F80</f>
        <v/>
      </c>
      <c r="BL80" s="60">
        <f>(BSPrice($B80*0.95,$J80+0.2, $K80, $C80, ($I80-$B$1)/365, $G80, $H80, $D80) - BSPrice($B80,$J80, $K80, $C80, ($I80-$B$1)/365, $G80, $H80, $D80)) * $F80</f>
        <v/>
      </c>
      <c r="BM80" s="60">
        <f>(BSPrice($B80*1,$J80+-0.05, $K80, $C80, ($I80-$B$1)/365, $G80, $H80, $D80) - BSPrice($B80,$J80, $K80, $C80, ($I80-$B$1)/365, $G80, $H80, $D80)) * $F80</f>
        <v/>
      </c>
      <c r="BN80" s="60">
        <f>(BSPrice($B80*1,$J80+-0.02, $K80, $C80, ($I80-$B$1)/365, $G80, $H80, $D80) - BSPrice($B80,$J80, $K80, $C80, ($I80-$B$1)/365, $G80, $H80, $D80)) * $F80</f>
        <v/>
      </c>
      <c r="BO80" s="60">
        <f>(BSPrice($B80*1,$J80+0, $K80, $C80, ($I80-$B$1)/365, $G80, $H80, $D80) - BSPrice($B80,$J80, $K80, $C80, ($I80-$B$1)/365, $G80, $H80, $D80)) * $F80</f>
        <v/>
      </c>
      <c r="BP80" s="60">
        <f>(BSPrice($B80*1,$J80+0.02, $K80, $C80, ($I80-$B$1)/365, $G80, $H80, $D80) - BSPrice($B80,$J80, $K80, $C80, ($I80-$B$1)/365, $G80, $H80, $D80)) * $F80</f>
        <v/>
      </c>
      <c r="BQ80" s="60">
        <f>(BSPrice($B80*1,$J80+0.05, $K80, $C80, ($I80-$B$1)/365, $G80, $H80, $D80) - BSPrice($B80,$J80, $K80, $C80, ($I80-$B$1)/365, $G80, $H80, $D80)) * $F80</f>
        <v/>
      </c>
      <c r="BR80" s="60">
        <f>(BSPrice($B80*1,$J80+0.1, $K80, $C80, ($I80-$B$1)/365, $G80, $H80, $D80) - BSPrice($B80,$J80, $K80, $C80, ($I80-$B$1)/365, $G80, $H80, $D80)) * $F80</f>
        <v/>
      </c>
      <c r="BS80" s="60">
        <f>(BSPrice($B80*1,$J80+0.2, $K80, $C80, ($I80-$B$1)/365, $G80, $H80, $D80) - BSPrice($B80,$J80, $K80, $C80, ($I80-$B$1)/365, $G80, $H80, $D80)) * $F80</f>
        <v/>
      </c>
      <c r="BT80" s="60">
        <f>(BSPrice($B80*1.05,$J80+-0.05, $K80, $C80, ($I80-$B$1)/365, $G80, $H80, $D80) - BSPrice($B80,$J80, $K80, $C80, ($I80-$B$1)/365, $G80, $H80, $D80)) * $F80</f>
        <v/>
      </c>
      <c r="BU80" s="60">
        <f>(BSPrice($B80*1.05,$J80+-0.02, $K80, $C80, ($I80-$B$1)/365, $G80, $H80, $D80) - BSPrice($B80,$J80, $K80, $C80, ($I80-$B$1)/365, $G80, $H80, $D80)) * $F80</f>
        <v/>
      </c>
      <c r="BV80" s="60">
        <f>(BSPrice($B80*1.05,$J80+0, $K80, $C80, ($I80-$B$1)/365, $G80, $H80, $D80) - BSPrice($B80,$J80, $K80, $C80, ($I80-$B$1)/365, $G80, $H80, $D80)) * $F80</f>
        <v/>
      </c>
      <c r="BW80" s="60">
        <f>(BSPrice($B80*1.05,$J80+0.02, $K80, $C80, ($I80-$B$1)/365, $G80, $H80, $D80) - BSPrice($B80,$J80, $K80, $C80, ($I80-$B$1)/365, $G80, $H80, $D80)) * $F80</f>
        <v/>
      </c>
      <c r="BX80" s="60">
        <f>(BSPrice($B80*1.05,$J80+0.05, $K80, $C80, ($I80-$B$1)/365, $G80, $H80, $D80) - BSPrice($B80,$J80, $K80, $C80, ($I80-$B$1)/365, $G80, $H80, $D80)) * $F80</f>
        <v/>
      </c>
      <c r="BY80" s="60">
        <f>(BSPrice($B80*1.05,$J80+0.1, $K80, $C80, ($I80-$B$1)/365, $G80, $H80, $D80) - BSPrice($B80,$J80, $K80, $C80, ($I80-$B$1)/365, $G80, $H80, $D80)) * $F80</f>
        <v/>
      </c>
      <c r="BZ80" s="60">
        <f>(BSPrice($B80*1.05,$J80+0.2, $K80, $C80, ($I80-$B$1)/365, $G80, $H80, $D80) - BSPrice($B80,$J80, $K80, $C80, ($I80-$B$1)/365, $G80, $H80, $D80)) * $F80</f>
        <v/>
      </c>
      <c r="CA80" s="60">
        <f>(BSPrice($B80*1.1,$J80+-0.05, $K80, $C80, ($I80-$B$1)/365, $G80, $H80, $D80) - BSPrice($B80,$J80, $K80, $C80, ($I80-$B$1)/365, $G80, $H80, $D80)) * $F80</f>
        <v/>
      </c>
      <c r="CB80" s="60">
        <f>(BSPrice($B80*1.1,$J80+-0.02, $K80, $C80, ($I80-$B$1)/365, $G80, $H80, $D80) - BSPrice($B80,$J80, $K80, $C80, ($I80-$B$1)/365, $G80, $H80, $D80)) * $F80</f>
        <v/>
      </c>
      <c r="CC80" s="60">
        <f>(BSPrice($B80*1.1,$J80+0, $K80, $C80, ($I80-$B$1)/365, $G80, $H80, $D80) - BSPrice($B80,$J80, $K80, $C80, ($I80-$B$1)/365, $G80, $H80, $D80)) * $F80</f>
        <v/>
      </c>
      <c r="CD80" s="60">
        <f>(BSPrice($B80*1.1,$J80+0.02, $K80, $C80, ($I80-$B$1)/365, $G80, $H80, $D80) - BSPrice($B80,$J80, $K80, $C80, ($I80-$B$1)/365, $G80, $H80, $D80)) * $F80</f>
        <v/>
      </c>
      <c r="CE80" s="60">
        <f>(BSPrice($B80*1.1,$J80+0.05, $K80, $C80, ($I80-$B$1)/365, $G80, $H80, $D80) - BSPrice($B80,$J80, $K80, $C80, ($I80-$B$1)/365, $G80, $H80, $D80)) * $F80</f>
        <v/>
      </c>
      <c r="CF80" s="60">
        <f>(BSPrice($B80*1.1,$J80+0.1, $K80, $C80, ($I80-$B$1)/365, $G80, $H80, $D80) - BSPrice($B80,$J80, $K80, $C80, ($I80-$B$1)/365, $G80, $H80, $D80)) * $F80</f>
        <v/>
      </c>
      <c r="CG80" s="60">
        <f>(BSPrice($B80*1.1,$J80+0.2, $K80, $C80, ($I80-$B$1)/365, $G80, $H80, $D80) - BSPrice($B80,$J80, $K80, $C80, ($I80-$B$1)/365, $G80, $H80, $D80)) * $F80</f>
        <v/>
      </c>
      <c r="CH80" s="60">
        <f>(BSPrice($B80*1.2,$J80+-0.05, $K80, $C80, ($I80-$B$1)/365, $G80, $H80, $D80) - BSPrice($B80,$J80, $K80, $C80, ($I80-$B$1)/365, $G80, $H80, $D80)) * $F80</f>
        <v/>
      </c>
      <c r="CI80" s="60">
        <f>(BSPrice($B80*1.2,$J80+-0.02, $K80, $C80, ($I80-$B$1)/365, $G80, $H80, $D80) - BSPrice($B80,$J80, $K80, $C80, ($I80-$B$1)/365, $G80, $H80, $D80)) * $F80</f>
        <v/>
      </c>
      <c r="CJ80" s="60">
        <f>(BSPrice($B80*1.2,$J80+0, $K80, $C80, ($I80-$B$1)/365, $G80, $H80, $D80) - BSPrice($B80,$J80, $K80, $C80, ($I80-$B$1)/365, $G80, $H80, $D80)) * $F80</f>
        <v/>
      </c>
      <c r="CK80" s="60">
        <f>(BSPrice($B80*1.2,$J80+0.02, $K80, $C80, ($I80-$B$1)/365, $G80, $H80, $D80) - BSPrice($B80,$J80, $K80, $C80, ($I80-$B$1)/365, $G80, $H80, $D80)) * $F80</f>
        <v/>
      </c>
      <c r="CL80" s="60">
        <f>(BSPrice($B80*1.2,$J80+0.05, $K80, $C80, ($I80-$B$1)/365, $G80, $H80, $D80) - BSPrice($B80,$J80, $K80, $C80, ($I80-$B$1)/365, $G80, $H80, $D80)) * $F80</f>
        <v/>
      </c>
      <c r="CM80" s="60">
        <f>(BSPrice($B80*1.2,$J80+0.1, $K80, $C80, ($I80-$B$1)/365, $G80, $H80, $D80) - BSPrice($B80,$J80, $K80, $C80, ($I80-$B$1)/365, $G80, $H80, $D80)) * $F80</f>
        <v/>
      </c>
      <c r="CN80" s="60">
        <f>(BSPrice($B80*1.2,$J80+0.2, $K80, $C80, ($I80-$B$1)/365, $G80, $H80, $D80) - BSPrice($B80,$J80, $K80, $C80, ($I80-$B$1)/365, $G80, $H80, $D80)) * $F80</f>
        <v/>
      </c>
    </row>
    <row r="81">
      <c r="A81" s="3" t="inlineStr">
        <is>
          <t>NKY Index</t>
        </is>
      </c>
      <c r="B81" s="4">
        <f>VLOOKUP(A81,PriceData!$K$4:$L$6,2,FALSE)</f>
        <v/>
      </c>
      <c r="C81" s="46">
        <f>VLOOKUP(A81,PriceData!$K$4:$M$6,3,FALSE)</f>
        <v/>
      </c>
      <c r="D81" s="4" t="inlineStr">
        <is>
          <t>Option</t>
        </is>
      </c>
      <c r="E81" s="4" t="inlineStr">
        <is>
          <t>JPY</t>
        </is>
      </c>
      <c r="F81" s="4" t="n">
        <v>5</v>
      </c>
      <c r="G81" t="n">
        <v>8519</v>
      </c>
      <c r="H81" s="4" t="inlineStr">
        <is>
          <t>Put</t>
        </is>
      </c>
      <c r="I81" s="5" t="n">
        <v>40347</v>
      </c>
      <c r="J81" s="46">
        <f>FindImpliedVol(A81, D81, G81, I81)</f>
        <v/>
      </c>
      <c r="K81" s="30">
        <f>VLOOKUP(I81,PriceData!$A$5:$D$7,MATCH($E81,PriceData!$A$4:$D$4,0),FALSE)</f>
        <v/>
      </c>
      <c r="L81" s="2">
        <f>BSPrice($B81,$J81, $K81, $C81, ($I81-$B$1)/365, $G81, $H81, $D81)</f>
        <v/>
      </c>
      <c r="M81" s="2">
        <f>F81*L81</f>
        <v/>
      </c>
      <c r="N81" s="4" t="inlineStr">
        <is>
          <t>Exch</t>
        </is>
      </c>
      <c r="P81" s="60">
        <f>BSDelta(B81, J81, K81, C81, (I81-$B$1)/365, G81, H81, D81)</f>
        <v/>
      </c>
      <c r="Q81" s="60">
        <f>BSGamma(B81, J81, K81, C81, (I81-$B$1)/365, G81, D81)</f>
        <v/>
      </c>
      <c r="R81" s="58">
        <f>BSVega(B81, J81, K81, C81, (I81-$B$1)/365,G81, D81)</f>
        <v/>
      </c>
      <c r="S81" s="58">
        <f>BSVolga(B81, J81, K81, C81, (I81-$B$1)/365,G81, D81)</f>
        <v/>
      </c>
      <c r="T81" s="58">
        <f>BSVanna(B81,J81,K81, C81, (I81-$B$1)/365, G81, D81)</f>
        <v/>
      </c>
      <c r="U81" s="2">
        <f>BSRho(B81, J81, K81, C81, (I81-$B$1)/365, G81, H81, D81)</f>
        <v/>
      </c>
      <c r="V81" s="65">
        <f>$F81*$P81</f>
        <v/>
      </c>
      <c r="W81" s="65">
        <f>$F81*$Q81</f>
        <v/>
      </c>
      <c r="X81" s="78">
        <f>$F81*R81</f>
        <v/>
      </c>
      <c r="Y81" s="78">
        <f>$F81*S81</f>
        <v/>
      </c>
      <c r="Z81" s="78">
        <f>$F81*T81</f>
        <v/>
      </c>
      <c r="AA81" s="78">
        <f>$F81*U81</f>
        <v/>
      </c>
      <c r="AB81" s="78">
        <f>(BSPrice($B81*0.8,$J81, $K81, $C81, ($I81-$B$1)/365, $G81, $H81, $D81) - BSPrice($B81,$J81, $K81, $C81, ($I81-$B$1)/365, $G81, $H81, $D81)) * $F81</f>
        <v/>
      </c>
      <c r="AC81" s="78">
        <f>(BSPrice($B81*0.9,$J81, $K81, $C81, ($I81-$B$1)/365, $G81, $H81, $D81) - BSPrice($B81,$J81, $K81, $C81, ($I81-$B$1)/365, $G81, $H81, $D81)) * $F81</f>
        <v/>
      </c>
      <c r="AD81" s="78">
        <f>(BSPrice($B81*0.95,$J81, $K81, $C81, ($I81-$B$1)/365, $G81, $H81, $D81) - BSPrice($B81,$J81, $K81, $C81, ($I81-$B$1)/365, $G81, $H81, $D81)) * $F81</f>
        <v/>
      </c>
      <c r="AE81" s="78">
        <f>(BSPrice($B81*0.98,$J81, $K81, $C81, ($I81-$B$1)/365, $G81, $H81, $D81) - BSPrice($B81,$J81, $K81, $C81, ($I81-$B$1)/365, $G81, $H81, $D81)) * $F81</f>
        <v/>
      </c>
      <c r="AF81" s="78">
        <f>(BSPrice($B81*1.02,$J81, $K81, $C81, ($I81-$B$1)/365, $G81, $H81, $D81) - BSPrice($B81,$J81, $K81, $C81, ($I81-$B$1)/365, $G81, $H81, $D81)) * $F81</f>
        <v/>
      </c>
      <c r="AG81" s="78">
        <f>(BSPrice($B81*1.05,$J81, $K81, $C81, ($I81-$B$1)/365, $G81, $H81, $D81) - BSPrice($B81,$J81, $K81, $C81, ($I81-$B$1)/365, $G81, $H81, $D81)) * $F81</f>
        <v/>
      </c>
      <c r="AH81" s="78">
        <f>(BSPrice($B81*1.1,$J81, $K81, $C81, ($I81-$B$1)/365, $G81, $H81, $D81) - BSPrice($B81,$J81, $K81, $C81, ($I81-$B$1)/365, $G81, $H81, $D81)) * $F81</f>
        <v/>
      </c>
      <c r="AI81" s="78">
        <f>(BSPrice($B81*1.2,$J81, $K81, $C81, ($I81-$B$1)/365, $G81, $H81, $D81) - BSPrice($B81,$J81, $K81, $C81, ($I81-$B$1)/365, $G81, $H81, $D81)) * $F81</f>
        <v/>
      </c>
      <c r="AJ81" s="78">
        <f>(BSPrice($B81,$J81-0.1, $K81, $C81, ($I81-$B$1)/365, $G81, $H81, $D81) - BSPrice($B81,$J81, $K81, $C81, ($I81-$B$1)/365, $G81, $H81, $D81)) * $F81</f>
        <v/>
      </c>
      <c r="AK81" s="78">
        <f>(BSPrice($B81,$J81-0.05,$K81,$C81,($I81-$B$1)/365,$G81,$H81,$D81)-BSPrice($B81,$J81,$K81,$C81,($I81-$B$1)/365,$G81,$H81,$D81))*$F81</f>
        <v/>
      </c>
      <c r="AL81" s="78">
        <f>(BSPrice($B81,$J81-0.02, $K81, $C81, ($I81-$B$1)/365, $G81, $H81, $D81) - BSPrice($B81,$J81, $K81, $C81, ($I81-$B$1)/365, $G81, $H81, $D81)) * $F81</f>
        <v/>
      </c>
      <c r="AM81" s="78">
        <f>(BSPrice($B81,$J81-0.01, $K81, $C81, ($I81-$B$1)/365, $G81, $H81, $D81) - BSPrice($B81,$J81, $K81, $C81, ($I81-$B$1)/365, $G81, $H81, $D81)) * $F81</f>
        <v/>
      </c>
      <c r="AN81" s="78">
        <f>(BSPrice($B81,$J81+0.01, $K81, $C81, ($I81-$B$1)/365, $G81, $H81, $D81) - BSPrice($B81,$J81, $K81, $C81, ($I81-$B$1)/365, $G81, $H81, $D81)) * $F81</f>
        <v/>
      </c>
      <c r="AO81" s="78">
        <f>(BSPrice($B81,$J81+0.02, $K81, $C81, ($I81-$B$1)/365, $G81, $H81, $D81) - BSPrice($B81,$J81, $K81, $C81, ($I81-$B$1)/365, $G81, $H81, $D81)) * $F81</f>
        <v/>
      </c>
      <c r="AP81" s="78">
        <f>(BSPrice($B81,$J81+0.05, $K81, $C81, ($I81-$B$1)/365, $G81, $H81, $D81) - BSPrice($B81,$J81, $K81, $C81, ($I81-$B$1)/365, $G81, $H81, $D81)) * $F81</f>
        <v/>
      </c>
      <c r="AQ81" s="78">
        <f>(BSPrice($B81,$J81+0.1, $K81, $C81, ($I81-$B$1)/365, $G81, $H81, $D81) - BSPrice($B81,$J81, $K81, $C81, ($I81-$B$1)/365, $G81, $H81, $D81)) * $F81</f>
        <v/>
      </c>
      <c r="AR81" s="60">
        <f>(BSPrice($B81*0.8,$J81+-0.05, $K81, $C81, ($I81-$B$1)/365, $G81, $H81, $D81) - BSPrice($B81,$J81, $K81, $C81, ($I81-$B$1)/365, $G81, $H81, $D81)) * $F81</f>
        <v/>
      </c>
      <c r="AS81" s="60">
        <f>(BSPrice($B81*0.8,$J81+-0.02, $K81, $C81, ($I81-$B$1)/365, $G81, $H81, $D81) - BSPrice($B81,$J81, $K81, $C81, ($I81-$B$1)/365, $G81, $H81, $D81)) * $F81</f>
        <v/>
      </c>
      <c r="AT81" s="60">
        <f>(BSPrice($B81*0.8,$J81+0, $K81, $C81, ($I81-$B$1)/365, $G81, $H81, $D81) - BSPrice($B81,$J81, $K81, $C81, ($I81-$B$1)/365, $G81, $H81, $D81)) * $F81</f>
        <v/>
      </c>
      <c r="AU81" s="60">
        <f>(BSPrice($B81*0.8,$J81+0.02, $K81, $C81, ($I81-$B$1)/365, $G81, $H81, $D81) - BSPrice($B81,$J81, $K81, $C81, ($I81-$B$1)/365, $G81, $H81, $D81)) * $F81</f>
        <v/>
      </c>
      <c r="AV81" s="60">
        <f>(BSPrice($B81*0.8,$J81+0.05, $K81, $C81, ($I81-$B$1)/365, $G81, $H81, $D81) - BSPrice($B81,$J81, $K81, $C81, ($I81-$B$1)/365, $G81, $H81, $D81)) * $F81</f>
        <v/>
      </c>
      <c r="AW81" s="60">
        <f>(BSPrice($B81*0.8,$J81+0.1, $K81, $C81, ($I81-$B$1)/365, $G81, $H81, $D81) - BSPrice($B81,$J81, $K81, $C81, ($I81-$B$1)/365, $G81, $H81, $D81)) * $F81</f>
        <v/>
      </c>
      <c r="AX81" s="60">
        <f>(BSPrice($B81*0.8,$J81+0.2, $K81, $C81, ($I81-$B$1)/365, $G81, $H81, $D81) - BSPrice($B81,$J81, $K81, $C81, ($I81-$B$1)/365, $G81, $H81, $D81)) * $F81</f>
        <v/>
      </c>
      <c r="AY81" s="60">
        <f>(BSPrice($B81*0.9,$J81+-0.05, $K81, $C81, ($I81-$B$1)/365, $G81, $H81, $D81) - BSPrice($B81,$J81, $K81, $C81, ($I81-$B$1)/365, $G81, $H81, $D81)) * $F81</f>
        <v/>
      </c>
      <c r="AZ81" s="60">
        <f>(BSPrice($B81*0.9,$J81+-0.02, $K81, $C81, ($I81-$B$1)/365, $G81, $H81, $D81) - BSPrice($B81,$J81, $K81, $C81, ($I81-$B$1)/365, $G81, $H81, $D81)) * $F81</f>
        <v/>
      </c>
      <c r="BA81" s="60">
        <f>(BSPrice($B81*0.9,$J81+0, $K81, $C81, ($I81-$B$1)/365, $G81, $H81, $D81) - BSPrice($B81,$J81, $K81, $C81, ($I81-$B$1)/365, $G81, $H81, $D81)) * $F81</f>
        <v/>
      </c>
      <c r="BB81" s="60">
        <f>(BSPrice($B81*0.9,$J81+0.02, $K81, $C81, ($I81-$B$1)/365, $G81, $H81, $D81) - BSPrice($B81,$J81, $K81, $C81, ($I81-$B$1)/365, $G81, $H81, $D81)) * $F81</f>
        <v/>
      </c>
      <c r="BC81" s="60">
        <f>(BSPrice($B81*0.9,$J81+0.05, $K81, $C81, ($I81-$B$1)/365, $G81, $H81, $D81) - BSPrice($B81,$J81, $K81, $C81, ($I81-$B$1)/365, $G81, $H81, $D81)) * $F81</f>
        <v/>
      </c>
      <c r="BD81" s="60">
        <f>(BSPrice($B81*0.9,$J81+0.1, $K81, $C81, ($I81-$B$1)/365, $G81, $H81, $D81) - BSPrice($B81,$J81, $K81, $C81, ($I81-$B$1)/365, $G81, $H81, $D81)) * $F81</f>
        <v/>
      </c>
      <c r="BE81" s="60">
        <f>(BSPrice($B81*0.9,$J81+0.2, $K81, $C81, ($I81-$B$1)/365, $G81, $H81, $D81) - BSPrice($B81,$J81, $K81, $C81, ($I81-$B$1)/365, $G81, $H81, $D81)) * $F81</f>
        <v/>
      </c>
      <c r="BF81" s="60">
        <f>(BSPrice($B81*0.95,$J81+-0.05, $K81, $C81, ($I81-$B$1)/365, $G81, $H81, $D81) - BSPrice($B81,$J81, $K81, $C81, ($I81-$B$1)/365, $G81, $H81, $D81)) * $F81</f>
        <v/>
      </c>
      <c r="BG81" s="60">
        <f>(BSPrice($B81*0.95,$J81+-0.02, $K81, $C81, ($I81-$B$1)/365, $G81, $H81, $D81) - BSPrice($B81,$J81, $K81, $C81, ($I81-$B$1)/365, $G81, $H81, $D81)) * $F81</f>
        <v/>
      </c>
      <c r="BH81" s="60">
        <f>(BSPrice($B81*0.95,$J81+0, $K81, $C81, ($I81-$B$1)/365, $G81, $H81, $D81) - BSPrice($B81,$J81, $K81, $C81, ($I81-$B$1)/365, $G81, $H81, $D81)) * $F81</f>
        <v/>
      </c>
      <c r="BI81" s="60">
        <f>(BSPrice($B81*0.95,$J81+0.02, $K81, $C81, ($I81-$B$1)/365, $G81, $H81, $D81) - BSPrice($B81,$J81, $K81, $C81, ($I81-$B$1)/365, $G81, $H81, $D81)) * $F81</f>
        <v/>
      </c>
      <c r="BJ81" s="60">
        <f>(BSPrice($B81*0.95,$J81+0.05, $K81, $C81, ($I81-$B$1)/365, $G81, $H81, $D81) - BSPrice($B81,$J81, $K81, $C81, ($I81-$B$1)/365, $G81, $H81, $D81)) * $F81</f>
        <v/>
      </c>
      <c r="BK81" s="60">
        <f>(BSPrice($B81*0.95,$J81+0.1, $K81, $C81, ($I81-$B$1)/365, $G81, $H81, $D81) - BSPrice($B81,$J81, $K81, $C81, ($I81-$B$1)/365, $G81, $H81, $D81)) * $F81</f>
        <v/>
      </c>
      <c r="BL81" s="60">
        <f>(BSPrice($B81*0.95,$J81+0.2, $K81, $C81, ($I81-$B$1)/365, $G81, $H81, $D81) - BSPrice($B81,$J81, $K81, $C81, ($I81-$B$1)/365, $G81, $H81, $D81)) * $F81</f>
        <v/>
      </c>
      <c r="BM81" s="60">
        <f>(BSPrice($B81*1,$J81+-0.05, $K81, $C81, ($I81-$B$1)/365, $G81, $H81, $D81) - BSPrice($B81,$J81, $K81, $C81, ($I81-$B$1)/365, $G81, $H81, $D81)) * $F81</f>
        <v/>
      </c>
      <c r="BN81" s="60">
        <f>(BSPrice($B81*1,$J81+-0.02, $K81, $C81, ($I81-$B$1)/365, $G81, $H81, $D81) - BSPrice($B81,$J81, $K81, $C81, ($I81-$B$1)/365, $G81, $H81, $D81)) * $F81</f>
        <v/>
      </c>
      <c r="BO81" s="60">
        <f>(BSPrice($B81*1,$J81+0, $K81, $C81, ($I81-$B$1)/365, $G81, $H81, $D81) - BSPrice($B81,$J81, $K81, $C81, ($I81-$B$1)/365, $G81, $H81, $D81)) * $F81</f>
        <v/>
      </c>
      <c r="BP81" s="60">
        <f>(BSPrice($B81*1,$J81+0.02, $K81, $C81, ($I81-$B$1)/365, $G81, $H81, $D81) - BSPrice($B81,$J81, $K81, $C81, ($I81-$B$1)/365, $G81, $H81, $D81)) * $F81</f>
        <v/>
      </c>
      <c r="BQ81" s="60">
        <f>(BSPrice($B81*1,$J81+0.05, $K81, $C81, ($I81-$B$1)/365, $G81, $H81, $D81) - BSPrice($B81,$J81, $K81, $C81, ($I81-$B$1)/365, $G81, $H81, $D81)) * $F81</f>
        <v/>
      </c>
      <c r="BR81" s="60">
        <f>(BSPrice($B81*1,$J81+0.1, $K81, $C81, ($I81-$B$1)/365, $G81, $H81, $D81) - BSPrice($B81,$J81, $K81, $C81, ($I81-$B$1)/365, $G81, $H81, $D81)) * $F81</f>
        <v/>
      </c>
      <c r="BS81" s="60">
        <f>(BSPrice($B81*1,$J81+0.2, $K81, $C81, ($I81-$B$1)/365, $G81, $H81, $D81) - BSPrice($B81,$J81, $K81, $C81, ($I81-$B$1)/365, $G81, $H81, $D81)) * $F81</f>
        <v/>
      </c>
      <c r="BT81" s="60">
        <f>(BSPrice($B81*1.05,$J81+-0.05, $K81, $C81, ($I81-$B$1)/365, $G81, $H81, $D81) - BSPrice($B81,$J81, $K81, $C81, ($I81-$B$1)/365, $G81, $H81, $D81)) * $F81</f>
        <v/>
      </c>
      <c r="BU81" s="60">
        <f>(BSPrice($B81*1.05,$J81+-0.02, $K81, $C81, ($I81-$B$1)/365, $G81, $H81, $D81) - BSPrice($B81,$J81, $K81, $C81, ($I81-$B$1)/365, $G81, $H81, $D81)) * $F81</f>
        <v/>
      </c>
      <c r="BV81" s="60">
        <f>(BSPrice($B81*1.05,$J81+0, $K81, $C81, ($I81-$B$1)/365, $G81, $H81, $D81) - BSPrice($B81,$J81, $K81, $C81, ($I81-$B$1)/365, $G81, $H81, $D81)) * $F81</f>
        <v/>
      </c>
      <c r="BW81" s="60">
        <f>(BSPrice($B81*1.05,$J81+0.02, $K81, $C81, ($I81-$B$1)/365, $G81, $H81, $D81) - BSPrice($B81,$J81, $K81, $C81, ($I81-$B$1)/365, $G81, $H81, $D81)) * $F81</f>
        <v/>
      </c>
      <c r="BX81" s="60">
        <f>(BSPrice($B81*1.05,$J81+0.05, $K81, $C81, ($I81-$B$1)/365, $G81, $H81, $D81) - BSPrice($B81,$J81, $K81, $C81, ($I81-$B$1)/365, $G81, $H81, $D81)) * $F81</f>
        <v/>
      </c>
      <c r="BY81" s="60">
        <f>(BSPrice($B81*1.05,$J81+0.1, $K81, $C81, ($I81-$B$1)/365, $G81, $H81, $D81) - BSPrice($B81,$J81, $K81, $C81, ($I81-$B$1)/365, $G81, $H81, $D81)) * $F81</f>
        <v/>
      </c>
      <c r="BZ81" s="60">
        <f>(BSPrice($B81*1.05,$J81+0.2, $K81, $C81, ($I81-$B$1)/365, $G81, $H81, $D81) - BSPrice($B81,$J81, $K81, $C81, ($I81-$B$1)/365, $G81, $H81, $D81)) * $F81</f>
        <v/>
      </c>
      <c r="CA81" s="60">
        <f>(BSPrice($B81*1.1,$J81+-0.05, $K81, $C81, ($I81-$B$1)/365, $G81, $H81, $D81) - BSPrice($B81,$J81, $K81, $C81, ($I81-$B$1)/365, $G81, $H81, $D81)) * $F81</f>
        <v/>
      </c>
      <c r="CB81" s="60">
        <f>(BSPrice($B81*1.1,$J81+-0.02, $K81, $C81, ($I81-$B$1)/365, $G81, $H81, $D81) - BSPrice($B81,$J81, $K81, $C81, ($I81-$B$1)/365, $G81, $H81, $D81)) * $F81</f>
        <v/>
      </c>
      <c r="CC81" s="60">
        <f>(BSPrice($B81*1.1,$J81+0, $K81, $C81, ($I81-$B$1)/365, $G81, $H81, $D81) - BSPrice($B81,$J81, $K81, $C81, ($I81-$B$1)/365, $G81, $H81, $D81)) * $F81</f>
        <v/>
      </c>
      <c r="CD81" s="60">
        <f>(BSPrice($B81*1.1,$J81+0.02, $K81, $C81, ($I81-$B$1)/365, $G81, $H81, $D81) - BSPrice($B81,$J81, $K81, $C81, ($I81-$B$1)/365, $G81, $H81, $D81)) * $F81</f>
        <v/>
      </c>
      <c r="CE81" s="60">
        <f>(BSPrice($B81*1.1,$J81+0.05, $K81, $C81, ($I81-$B$1)/365, $G81, $H81, $D81) - BSPrice($B81,$J81, $K81, $C81, ($I81-$B$1)/365, $G81, $H81, $D81)) * $F81</f>
        <v/>
      </c>
      <c r="CF81" s="60">
        <f>(BSPrice($B81*1.1,$J81+0.1, $K81, $C81, ($I81-$B$1)/365, $G81, $H81, $D81) - BSPrice($B81,$J81, $K81, $C81, ($I81-$B$1)/365, $G81, $H81, $D81)) * $F81</f>
        <v/>
      </c>
      <c r="CG81" s="60">
        <f>(BSPrice($B81*1.1,$J81+0.2, $K81, $C81, ($I81-$B$1)/365, $G81, $H81, $D81) - BSPrice($B81,$J81, $K81, $C81, ($I81-$B$1)/365, $G81, $H81, $D81)) * $F81</f>
        <v/>
      </c>
      <c r="CH81" s="60">
        <f>(BSPrice($B81*1.2,$J81+-0.05, $K81, $C81, ($I81-$B$1)/365, $G81, $H81, $D81) - BSPrice($B81,$J81, $K81, $C81, ($I81-$B$1)/365, $G81, $H81, $D81)) * $F81</f>
        <v/>
      </c>
      <c r="CI81" s="60">
        <f>(BSPrice($B81*1.2,$J81+-0.02, $K81, $C81, ($I81-$B$1)/365, $G81, $H81, $D81) - BSPrice($B81,$J81, $K81, $C81, ($I81-$B$1)/365, $G81, $H81, $D81)) * $F81</f>
        <v/>
      </c>
      <c r="CJ81" s="60">
        <f>(BSPrice($B81*1.2,$J81+0, $K81, $C81, ($I81-$B$1)/365, $G81, $H81, $D81) - BSPrice($B81,$J81, $K81, $C81, ($I81-$B$1)/365, $G81, $H81, $D81)) * $F81</f>
        <v/>
      </c>
      <c r="CK81" s="60">
        <f>(BSPrice($B81*1.2,$J81+0.02, $K81, $C81, ($I81-$B$1)/365, $G81, $H81, $D81) - BSPrice($B81,$J81, $K81, $C81, ($I81-$B$1)/365, $G81, $H81, $D81)) * $F81</f>
        <v/>
      </c>
      <c r="CL81" s="60">
        <f>(BSPrice($B81*1.2,$J81+0.05, $K81, $C81, ($I81-$B$1)/365, $G81, $H81, $D81) - BSPrice($B81,$J81, $K81, $C81, ($I81-$B$1)/365, $G81, $H81, $D81)) * $F81</f>
        <v/>
      </c>
      <c r="CM81" s="60">
        <f>(BSPrice($B81*1.2,$J81+0.1, $K81, $C81, ($I81-$B$1)/365, $G81, $H81, $D81) - BSPrice($B81,$J81, $K81, $C81, ($I81-$B$1)/365, $G81, $H81, $D81)) * $F81</f>
        <v/>
      </c>
      <c r="CN81" s="60">
        <f>(BSPrice($B81*1.2,$J81+0.2, $K81, $C81, ($I81-$B$1)/365, $G81, $H81, $D81) - BSPrice($B81,$J81, $K81, $C81, ($I81-$B$1)/365, $G81, $H81, $D81)) * $F81</f>
        <v/>
      </c>
    </row>
    <row r="82">
      <c r="A82" s="3" t="inlineStr">
        <is>
          <t>NKY Index</t>
        </is>
      </c>
      <c r="B82" s="4">
        <f>VLOOKUP(A82,PriceData!$K$4:$L$6,2,FALSE)</f>
        <v/>
      </c>
      <c r="C82" s="46">
        <f>VLOOKUP(A82,PriceData!$K$4:$M$6,3,FALSE)</f>
        <v/>
      </c>
      <c r="D82" s="4" t="inlineStr">
        <is>
          <t>Option</t>
        </is>
      </c>
      <c r="E82" s="4" t="inlineStr">
        <is>
          <t>JPY</t>
        </is>
      </c>
      <c r="F82" s="4" t="n">
        <v>-20</v>
      </c>
      <c r="G82" t="n">
        <v>11525</v>
      </c>
      <c r="H82" s="4" t="inlineStr">
        <is>
          <t>Call</t>
        </is>
      </c>
      <c r="I82" s="5" t="n">
        <v>40347</v>
      </c>
      <c r="J82" s="46">
        <f>FindImpliedVol(A82, D82, G82, I82)</f>
        <v/>
      </c>
      <c r="K82" s="30">
        <f>VLOOKUP(I82,PriceData!$A$5:$D$7,MATCH($E82,PriceData!$A$4:$D$4,0),FALSE)</f>
        <v/>
      </c>
      <c r="L82" s="2">
        <f>BSPrice($B82,$J82, $K82, $C82, ($I82-$B$1)/365, $G82, $H82, $D82)</f>
        <v/>
      </c>
      <c r="M82" s="2">
        <f>F82*L82</f>
        <v/>
      </c>
      <c r="N82" s="4" t="inlineStr">
        <is>
          <t>Exch</t>
        </is>
      </c>
      <c r="P82" s="60">
        <f>BSDelta(B82, J82, K82, C82, (I82-$B$1)/365, G82, H82, D82)</f>
        <v/>
      </c>
      <c r="Q82" s="60">
        <f>BSGamma(B82, J82, K82, C82, (I82-$B$1)/365, G82, D82)</f>
        <v/>
      </c>
      <c r="R82" s="58">
        <f>BSVega(B82, J82, K82, C82, (I82-$B$1)/365,G82, D82)</f>
        <v/>
      </c>
      <c r="S82" s="58">
        <f>BSVolga(B82, J82, K82, C82, (I82-$B$1)/365,G82, D82)</f>
        <v/>
      </c>
      <c r="T82" s="58">
        <f>BSVanna(B82,J82,K82, C82, (I82-$B$1)/365, G82, D82)</f>
        <v/>
      </c>
      <c r="U82" s="2">
        <f>BSRho(B82, J82, K82, C82, (I82-$B$1)/365, G82, H82, D82)</f>
        <v/>
      </c>
      <c r="V82" s="65">
        <f>$F82*$P82</f>
        <v/>
      </c>
      <c r="W82" s="65">
        <f>$F82*$Q82</f>
        <v/>
      </c>
      <c r="X82" s="78">
        <f>$F82*R82</f>
        <v/>
      </c>
      <c r="Y82" s="78">
        <f>$F82*S82</f>
        <v/>
      </c>
      <c r="Z82" s="78">
        <f>$F82*T82</f>
        <v/>
      </c>
      <c r="AA82" s="78">
        <f>$F82*U82</f>
        <v/>
      </c>
      <c r="AB82" s="78">
        <f>(BSPrice($B82*0.8,$J82, $K82, $C82, ($I82-$B$1)/365, $G82, $H82, $D82) - BSPrice($B82,$J82, $K82, $C82, ($I82-$B$1)/365, $G82, $H82, $D82)) * $F82</f>
        <v/>
      </c>
      <c r="AC82" s="78">
        <f>(BSPrice($B82*0.9,$J82, $K82, $C82, ($I82-$B$1)/365, $G82, $H82, $D82) - BSPrice($B82,$J82, $K82, $C82, ($I82-$B$1)/365, $G82, $H82, $D82)) * $F82</f>
        <v/>
      </c>
      <c r="AD82" s="78">
        <f>(BSPrice($B82*0.95,$J82, $K82, $C82, ($I82-$B$1)/365, $G82, $H82, $D82) - BSPrice($B82,$J82, $K82, $C82, ($I82-$B$1)/365, $G82, $H82, $D82)) * $F82</f>
        <v/>
      </c>
      <c r="AE82" s="78">
        <f>(BSPrice($B82*0.98,$J82, $K82, $C82, ($I82-$B$1)/365, $G82, $H82, $D82) - BSPrice($B82,$J82, $K82, $C82, ($I82-$B$1)/365, $G82, $H82, $D82)) * $F82</f>
        <v/>
      </c>
      <c r="AF82" s="78">
        <f>(BSPrice($B82*1.02,$J82, $K82, $C82, ($I82-$B$1)/365, $G82, $H82, $D82) - BSPrice($B82,$J82, $K82, $C82, ($I82-$B$1)/365, $G82, $H82, $D82)) * $F82</f>
        <v/>
      </c>
      <c r="AG82" s="78">
        <f>(BSPrice($B82*1.05,$J82, $K82, $C82, ($I82-$B$1)/365, $G82, $H82, $D82) - BSPrice($B82,$J82, $K82, $C82, ($I82-$B$1)/365, $G82, $H82, $D82)) * $F82</f>
        <v/>
      </c>
      <c r="AH82" s="78">
        <f>(BSPrice($B82*1.1,$J82, $K82, $C82, ($I82-$B$1)/365, $G82, $H82, $D82) - BSPrice($B82,$J82, $K82, $C82, ($I82-$B$1)/365, $G82, $H82, $D82)) * $F82</f>
        <v/>
      </c>
      <c r="AI82" s="78">
        <f>(BSPrice($B82*1.2,$J82, $K82, $C82, ($I82-$B$1)/365, $G82, $H82, $D82) - BSPrice($B82,$J82, $K82, $C82, ($I82-$B$1)/365, $G82, $H82, $D82)) * $F82</f>
        <v/>
      </c>
      <c r="AJ82" s="78">
        <f>(BSPrice($B82,$J82-0.1, $K82, $C82, ($I82-$B$1)/365, $G82, $H82, $D82) - BSPrice($B82,$J82, $K82, $C82, ($I82-$B$1)/365, $G82, $H82, $D82)) * $F82</f>
        <v/>
      </c>
      <c r="AK82" s="78">
        <f>(BSPrice($B82,$J82-0.05,$K82,$C82,($I82-$B$1)/365,$G82,$H82,$D82)-BSPrice($B82,$J82,$K82,$C82,($I82-$B$1)/365,$G82,$H82,$D82))*$F82</f>
        <v/>
      </c>
      <c r="AL82" s="78">
        <f>(BSPrice($B82,$J82-0.02, $K82, $C82, ($I82-$B$1)/365, $G82, $H82, $D82) - BSPrice($B82,$J82, $K82, $C82, ($I82-$B$1)/365, $G82, $H82, $D82)) * $F82</f>
        <v/>
      </c>
      <c r="AM82" s="78">
        <f>(BSPrice($B82,$J82-0.01, $K82, $C82, ($I82-$B$1)/365, $G82, $H82, $D82) - BSPrice($B82,$J82, $K82, $C82, ($I82-$B$1)/365, $G82, $H82, $D82)) * $F82</f>
        <v/>
      </c>
      <c r="AN82" s="78">
        <f>(BSPrice($B82,$J82+0.01, $K82, $C82, ($I82-$B$1)/365, $G82, $H82, $D82) - BSPrice($B82,$J82, $K82, $C82, ($I82-$B$1)/365, $G82, $H82, $D82)) * $F82</f>
        <v/>
      </c>
      <c r="AO82" s="78">
        <f>(BSPrice($B82,$J82+0.02, $K82, $C82, ($I82-$B$1)/365, $G82, $H82, $D82) - BSPrice($B82,$J82, $K82, $C82, ($I82-$B$1)/365, $G82, $H82, $D82)) * $F82</f>
        <v/>
      </c>
      <c r="AP82" s="78">
        <f>(BSPrice($B82,$J82+0.05, $K82, $C82, ($I82-$B$1)/365, $G82, $H82, $D82) - BSPrice($B82,$J82, $K82, $C82, ($I82-$B$1)/365, $G82, $H82, $D82)) * $F82</f>
        <v/>
      </c>
      <c r="AQ82" s="78">
        <f>(BSPrice($B82,$J82+0.1, $K82, $C82, ($I82-$B$1)/365, $G82, $H82, $D82) - BSPrice($B82,$J82, $K82, $C82, ($I82-$B$1)/365, $G82, $H82, $D82)) * $F82</f>
        <v/>
      </c>
      <c r="AR82" s="60">
        <f>(BSPrice($B82*0.8,$J82+-0.05, $K82, $C82, ($I82-$B$1)/365, $G82, $H82, $D82) - BSPrice($B82,$J82, $K82, $C82, ($I82-$B$1)/365, $G82, $H82, $D82)) * $F82</f>
        <v/>
      </c>
      <c r="AS82" s="60">
        <f>(BSPrice($B82*0.8,$J82+-0.02, $K82, $C82, ($I82-$B$1)/365, $G82, $H82, $D82) - BSPrice($B82,$J82, $K82, $C82, ($I82-$B$1)/365, $G82, $H82, $D82)) * $F82</f>
        <v/>
      </c>
      <c r="AT82" s="60">
        <f>(BSPrice($B82*0.8,$J82+0, $K82, $C82, ($I82-$B$1)/365, $G82, $H82, $D82) - BSPrice($B82,$J82, $K82, $C82, ($I82-$B$1)/365, $G82, $H82, $D82)) * $F82</f>
        <v/>
      </c>
      <c r="AU82" s="60">
        <f>(BSPrice($B82*0.8,$J82+0.02, $K82, $C82, ($I82-$B$1)/365, $G82, $H82, $D82) - BSPrice($B82,$J82, $K82, $C82, ($I82-$B$1)/365, $G82, $H82, $D82)) * $F82</f>
        <v/>
      </c>
      <c r="AV82" s="60">
        <f>(BSPrice($B82*0.8,$J82+0.05, $K82, $C82, ($I82-$B$1)/365, $G82, $H82, $D82) - BSPrice($B82,$J82, $K82, $C82, ($I82-$B$1)/365, $G82, $H82, $D82)) * $F82</f>
        <v/>
      </c>
      <c r="AW82" s="60">
        <f>(BSPrice($B82*0.8,$J82+0.1, $K82, $C82, ($I82-$B$1)/365, $G82, $H82, $D82) - BSPrice($B82,$J82, $K82, $C82, ($I82-$B$1)/365, $G82, $H82, $D82)) * $F82</f>
        <v/>
      </c>
      <c r="AX82" s="60">
        <f>(BSPrice($B82*0.8,$J82+0.2, $K82, $C82, ($I82-$B$1)/365, $G82, $H82, $D82) - BSPrice($B82,$J82, $K82, $C82, ($I82-$B$1)/365, $G82, $H82, $D82)) * $F82</f>
        <v/>
      </c>
      <c r="AY82" s="60">
        <f>(BSPrice($B82*0.9,$J82+-0.05, $K82, $C82, ($I82-$B$1)/365, $G82, $H82, $D82) - BSPrice($B82,$J82, $K82, $C82, ($I82-$B$1)/365, $G82, $H82, $D82)) * $F82</f>
        <v/>
      </c>
      <c r="AZ82" s="60">
        <f>(BSPrice($B82*0.9,$J82+-0.02, $K82, $C82, ($I82-$B$1)/365, $G82, $H82, $D82) - BSPrice($B82,$J82, $K82, $C82, ($I82-$B$1)/365, $G82, $H82, $D82)) * $F82</f>
        <v/>
      </c>
      <c r="BA82" s="60">
        <f>(BSPrice($B82*0.9,$J82+0, $K82, $C82, ($I82-$B$1)/365, $G82, $H82, $D82) - BSPrice($B82,$J82, $K82, $C82, ($I82-$B$1)/365, $G82, $H82, $D82)) * $F82</f>
        <v/>
      </c>
      <c r="BB82" s="60">
        <f>(BSPrice($B82*0.9,$J82+0.02, $K82, $C82, ($I82-$B$1)/365, $G82, $H82, $D82) - BSPrice($B82,$J82, $K82, $C82, ($I82-$B$1)/365, $G82, $H82, $D82)) * $F82</f>
        <v/>
      </c>
      <c r="BC82" s="60">
        <f>(BSPrice($B82*0.9,$J82+0.05, $K82, $C82, ($I82-$B$1)/365, $G82, $H82, $D82) - BSPrice($B82,$J82, $K82, $C82, ($I82-$B$1)/365, $G82, $H82, $D82)) * $F82</f>
        <v/>
      </c>
      <c r="BD82" s="60">
        <f>(BSPrice($B82*0.9,$J82+0.1, $K82, $C82, ($I82-$B$1)/365, $G82, $H82, $D82) - BSPrice($B82,$J82, $K82, $C82, ($I82-$B$1)/365, $G82, $H82, $D82)) * $F82</f>
        <v/>
      </c>
      <c r="BE82" s="60">
        <f>(BSPrice($B82*0.9,$J82+0.2, $K82, $C82, ($I82-$B$1)/365, $G82, $H82, $D82) - BSPrice($B82,$J82, $K82, $C82, ($I82-$B$1)/365, $G82, $H82, $D82)) * $F82</f>
        <v/>
      </c>
      <c r="BF82" s="60">
        <f>(BSPrice($B82*0.95,$J82+-0.05, $K82, $C82, ($I82-$B$1)/365, $G82, $H82, $D82) - BSPrice($B82,$J82, $K82, $C82, ($I82-$B$1)/365, $G82, $H82, $D82)) * $F82</f>
        <v/>
      </c>
      <c r="BG82" s="60">
        <f>(BSPrice($B82*0.95,$J82+-0.02, $K82, $C82, ($I82-$B$1)/365, $G82, $H82, $D82) - BSPrice($B82,$J82, $K82, $C82, ($I82-$B$1)/365, $G82, $H82, $D82)) * $F82</f>
        <v/>
      </c>
      <c r="BH82" s="60">
        <f>(BSPrice($B82*0.95,$J82+0, $K82, $C82, ($I82-$B$1)/365, $G82, $H82, $D82) - BSPrice($B82,$J82, $K82, $C82, ($I82-$B$1)/365, $G82, $H82, $D82)) * $F82</f>
        <v/>
      </c>
      <c r="BI82" s="60">
        <f>(BSPrice($B82*0.95,$J82+0.02, $K82, $C82, ($I82-$B$1)/365, $G82, $H82, $D82) - BSPrice($B82,$J82, $K82, $C82, ($I82-$B$1)/365, $G82, $H82, $D82)) * $F82</f>
        <v/>
      </c>
      <c r="BJ82" s="60">
        <f>(BSPrice($B82*0.95,$J82+0.05, $K82, $C82, ($I82-$B$1)/365, $G82, $H82, $D82) - BSPrice($B82,$J82, $K82, $C82, ($I82-$B$1)/365, $G82, $H82, $D82)) * $F82</f>
        <v/>
      </c>
      <c r="BK82" s="60">
        <f>(BSPrice($B82*0.95,$J82+0.1, $K82, $C82, ($I82-$B$1)/365, $G82, $H82, $D82) - BSPrice($B82,$J82, $K82, $C82, ($I82-$B$1)/365, $G82, $H82, $D82)) * $F82</f>
        <v/>
      </c>
      <c r="BL82" s="60">
        <f>(BSPrice($B82*0.95,$J82+0.2, $K82, $C82, ($I82-$B$1)/365, $G82, $H82, $D82) - BSPrice($B82,$J82, $K82, $C82, ($I82-$B$1)/365, $G82, $H82, $D82)) * $F82</f>
        <v/>
      </c>
      <c r="BM82" s="60">
        <f>(BSPrice($B82*1,$J82+-0.05, $K82, $C82, ($I82-$B$1)/365, $G82, $H82, $D82) - BSPrice($B82,$J82, $K82, $C82, ($I82-$B$1)/365, $G82, $H82, $D82)) * $F82</f>
        <v/>
      </c>
      <c r="BN82" s="60">
        <f>(BSPrice($B82*1,$J82+-0.02, $K82, $C82, ($I82-$B$1)/365, $G82, $H82, $D82) - BSPrice($B82,$J82, $K82, $C82, ($I82-$B$1)/365, $G82, $H82, $D82)) * $F82</f>
        <v/>
      </c>
      <c r="BO82" s="60">
        <f>(BSPrice($B82*1,$J82+0, $K82, $C82, ($I82-$B$1)/365, $G82, $H82, $D82) - BSPrice($B82,$J82, $K82, $C82, ($I82-$B$1)/365, $G82, $H82, $D82)) * $F82</f>
        <v/>
      </c>
      <c r="BP82" s="60">
        <f>(BSPrice($B82*1,$J82+0.02, $K82, $C82, ($I82-$B$1)/365, $G82, $H82, $D82) - BSPrice($B82,$J82, $K82, $C82, ($I82-$B$1)/365, $G82, $H82, $D82)) * $F82</f>
        <v/>
      </c>
      <c r="BQ82" s="60">
        <f>(BSPrice($B82*1,$J82+0.05, $K82, $C82, ($I82-$B$1)/365, $G82, $H82, $D82) - BSPrice($B82,$J82, $K82, $C82, ($I82-$B$1)/365, $G82, $H82, $D82)) * $F82</f>
        <v/>
      </c>
      <c r="BR82" s="60">
        <f>(BSPrice($B82*1,$J82+0.1, $K82, $C82, ($I82-$B$1)/365, $G82, $H82, $D82) - BSPrice($B82,$J82, $K82, $C82, ($I82-$B$1)/365, $G82, $H82, $D82)) * $F82</f>
        <v/>
      </c>
      <c r="BS82" s="60">
        <f>(BSPrice($B82*1,$J82+0.2, $K82, $C82, ($I82-$B$1)/365, $G82, $H82, $D82) - BSPrice($B82,$J82, $K82, $C82, ($I82-$B$1)/365, $G82, $H82, $D82)) * $F82</f>
        <v/>
      </c>
      <c r="BT82" s="60">
        <f>(BSPrice($B82*1.05,$J82+-0.05, $K82, $C82, ($I82-$B$1)/365, $G82, $H82, $D82) - BSPrice($B82,$J82, $K82, $C82, ($I82-$B$1)/365, $G82, $H82, $D82)) * $F82</f>
        <v/>
      </c>
      <c r="BU82" s="60">
        <f>(BSPrice($B82*1.05,$J82+-0.02, $K82, $C82, ($I82-$B$1)/365, $G82, $H82, $D82) - BSPrice($B82,$J82, $K82, $C82, ($I82-$B$1)/365, $G82, $H82, $D82)) * $F82</f>
        <v/>
      </c>
      <c r="BV82" s="60">
        <f>(BSPrice($B82*1.05,$J82+0, $K82, $C82, ($I82-$B$1)/365, $G82, $H82, $D82) - BSPrice($B82,$J82, $K82, $C82, ($I82-$B$1)/365, $G82, $H82, $D82)) * $F82</f>
        <v/>
      </c>
      <c r="BW82" s="60">
        <f>(BSPrice($B82*1.05,$J82+0.02, $K82, $C82, ($I82-$B$1)/365, $G82, $H82, $D82) - BSPrice($B82,$J82, $K82, $C82, ($I82-$B$1)/365, $G82, $H82, $D82)) * $F82</f>
        <v/>
      </c>
      <c r="BX82" s="60">
        <f>(BSPrice($B82*1.05,$J82+0.05, $K82, $C82, ($I82-$B$1)/365, $G82, $H82, $D82) - BSPrice($B82,$J82, $K82, $C82, ($I82-$B$1)/365, $G82, $H82, $D82)) * $F82</f>
        <v/>
      </c>
      <c r="BY82" s="60">
        <f>(BSPrice($B82*1.05,$J82+0.1, $K82, $C82, ($I82-$B$1)/365, $G82, $H82, $D82) - BSPrice($B82,$J82, $K82, $C82, ($I82-$B$1)/365, $G82, $H82, $D82)) * $F82</f>
        <v/>
      </c>
      <c r="BZ82" s="60">
        <f>(BSPrice($B82*1.05,$J82+0.2, $K82, $C82, ($I82-$B$1)/365, $G82, $H82, $D82) - BSPrice($B82,$J82, $K82, $C82, ($I82-$B$1)/365, $G82, $H82, $D82)) * $F82</f>
        <v/>
      </c>
      <c r="CA82" s="60">
        <f>(BSPrice($B82*1.1,$J82+-0.05, $K82, $C82, ($I82-$B$1)/365, $G82, $H82, $D82) - BSPrice($B82,$J82, $K82, $C82, ($I82-$B$1)/365, $G82, $H82, $D82)) * $F82</f>
        <v/>
      </c>
      <c r="CB82" s="60">
        <f>(BSPrice($B82*1.1,$J82+-0.02, $K82, $C82, ($I82-$B$1)/365, $G82, $H82, $D82) - BSPrice($B82,$J82, $K82, $C82, ($I82-$B$1)/365, $G82, $H82, $D82)) * $F82</f>
        <v/>
      </c>
      <c r="CC82" s="60">
        <f>(BSPrice($B82*1.1,$J82+0, $K82, $C82, ($I82-$B$1)/365, $G82, $H82, $D82) - BSPrice($B82,$J82, $K82, $C82, ($I82-$B$1)/365, $G82, $H82, $D82)) * $F82</f>
        <v/>
      </c>
      <c r="CD82" s="60">
        <f>(BSPrice($B82*1.1,$J82+0.02, $K82, $C82, ($I82-$B$1)/365, $G82, $H82, $D82) - BSPrice($B82,$J82, $K82, $C82, ($I82-$B$1)/365, $G82, $H82, $D82)) * $F82</f>
        <v/>
      </c>
      <c r="CE82" s="60">
        <f>(BSPrice($B82*1.1,$J82+0.05, $K82, $C82, ($I82-$B$1)/365, $G82, $H82, $D82) - BSPrice($B82,$J82, $K82, $C82, ($I82-$B$1)/365, $G82, $H82, $D82)) * $F82</f>
        <v/>
      </c>
      <c r="CF82" s="60">
        <f>(BSPrice($B82*1.1,$J82+0.1, $K82, $C82, ($I82-$B$1)/365, $G82, $H82, $D82) - BSPrice($B82,$J82, $K82, $C82, ($I82-$B$1)/365, $G82, $H82, $D82)) * $F82</f>
        <v/>
      </c>
      <c r="CG82" s="60">
        <f>(BSPrice($B82*1.1,$J82+0.2, $K82, $C82, ($I82-$B$1)/365, $G82, $H82, $D82) - BSPrice($B82,$J82, $K82, $C82, ($I82-$B$1)/365, $G82, $H82, $D82)) * $F82</f>
        <v/>
      </c>
      <c r="CH82" s="60">
        <f>(BSPrice($B82*1.2,$J82+-0.05, $K82, $C82, ($I82-$B$1)/365, $G82, $H82, $D82) - BSPrice($B82,$J82, $K82, $C82, ($I82-$B$1)/365, $G82, $H82, $D82)) * $F82</f>
        <v/>
      </c>
      <c r="CI82" s="60">
        <f>(BSPrice($B82*1.2,$J82+-0.02, $K82, $C82, ($I82-$B$1)/365, $G82, $H82, $D82) - BSPrice($B82,$J82, $K82, $C82, ($I82-$B$1)/365, $G82, $H82, $D82)) * $F82</f>
        <v/>
      </c>
      <c r="CJ82" s="60">
        <f>(BSPrice($B82*1.2,$J82+0, $K82, $C82, ($I82-$B$1)/365, $G82, $H82, $D82) - BSPrice($B82,$J82, $K82, $C82, ($I82-$B$1)/365, $G82, $H82, $D82)) * $F82</f>
        <v/>
      </c>
      <c r="CK82" s="60">
        <f>(BSPrice($B82*1.2,$J82+0.02, $K82, $C82, ($I82-$B$1)/365, $G82, $H82, $D82) - BSPrice($B82,$J82, $K82, $C82, ($I82-$B$1)/365, $G82, $H82, $D82)) * $F82</f>
        <v/>
      </c>
      <c r="CL82" s="60">
        <f>(BSPrice($B82*1.2,$J82+0.05, $K82, $C82, ($I82-$B$1)/365, $G82, $H82, $D82) - BSPrice($B82,$J82, $K82, $C82, ($I82-$B$1)/365, $G82, $H82, $D82)) * $F82</f>
        <v/>
      </c>
      <c r="CM82" s="60">
        <f>(BSPrice($B82*1.2,$J82+0.1, $K82, $C82, ($I82-$B$1)/365, $G82, $H82, $D82) - BSPrice($B82,$J82, $K82, $C82, ($I82-$B$1)/365, $G82, $H82, $D82)) * $F82</f>
        <v/>
      </c>
      <c r="CN82" s="60">
        <f>(BSPrice($B82*1.2,$J82+0.2, $K82, $C82, ($I82-$B$1)/365, $G82, $H82, $D82) - BSPrice($B82,$J82, $K82, $C82, ($I82-$B$1)/365, $G82, $H82, $D82)) * $F82</f>
        <v/>
      </c>
    </row>
    <row r="83">
      <c r="A83" s="3" t="inlineStr">
        <is>
          <t>NKY Index</t>
        </is>
      </c>
      <c r="B83" s="4">
        <f>VLOOKUP(A83,PriceData!$K$4:$L$6,2,FALSE)</f>
        <v/>
      </c>
      <c r="C83" s="46">
        <f>VLOOKUP(A83,PriceData!$K$4:$M$6,3,FALSE)</f>
        <v/>
      </c>
      <c r="D83" s="4" t="inlineStr">
        <is>
          <t>Option</t>
        </is>
      </c>
      <c r="E83" s="4" t="inlineStr">
        <is>
          <t>JPY</t>
        </is>
      </c>
      <c r="F83" s="4" t="n">
        <v>-10</v>
      </c>
      <c r="G83" t="n">
        <v>9721</v>
      </c>
      <c r="H83" s="4" t="inlineStr">
        <is>
          <t>Put</t>
        </is>
      </c>
      <c r="I83" s="5" t="n">
        <v>40438</v>
      </c>
      <c r="J83" s="46">
        <f>FindImpliedVol(A83, D83, G83, I83)</f>
        <v/>
      </c>
      <c r="K83" s="30">
        <f>VLOOKUP(I83,PriceData!$A$5:$D$7,MATCH($E83,PriceData!$A$4:$D$4,0),FALSE)</f>
        <v/>
      </c>
      <c r="L83" s="2">
        <f>BSPrice($B83,$J83, $K83, $C83, ($I83-$B$1)/365, $G83, $H83, $D83)</f>
        <v/>
      </c>
      <c r="M83" s="2">
        <f>F83*L83</f>
        <v/>
      </c>
      <c r="N83" s="4" t="inlineStr">
        <is>
          <t>Darklays Capital</t>
        </is>
      </c>
      <c r="P83" s="60">
        <f>BSDelta(B83, J83, K83, C83, (I83-$B$1)/365, G83, H83, D83)</f>
        <v/>
      </c>
      <c r="Q83" s="60">
        <f>BSGamma(B83, J83, K83, C83, (I83-$B$1)/365, G83, D83)</f>
        <v/>
      </c>
      <c r="R83" s="58">
        <f>BSVega(B83, J83, K83, C83, (I83-$B$1)/365,G83, D83)</f>
        <v/>
      </c>
      <c r="S83" s="58">
        <f>BSVolga(B83, J83, K83, C83, (I83-$B$1)/365,G83, D83)</f>
        <v/>
      </c>
      <c r="T83" s="58">
        <f>BSVanna(B83,J83,K83, C83, (I83-$B$1)/365, G83, D83)</f>
        <v/>
      </c>
      <c r="U83" s="2">
        <f>BSRho(B83, J83, K83, C83, (I83-$B$1)/365, G83, H83, D83)</f>
        <v/>
      </c>
      <c r="V83" s="65">
        <f>$F83*$P83</f>
        <v/>
      </c>
      <c r="W83" s="65">
        <f>$F83*$Q83</f>
        <v/>
      </c>
      <c r="X83" s="78">
        <f>$F83*R83</f>
        <v/>
      </c>
      <c r="Y83" s="78">
        <f>$F83*S83</f>
        <v/>
      </c>
      <c r="Z83" s="78">
        <f>$F83*T83</f>
        <v/>
      </c>
      <c r="AA83" s="78">
        <f>$F83*U83</f>
        <v/>
      </c>
      <c r="AB83" s="78">
        <f>(BSPrice($B83*0.8,$J83, $K83, $C83, ($I83-$B$1)/365, $G83, $H83, $D83) - BSPrice($B83,$J83, $K83, $C83, ($I83-$B$1)/365, $G83, $H83, $D83)) * $F83</f>
        <v/>
      </c>
      <c r="AC83" s="78">
        <f>(BSPrice($B83*0.9,$J83, $K83, $C83, ($I83-$B$1)/365, $G83, $H83, $D83) - BSPrice($B83,$J83, $K83, $C83, ($I83-$B$1)/365, $G83, $H83, $D83)) * $F83</f>
        <v/>
      </c>
      <c r="AD83" s="78">
        <f>(BSPrice($B83*0.95,$J83, $K83, $C83, ($I83-$B$1)/365, $G83, $H83, $D83) - BSPrice($B83,$J83, $K83, $C83, ($I83-$B$1)/365, $G83, $H83, $D83)) * $F83</f>
        <v/>
      </c>
      <c r="AE83" s="78">
        <f>(BSPrice($B83*0.98,$J83, $K83, $C83, ($I83-$B$1)/365, $G83, $H83, $D83) - BSPrice($B83,$J83, $K83, $C83, ($I83-$B$1)/365, $G83, $H83, $D83)) * $F83</f>
        <v/>
      </c>
      <c r="AF83" s="78">
        <f>(BSPrice($B83*1.02,$J83, $K83, $C83, ($I83-$B$1)/365, $G83, $H83, $D83) - BSPrice($B83,$J83, $K83, $C83, ($I83-$B$1)/365, $G83, $H83, $D83)) * $F83</f>
        <v/>
      </c>
      <c r="AG83" s="78">
        <f>(BSPrice($B83*1.05,$J83, $K83, $C83, ($I83-$B$1)/365, $G83, $H83, $D83) - BSPrice($B83,$J83, $K83, $C83, ($I83-$B$1)/365, $G83, $H83, $D83)) * $F83</f>
        <v/>
      </c>
      <c r="AH83" s="78">
        <f>(BSPrice($B83*1.1,$J83, $K83, $C83, ($I83-$B$1)/365, $G83, $H83, $D83) - BSPrice($B83,$J83, $K83, $C83, ($I83-$B$1)/365, $G83, $H83, $D83)) * $F83</f>
        <v/>
      </c>
      <c r="AI83" s="78">
        <f>(BSPrice($B83*1.2,$J83, $K83, $C83, ($I83-$B$1)/365, $G83, $H83, $D83) - BSPrice($B83,$J83, $K83, $C83, ($I83-$B$1)/365, $G83, $H83, $D83)) * $F83</f>
        <v/>
      </c>
      <c r="AJ83" s="78">
        <f>(BSPrice($B83,$J83-0.1, $K83, $C83, ($I83-$B$1)/365, $G83, $H83, $D83) - BSPrice($B83,$J83, $K83, $C83, ($I83-$B$1)/365, $G83, $H83, $D83)) * $F83</f>
        <v/>
      </c>
      <c r="AK83" s="78">
        <f>(BSPrice($B83,$J83-0.05,$K83,$C83,($I83-$B$1)/365,$G83,$H83,$D83)-BSPrice($B83,$J83,$K83,$C83,($I83-$B$1)/365,$G83,$H83,$D83))*$F83</f>
        <v/>
      </c>
      <c r="AL83" s="78">
        <f>(BSPrice($B83,$J83-0.02, $K83, $C83, ($I83-$B$1)/365, $G83, $H83, $D83) - BSPrice($B83,$J83, $K83, $C83, ($I83-$B$1)/365, $G83, $H83, $D83)) * $F83</f>
        <v/>
      </c>
      <c r="AM83" s="78">
        <f>(BSPrice($B83,$J83-0.01, $K83, $C83, ($I83-$B$1)/365, $G83, $H83, $D83) - BSPrice($B83,$J83, $K83, $C83, ($I83-$B$1)/365, $G83, $H83, $D83)) * $F83</f>
        <v/>
      </c>
      <c r="AN83" s="78">
        <f>(BSPrice($B83,$J83+0.01, $K83, $C83, ($I83-$B$1)/365, $G83, $H83, $D83) - BSPrice($B83,$J83, $K83, $C83, ($I83-$B$1)/365, $G83, $H83, $D83)) * $F83</f>
        <v/>
      </c>
      <c r="AO83" s="78">
        <f>(BSPrice($B83,$J83+0.02, $K83, $C83, ($I83-$B$1)/365, $G83, $H83, $D83) - BSPrice($B83,$J83, $K83, $C83, ($I83-$B$1)/365, $G83, $H83, $D83)) * $F83</f>
        <v/>
      </c>
      <c r="AP83" s="78">
        <f>(BSPrice($B83,$J83+0.05, $K83, $C83, ($I83-$B$1)/365, $G83, $H83, $D83) - BSPrice($B83,$J83, $K83, $C83, ($I83-$B$1)/365, $G83, $H83, $D83)) * $F83</f>
        <v/>
      </c>
      <c r="AQ83" s="78">
        <f>(BSPrice($B83,$J83+0.1, $K83, $C83, ($I83-$B$1)/365, $G83, $H83, $D83) - BSPrice($B83,$J83, $K83, $C83, ($I83-$B$1)/365, $G83, $H83, $D83)) * $F83</f>
        <v/>
      </c>
    </row>
    <row r="84">
      <c r="A84" s="3" t="inlineStr">
        <is>
          <t>NKY Index</t>
        </is>
      </c>
      <c r="B84" s="4">
        <f>VLOOKUP(A84,PriceData!$K$4:$L$6,2,FALSE)</f>
        <v/>
      </c>
      <c r="C84" s="46">
        <f>VLOOKUP(A84,PriceData!$K$4:$M$6,3,FALSE)</f>
        <v/>
      </c>
      <c r="D84" s="4" t="inlineStr">
        <is>
          <t>Option</t>
        </is>
      </c>
      <c r="E84" s="4" t="inlineStr">
        <is>
          <t>JPY</t>
        </is>
      </c>
      <c r="F84" s="4" t="n">
        <v>-5</v>
      </c>
      <c r="G84" t="n">
        <v>7617</v>
      </c>
      <c r="H84" s="4" t="inlineStr">
        <is>
          <t>Put</t>
        </is>
      </c>
      <c r="I84" s="5" t="n">
        <v>40438</v>
      </c>
      <c r="J84" s="46">
        <f>FindImpliedVol(A84, D84, G84, I84)</f>
        <v/>
      </c>
      <c r="K84" s="30">
        <f>VLOOKUP(I84,PriceData!$A$5:$D$7,MATCH($E84,PriceData!$A$4:$D$4,0),FALSE)</f>
        <v/>
      </c>
      <c r="L84" s="2">
        <f>BSPrice($B84,$J84, $K84, $C84, ($I84-$B$1)/365, $G84, $H84, $D84)</f>
        <v/>
      </c>
      <c r="M84" s="2">
        <f>F84*L84</f>
        <v/>
      </c>
      <c r="N84" s="4" t="inlineStr">
        <is>
          <t>Exch</t>
        </is>
      </c>
      <c r="P84" s="60">
        <f>BSDelta(B84, J84, K84, C84, (I84-$B$1)/365, G84, H84, D84)</f>
        <v/>
      </c>
      <c r="Q84" s="60">
        <f>BSGamma(B84, J84, K84, C84, (I84-$B$1)/365, G84, D84)</f>
        <v/>
      </c>
      <c r="R84" s="58">
        <f>BSVega(B84, J84, K84, C84, (I84-$B$1)/365,G84, D84)</f>
        <v/>
      </c>
      <c r="S84" s="58">
        <f>BSVolga(B84, J84, K84, C84, (I84-$B$1)/365,G84, D84)</f>
        <v/>
      </c>
      <c r="T84" s="58">
        <f>BSVanna(B84,J84,K84, C84, (I84-$B$1)/365, G84, D84)</f>
        <v/>
      </c>
      <c r="U84" s="2">
        <f>BSRho(B84, J84, K84, C84, (I84-$B$1)/365, G84, H84, D84)</f>
        <v/>
      </c>
      <c r="V84" s="65">
        <f>$F84*$P84</f>
        <v/>
      </c>
      <c r="W84" s="65">
        <f>$F84*$Q84</f>
        <v/>
      </c>
      <c r="X84" s="78">
        <f>$F84*R84</f>
        <v/>
      </c>
      <c r="Y84" s="78">
        <f>$F84*S84</f>
        <v/>
      </c>
      <c r="Z84" s="78">
        <f>$F84*T84</f>
        <v/>
      </c>
      <c r="AA84" s="78">
        <f>$F84*U84</f>
        <v/>
      </c>
      <c r="AB84" s="78">
        <f>(BSPrice($B84*0.8,$J84, $K84, $C84, ($I84-$B$1)/365, $G84, $H84, $D84) - BSPrice($B84,$J84, $K84, $C84, ($I84-$B$1)/365, $G84, $H84, $D84)) * $F84</f>
        <v/>
      </c>
      <c r="AC84" s="78">
        <f>(BSPrice($B84*0.9,$J84, $K84, $C84, ($I84-$B$1)/365, $G84, $H84, $D84) - BSPrice($B84,$J84, $K84, $C84, ($I84-$B$1)/365, $G84, $H84, $D84)) * $F84</f>
        <v/>
      </c>
      <c r="AD84" s="78">
        <f>(BSPrice($B84*0.95,$J84, $K84, $C84, ($I84-$B$1)/365, $G84, $H84, $D84) - BSPrice($B84,$J84, $K84, $C84, ($I84-$B$1)/365, $G84, $H84, $D84)) * $F84</f>
        <v/>
      </c>
      <c r="AE84" s="78">
        <f>(BSPrice($B84*0.98,$J84, $K84, $C84, ($I84-$B$1)/365, $G84, $H84, $D84) - BSPrice($B84,$J84, $K84, $C84, ($I84-$B$1)/365, $G84, $H84, $D84)) * $F84</f>
        <v/>
      </c>
      <c r="AF84" s="78">
        <f>(BSPrice($B84*1.02,$J84, $K84, $C84, ($I84-$B$1)/365, $G84, $H84, $D84) - BSPrice($B84,$J84, $K84, $C84, ($I84-$B$1)/365, $G84, $H84, $D84)) * $F84</f>
        <v/>
      </c>
      <c r="AG84" s="78">
        <f>(BSPrice($B84*1.05,$J84, $K84, $C84, ($I84-$B$1)/365, $G84, $H84, $D84) - BSPrice($B84,$J84, $K84, $C84, ($I84-$B$1)/365, $G84, $H84, $D84)) * $F84</f>
        <v/>
      </c>
      <c r="AH84" s="78">
        <f>(BSPrice($B84*1.1,$J84, $K84, $C84, ($I84-$B$1)/365, $G84, $H84, $D84) - BSPrice($B84,$J84, $K84, $C84, ($I84-$B$1)/365, $G84, $H84, $D84)) * $F84</f>
        <v/>
      </c>
      <c r="AI84" s="78">
        <f>(BSPrice($B84*1.2,$J84, $K84, $C84, ($I84-$B$1)/365, $G84, $H84, $D84) - BSPrice($B84,$J84, $K84, $C84, ($I84-$B$1)/365, $G84, $H84, $D84)) * $F84</f>
        <v/>
      </c>
      <c r="AJ84" s="78">
        <f>(BSPrice($B84,$J84-0.1, $K84, $C84, ($I84-$B$1)/365, $G84, $H84, $D84) - BSPrice($B84,$J84, $K84, $C84, ($I84-$B$1)/365, $G84, $H84, $D84)) * $F84</f>
        <v/>
      </c>
      <c r="AK84" s="78">
        <f>(BSPrice($B84,$J84-0.05,$K84,$C84,($I84-$B$1)/365,$G84,$H84,$D84)-BSPrice($B84,$J84,$K84,$C84,($I84-$B$1)/365,$G84,$H84,$D84))*$F84</f>
        <v/>
      </c>
      <c r="AL84" s="78">
        <f>(BSPrice($B84,$J84-0.02, $K84, $C84, ($I84-$B$1)/365, $G84, $H84, $D84) - BSPrice($B84,$J84, $K84, $C84, ($I84-$B$1)/365, $G84, $H84, $D84)) * $F84</f>
        <v/>
      </c>
      <c r="AM84" s="78">
        <f>(BSPrice($B84,$J84-0.01, $K84, $C84, ($I84-$B$1)/365, $G84, $H84, $D84) - BSPrice($B84,$J84, $K84, $C84, ($I84-$B$1)/365, $G84, $H84, $D84)) * $F84</f>
        <v/>
      </c>
      <c r="AN84" s="78">
        <f>(BSPrice($B84,$J84+0.01, $K84, $C84, ($I84-$B$1)/365, $G84, $H84, $D84) - BSPrice($B84,$J84, $K84, $C84, ($I84-$B$1)/365, $G84, $H84, $D84)) * $F84</f>
        <v/>
      </c>
      <c r="AO84" s="78">
        <f>(BSPrice($B84,$J84+0.02, $K84, $C84, ($I84-$B$1)/365, $G84, $H84, $D84) - BSPrice($B84,$J84, $K84, $C84, ($I84-$B$1)/365, $G84, $H84, $D84)) * $F84</f>
        <v/>
      </c>
      <c r="AP84" s="78">
        <f>(BSPrice($B84,$J84+0.05, $K84, $C84, ($I84-$B$1)/365, $G84, $H84, $D84) - BSPrice($B84,$J84, $K84, $C84, ($I84-$B$1)/365, $G84, $H84, $D84)) * $F84</f>
        <v/>
      </c>
      <c r="AQ84" s="78">
        <f>(BSPrice($B84,$J84+0.1, $K84, $C84, ($I84-$B$1)/365, $G84, $H84, $D84) - BSPrice($B84,$J84, $K84, $C84, ($I84-$B$1)/365, $G84, $H84, $D84)) * $F84</f>
        <v/>
      </c>
    </row>
    <row r="85">
      <c r="A85" s="3" t="inlineStr">
        <is>
          <t>NKY Index</t>
        </is>
      </c>
      <c r="B85" s="4">
        <f>VLOOKUP(A85,PriceData!$K$4:$L$6,2,FALSE)</f>
        <v/>
      </c>
      <c r="C85" s="46">
        <f>VLOOKUP(A85,PriceData!$K$4:$M$6,3,FALSE)</f>
        <v/>
      </c>
      <c r="D85" s="4" t="inlineStr">
        <is>
          <t>Option</t>
        </is>
      </c>
      <c r="E85" s="4" t="inlineStr">
        <is>
          <t>JPY</t>
        </is>
      </c>
      <c r="F85" s="4" t="n">
        <v>-10</v>
      </c>
      <c r="G85" t="n">
        <v>9721</v>
      </c>
      <c r="H85" s="4" t="inlineStr">
        <is>
          <t>Put</t>
        </is>
      </c>
      <c r="I85" s="5" t="n">
        <v>40438</v>
      </c>
      <c r="J85" s="46">
        <f>FindImpliedVol(A85, D85, G85, I85)</f>
        <v/>
      </c>
      <c r="K85" s="30">
        <f>VLOOKUP(I85,PriceData!$A$5:$D$7,MATCH($E85,PriceData!$A$4:$D$4,0),FALSE)</f>
        <v/>
      </c>
      <c r="L85" s="2">
        <f>BSPrice($B85,$J85, $K85, $C85, ($I85-$B$1)/365, $G85, $H85, $D85)</f>
        <v/>
      </c>
      <c r="M85" s="2">
        <f>F85*L85</f>
        <v/>
      </c>
      <c r="N85" s="4" t="inlineStr">
        <is>
          <t>JP Horgan</t>
        </is>
      </c>
      <c r="P85" s="60">
        <f>BSDelta(B85, J85, K85, C85, (I85-$B$1)/365, G85, H85, D85)</f>
        <v/>
      </c>
      <c r="Q85" s="60">
        <f>BSGamma(B85, J85, K85, C85, (I85-$B$1)/365, G85, D85)</f>
        <v/>
      </c>
      <c r="R85" s="58">
        <f>BSVega(B85, J85, K85, C85, (I85-$B$1)/365,G85, D85)</f>
        <v/>
      </c>
      <c r="S85" s="58">
        <f>BSVolga(B85, J85, K85, C85, (I85-$B$1)/365,G85, D85)</f>
        <v/>
      </c>
      <c r="T85" s="58">
        <f>BSVanna(B85,J85,K85, C85, (I85-$B$1)/365, G85, D85)</f>
        <v/>
      </c>
      <c r="U85" s="2">
        <f>BSRho(B85, J85, K85, C85, (I85-$B$1)/365, G85, H85, D85)</f>
        <v/>
      </c>
      <c r="V85" s="65">
        <f>$F85*$P85</f>
        <v/>
      </c>
      <c r="W85" s="65">
        <f>$F85*$Q85</f>
        <v/>
      </c>
      <c r="X85" s="78">
        <f>$F85*R85</f>
        <v/>
      </c>
      <c r="Y85" s="78">
        <f>$F85*S85</f>
        <v/>
      </c>
      <c r="Z85" s="78">
        <f>$F85*T85</f>
        <v/>
      </c>
      <c r="AA85" s="78">
        <f>$F85*U85</f>
        <v/>
      </c>
      <c r="AB85" s="78">
        <f>(BSPrice($B85*0.8,$J85, $K85, $C85, ($I85-$B$1)/365, $G85, $H85, $D85) - BSPrice($B85,$J85, $K85, $C85, ($I85-$B$1)/365, $G85, $H85, $D85)) * $F85</f>
        <v/>
      </c>
      <c r="AC85" s="78">
        <f>(BSPrice($B85*0.9,$J85, $K85, $C85, ($I85-$B$1)/365, $G85, $H85, $D85) - BSPrice($B85,$J85, $K85, $C85, ($I85-$B$1)/365, $G85, $H85, $D85)) * $F85</f>
        <v/>
      </c>
      <c r="AD85" s="78">
        <f>(BSPrice($B85*0.95,$J85, $K85, $C85, ($I85-$B$1)/365, $G85, $H85, $D85) - BSPrice($B85,$J85, $K85, $C85, ($I85-$B$1)/365, $G85, $H85, $D85)) * $F85</f>
        <v/>
      </c>
      <c r="AE85" s="78">
        <f>(BSPrice($B85*0.98,$J85, $K85, $C85, ($I85-$B$1)/365, $G85, $H85, $D85) - BSPrice($B85,$J85, $K85, $C85, ($I85-$B$1)/365, $G85, $H85, $D85)) * $F85</f>
        <v/>
      </c>
      <c r="AF85" s="78">
        <f>(BSPrice($B85*1.02,$J85, $K85, $C85, ($I85-$B$1)/365, $G85, $H85, $D85) - BSPrice($B85,$J85, $K85, $C85, ($I85-$B$1)/365, $G85, $H85, $D85)) * $F85</f>
        <v/>
      </c>
      <c r="AG85" s="78">
        <f>(BSPrice($B85*1.05,$J85, $K85, $C85, ($I85-$B$1)/365, $G85, $H85, $D85) - BSPrice($B85,$J85, $K85, $C85, ($I85-$B$1)/365, $G85, $H85, $D85)) * $F85</f>
        <v/>
      </c>
      <c r="AH85" s="78">
        <f>(BSPrice($B85*1.1,$J85, $K85, $C85, ($I85-$B$1)/365, $G85, $H85, $D85) - BSPrice($B85,$J85, $K85, $C85, ($I85-$B$1)/365, $G85, $H85, $D85)) * $F85</f>
        <v/>
      </c>
      <c r="AI85" s="78">
        <f>(BSPrice($B85*1.2,$J85, $K85, $C85, ($I85-$B$1)/365, $G85, $H85, $D85) - BSPrice($B85,$J85, $K85, $C85, ($I85-$B$1)/365, $G85, $H85, $D85)) * $F85</f>
        <v/>
      </c>
      <c r="AJ85" s="78">
        <f>(BSPrice($B85,$J85-0.1, $K85, $C85, ($I85-$B$1)/365, $G85, $H85, $D85) - BSPrice($B85,$J85, $K85, $C85, ($I85-$B$1)/365, $G85, $H85, $D85)) * $F85</f>
        <v/>
      </c>
      <c r="AK85" s="78">
        <f>(BSPrice($B85,$J85-0.05,$K85,$C85,($I85-$B$1)/365,$G85,$H85,$D85)-BSPrice($B85,$J85,$K85,$C85,($I85-$B$1)/365,$G85,$H85,$D85))*$F85</f>
        <v/>
      </c>
      <c r="AL85" s="78">
        <f>(BSPrice($B85,$J85-0.02, $K85, $C85, ($I85-$B$1)/365, $G85, $H85, $D85) - BSPrice($B85,$J85, $K85, $C85, ($I85-$B$1)/365, $G85, $H85, $D85)) * $F85</f>
        <v/>
      </c>
      <c r="AM85" s="78">
        <f>(BSPrice($B85,$J85-0.01, $K85, $C85, ($I85-$B$1)/365, $G85, $H85, $D85) - BSPrice($B85,$J85, $K85, $C85, ($I85-$B$1)/365, $G85, $H85, $D85)) * $F85</f>
        <v/>
      </c>
      <c r="AN85" s="78">
        <f>(BSPrice($B85,$J85+0.01, $K85, $C85, ($I85-$B$1)/365, $G85, $H85, $D85) - BSPrice($B85,$J85, $K85, $C85, ($I85-$B$1)/365, $G85, $H85, $D85)) * $F85</f>
        <v/>
      </c>
      <c r="AO85" s="78">
        <f>(BSPrice($B85,$J85+0.02, $K85, $C85, ($I85-$B$1)/365, $G85, $H85, $D85) - BSPrice($B85,$J85, $K85, $C85, ($I85-$B$1)/365, $G85, $H85, $D85)) * $F85</f>
        <v/>
      </c>
      <c r="AP85" s="78">
        <f>(BSPrice($B85,$J85+0.05, $K85, $C85, ($I85-$B$1)/365, $G85, $H85, $D85) - BSPrice($B85,$J85, $K85, $C85, ($I85-$B$1)/365, $G85, $H85, $D85)) * $F85</f>
        <v/>
      </c>
      <c r="AQ85" s="78">
        <f>(BSPrice($B85,$J85+0.1, $K85, $C85, ($I85-$B$1)/365, $G85, $H85, $D85) - BSPrice($B85,$J85, $K85, $C85, ($I85-$B$1)/365, $G85, $H85, $D85)) * $F85</f>
        <v/>
      </c>
    </row>
    <row r="86">
      <c r="A86" s="3" t="inlineStr">
        <is>
          <t>NKY Index</t>
        </is>
      </c>
      <c r="B86" s="4">
        <f>VLOOKUP(A86,PriceData!$K$4:$L$6,2,FALSE)</f>
        <v/>
      </c>
      <c r="C86" s="46">
        <f>VLOOKUP(A86,PriceData!$K$4:$M$6,3,FALSE)</f>
        <v/>
      </c>
      <c r="D86" s="4" t="inlineStr">
        <is>
          <t>Option</t>
        </is>
      </c>
      <c r="E86" s="4" t="inlineStr">
        <is>
          <t>JPY</t>
        </is>
      </c>
      <c r="F86" s="4" t="n">
        <v>-10</v>
      </c>
      <c r="G86" t="n">
        <v>8819</v>
      </c>
      <c r="H86" s="4" t="inlineStr">
        <is>
          <t>Put</t>
        </is>
      </c>
      <c r="I86" s="5" t="n">
        <v>40438</v>
      </c>
      <c r="J86" s="46">
        <f>FindImpliedVol(A86, D86, G86, I86)</f>
        <v/>
      </c>
      <c r="K86" s="30">
        <f>VLOOKUP(I86,PriceData!$A$5:$D$7,MATCH($E86,PriceData!$A$4:$D$4,0),FALSE)</f>
        <v/>
      </c>
      <c r="L86" s="2">
        <f>BSPrice($B86,$J86, $K86, $C86, ($I86-$B$1)/365, $G86, $H86, $D86)</f>
        <v/>
      </c>
      <c r="M86" s="2">
        <f>F86*L86</f>
        <v/>
      </c>
      <c r="N86" s="4" t="inlineStr">
        <is>
          <t>Exch</t>
        </is>
      </c>
      <c r="P86" s="60">
        <f>BSDelta(B86, J86, K86, C86, (I86-$B$1)/365, G86, H86, D86)</f>
        <v/>
      </c>
      <c r="Q86" s="60">
        <f>BSGamma(B86, J86, K86, C86, (I86-$B$1)/365, G86, D86)</f>
        <v/>
      </c>
      <c r="R86" s="58">
        <f>BSVega(B86, J86, K86, C86, (I86-$B$1)/365,G86, D86)</f>
        <v/>
      </c>
      <c r="S86" s="58">
        <f>BSVolga(B86, J86, K86, C86, (I86-$B$1)/365,G86, D86)</f>
        <v/>
      </c>
      <c r="T86" s="58">
        <f>BSVanna(B86,J86,K86, C86, (I86-$B$1)/365, G86, D86)</f>
        <v/>
      </c>
      <c r="U86" s="2">
        <f>BSRho(B86, J86, K86, C86, (I86-$B$1)/365, G86, H86, D86)</f>
        <v/>
      </c>
      <c r="V86" s="65">
        <f>$F86*$P86</f>
        <v/>
      </c>
      <c r="W86" s="65">
        <f>$F86*$Q86</f>
        <v/>
      </c>
      <c r="X86" s="78">
        <f>$F86*R86</f>
        <v/>
      </c>
      <c r="Y86" s="78">
        <f>$F86*S86</f>
        <v/>
      </c>
      <c r="Z86" s="78">
        <f>$F86*T86</f>
        <v/>
      </c>
      <c r="AA86" s="78">
        <f>$F86*U86</f>
        <v/>
      </c>
      <c r="AB86" s="78">
        <f>(BSPrice($B86*0.8,$J86, $K86, $C86, ($I86-$B$1)/365, $G86, $H86, $D86) - BSPrice($B86,$J86, $K86, $C86, ($I86-$B$1)/365, $G86, $H86, $D86)) * $F86</f>
        <v/>
      </c>
      <c r="AC86" s="78">
        <f>(BSPrice($B86*0.9,$J86, $K86, $C86, ($I86-$B$1)/365, $G86, $H86, $D86) - BSPrice($B86,$J86, $K86, $C86, ($I86-$B$1)/365, $G86, $H86, $D86)) * $F86</f>
        <v/>
      </c>
      <c r="AD86" s="78">
        <f>(BSPrice($B86*0.95,$J86, $K86, $C86, ($I86-$B$1)/365, $G86, $H86, $D86) - BSPrice($B86,$J86, $K86, $C86, ($I86-$B$1)/365, $G86, $H86, $D86)) * $F86</f>
        <v/>
      </c>
      <c r="AE86" s="78">
        <f>(BSPrice($B86*0.98,$J86, $K86, $C86, ($I86-$B$1)/365, $G86, $H86, $D86) - BSPrice($B86,$J86, $K86, $C86, ($I86-$B$1)/365, $G86, $H86, $D86)) * $F86</f>
        <v/>
      </c>
      <c r="AF86" s="78">
        <f>(BSPrice($B86*1.02,$J86, $K86, $C86, ($I86-$B$1)/365, $G86, $H86, $D86) - BSPrice($B86,$J86, $K86, $C86, ($I86-$B$1)/365, $G86, $H86, $D86)) * $F86</f>
        <v/>
      </c>
      <c r="AG86" s="78">
        <f>(BSPrice($B86*1.05,$J86, $K86, $C86, ($I86-$B$1)/365, $G86, $H86, $D86) - BSPrice($B86,$J86, $K86, $C86, ($I86-$B$1)/365, $G86, $H86, $D86)) * $F86</f>
        <v/>
      </c>
      <c r="AH86" s="78">
        <f>(BSPrice($B86*1.1,$J86, $K86, $C86, ($I86-$B$1)/365, $G86, $H86, $D86) - BSPrice($B86,$J86, $K86, $C86, ($I86-$B$1)/365, $G86, $H86, $D86)) * $F86</f>
        <v/>
      </c>
      <c r="AI86" s="78">
        <f>(BSPrice($B86*1.2,$J86, $K86, $C86, ($I86-$B$1)/365, $G86, $H86, $D86) - BSPrice($B86,$J86, $K86, $C86, ($I86-$B$1)/365, $G86, $H86, $D86)) * $F86</f>
        <v/>
      </c>
      <c r="AJ86" s="78">
        <f>(BSPrice($B86,$J86-0.1, $K86, $C86, ($I86-$B$1)/365, $G86, $H86, $D86) - BSPrice($B86,$J86, $K86, $C86, ($I86-$B$1)/365, $G86, $H86, $D86)) * $F86</f>
        <v/>
      </c>
      <c r="AK86" s="78">
        <f>(BSPrice($B86,$J86-0.05,$K86,$C86,($I86-$B$1)/365,$G86,$H86,$D86)-BSPrice($B86,$J86,$K86,$C86,($I86-$B$1)/365,$G86,$H86,$D86))*$F86</f>
        <v/>
      </c>
      <c r="AL86" s="78">
        <f>(BSPrice($B86,$J86-0.02, $K86, $C86, ($I86-$B$1)/365, $G86, $H86, $D86) - BSPrice($B86,$J86, $K86, $C86, ($I86-$B$1)/365, $G86, $H86, $D86)) * $F86</f>
        <v/>
      </c>
      <c r="AM86" s="78">
        <f>(BSPrice($B86,$J86-0.01, $K86, $C86, ($I86-$B$1)/365, $G86, $H86, $D86) - BSPrice($B86,$J86, $K86, $C86, ($I86-$B$1)/365, $G86, $H86, $D86)) * $F86</f>
        <v/>
      </c>
      <c r="AN86" s="78">
        <f>(BSPrice($B86,$J86+0.01, $K86, $C86, ($I86-$B$1)/365, $G86, $H86, $D86) - BSPrice($B86,$J86, $K86, $C86, ($I86-$B$1)/365, $G86, $H86, $D86)) * $F86</f>
        <v/>
      </c>
      <c r="AO86" s="78">
        <f>(BSPrice($B86,$J86+0.02, $K86, $C86, ($I86-$B$1)/365, $G86, $H86, $D86) - BSPrice($B86,$J86, $K86, $C86, ($I86-$B$1)/365, $G86, $H86, $D86)) * $F86</f>
        <v/>
      </c>
      <c r="AP86" s="78">
        <f>(BSPrice($B86,$J86+0.05, $K86, $C86, ($I86-$B$1)/365, $G86, $H86, $D86) - BSPrice($B86,$J86, $K86, $C86, ($I86-$B$1)/365, $G86, $H86, $D86)) * $F86</f>
        <v/>
      </c>
      <c r="AQ86" s="78">
        <f>(BSPrice($B86,$J86+0.1, $K86, $C86, ($I86-$B$1)/365, $G86, $H86, $D86) - BSPrice($B86,$J86, $K86, $C86, ($I86-$B$1)/365, $G86, $H86, $D86)) * $F86</f>
        <v/>
      </c>
    </row>
    <row r="87">
      <c r="A87" s="3" t="inlineStr">
        <is>
          <t>NKY Index</t>
        </is>
      </c>
      <c r="B87" s="4">
        <f>VLOOKUP(A87,PriceData!$K$4:$L$6,2,FALSE)</f>
        <v/>
      </c>
      <c r="C87" s="46">
        <f>VLOOKUP(A87,PriceData!$K$4:$M$6,3,FALSE)</f>
        <v/>
      </c>
      <c r="D87" s="4" t="inlineStr">
        <is>
          <t>Option</t>
        </is>
      </c>
      <c r="E87" s="4" t="inlineStr">
        <is>
          <t>JPY</t>
        </is>
      </c>
      <c r="F87" s="4" t="n">
        <v>-10</v>
      </c>
      <c r="G87" t="n">
        <v>8819</v>
      </c>
      <c r="H87" s="4" t="inlineStr">
        <is>
          <t>Put</t>
        </is>
      </c>
      <c r="I87" s="5" t="n">
        <v>40438</v>
      </c>
      <c r="J87" s="46">
        <f>FindImpliedVol(A87, D87, G87, I87)</f>
        <v/>
      </c>
      <c r="K87" s="30">
        <f>VLOOKUP(I87,PriceData!$A$5:$D$7,MATCH($E87,PriceData!$A$4:$D$4,0),FALSE)</f>
        <v/>
      </c>
      <c r="L87" s="2">
        <f>BSPrice($B87,$J87, $K87, $C87, ($I87-$B$1)/365, $G87, $H87, $D87)</f>
        <v/>
      </c>
      <c r="M87" s="2">
        <f>F87*L87</f>
        <v/>
      </c>
      <c r="N87" s="4" t="inlineStr">
        <is>
          <t>Exch</t>
        </is>
      </c>
      <c r="P87" s="60">
        <f>BSDelta(B87, J87, K87, C87, (I87-$B$1)/365, G87, H87, D87)</f>
        <v/>
      </c>
      <c r="Q87" s="60">
        <f>BSGamma(B87, J87, K87, C87, (I87-$B$1)/365, G87, D87)</f>
        <v/>
      </c>
      <c r="R87" s="58">
        <f>BSVega(B87, J87, K87, C87, (I87-$B$1)/365,G87, D87)</f>
        <v/>
      </c>
      <c r="S87" s="58">
        <f>BSVolga(B87, J87, K87, C87, (I87-$B$1)/365,G87, D87)</f>
        <v/>
      </c>
      <c r="T87" s="58">
        <f>BSVanna(B87,J87,K87, C87, (I87-$B$1)/365, G87, D87)</f>
        <v/>
      </c>
      <c r="U87" s="2">
        <f>BSRho(B87, J87, K87, C87, (I87-$B$1)/365, G87, H87, D87)</f>
        <v/>
      </c>
      <c r="V87" s="65">
        <f>$F87*$P87</f>
        <v/>
      </c>
      <c r="W87" s="65">
        <f>$F87*$Q87</f>
        <v/>
      </c>
      <c r="X87" s="78">
        <f>$F87*R87</f>
        <v/>
      </c>
      <c r="Y87" s="78">
        <f>$F87*S87</f>
        <v/>
      </c>
      <c r="Z87" s="78">
        <f>$F87*T87</f>
        <v/>
      </c>
      <c r="AA87" s="78">
        <f>$F87*U87</f>
        <v/>
      </c>
      <c r="AB87" s="78">
        <f>(BSPrice($B87*0.8,$J87, $K87, $C87, ($I87-$B$1)/365, $G87, $H87, $D87) - BSPrice($B87,$J87, $K87, $C87, ($I87-$B$1)/365, $G87, $H87, $D87)) * $F87</f>
        <v/>
      </c>
      <c r="AC87" s="78">
        <f>(BSPrice($B87*0.9,$J87, $K87, $C87, ($I87-$B$1)/365, $G87, $H87, $D87) - BSPrice($B87,$J87, $K87, $C87, ($I87-$B$1)/365, $G87, $H87, $D87)) * $F87</f>
        <v/>
      </c>
      <c r="AD87" s="78">
        <f>(BSPrice($B87*0.95,$J87, $K87, $C87, ($I87-$B$1)/365, $G87, $H87, $D87) - BSPrice($B87,$J87, $K87, $C87, ($I87-$B$1)/365, $G87, $H87, $D87)) * $F87</f>
        <v/>
      </c>
      <c r="AE87" s="78">
        <f>(BSPrice($B87*0.98,$J87, $K87, $C87, ($I87-$B$1)/365, $G87, $H87, $D87) - BSPrice($B87,$J87, $K87, $C87, ($I87-$B$1)/365, $G87, $H87, $D87)) * $F87</f>
        <v/>
      </c>
      <c r="AF87" s="78">
        <f>(BSPrice($B87*1.02,$J87, $K87, $C87, ($I87-$B$1)/365, $G87, $H87, $D87) - BSPrice($B87,$J87, $K87, $C87, ($I87-$B$1)/365, $G87, $H87, $D87)) * $F87</f>
        <v/>
      </c>
      <c r="AG87" s="78">
        <f>(BSPrice($B87*1.05,$J87, $K87, $C87, ($I87-$B$1)/365, $G87, $H87, $D87) - BSPrice($B87,$J87, $K87, $C87, ($I87-$B$1)/365, $G87, $H87, $D87)) * $F87</f>
        <v/>
      </c>
      <c r="AH87" s="78">
        <f>(BSPrice($B87*1.1,$J87, $K87, $C87, ($I87-$B$1)/365, $G87, $H87, $D87) - BSPrice($B87,$J87, $K87, $C87, ($I87-$B$1)/365, $G87, $H87, $D87)) * $F87</f>
        <v/>
      </c>
      <c r="AI87" s="78">
        <f>(BSPrice($B87*1.2,$J87, $K87, $C87, ($I87-$B$1)/365, $G87, $H87, $D87) - BSPrice($B87,$J87, $K87, $C87, ($I87-$B$1)/365, $G87, $H87, $D87)) * $F87</f>
        <v/>
      </c>
      <c r="AJ87" s="78">
        <f>(BSPrice($B87,$J87-0.1, $K87, $C87, ($I87-$B$1)/365, $G87, $H87, $D87) - BSPrice($B87,$J87, $K87, $C87, ($I87-$B$1)/365, $G87, $H87, $D87)) * $F87</f>
        <v/>
      </c>
      <c r="AK87" s="78">
        <f>(BSPrice($B87,$J87-0.05,$K87,$C87,($I87-$B$1)/365,$G87,$H87,$D87)-BSPrice($B87,$J87,$K87,$C87,($I87-$B$1)/365,$G87,$H87,$D87))*$F87</f>
        <v/>
      </c>
      <c r="AL87" s="78">
        <f>(BSPrice($B87,$J87-0.02, $K87, $C87, ($I87-$B$1)/365, $G87, $H87, $D87) - BSPrice($B87,$J87, $K87, $C87, ($I87-$B$1)/365, $G87, $H87, $D87)) * $F87</f>
        <v/>
      </c>
      <c r="AM87" s="78">
        <f>(BSPrice($B87,$J87-0.01, $K87, $C87, ($I87-$B$1)/365, $G87, $H87, $D87) - BSPrice($B87,$J87, $K87, $C87, ($I87-$B$1)/365, $G87, $H87, $D87)) * $F87</f>
        <v/>
      </c>
      <c r="AN87" s="78">
        <f>(BSPrice($B87,$J87+0.01, $K87, $C87, ($I87-$B$1)/365, $G87, $H87, $D87) - BSPrice($B87,$J87, $K87, $C87, ($I87-$B$1)/365, $G87, $H87, $D87)) * $F87</f>
        <v/>
      </c>
      <c r="AO87" s="78">
        <f>(BSPrice($B87,$J87+0.02, $K87, $C87, ($I87-$B$1)/365, $G87, $H87, $D87) - BSPrice($B87,$J87, $K87, $C87, ($I87-$B$1)/365, $G87, $H87, $D87)) * $F87</f>
        <v/>
      </c>
      <c r="AP87" s="78">
        <f>(BSPrice($B87,$J87+0.05, $K87, $C87, ($I87-$B$1)/365, $G87, $H87, $D87) - BSPrice($B87,$J87, $K87, $C87, ($I87-$B$1)/365, $G87, $H87, $D87)) * $F87</f>
        <v/>
      </c>
      <c r="AQ87" s="78">
        <f>(BSPrice($B87,$J87+0.1, $K87, $C87, ($I87-$B$1)/365, $G87, $H87, $D87) - BSPrice($B87,$J87, $K87, $C87, ($I87-$B$1)/365, $G87, $H87, $D87)) * $F87</f>
        <v/>
      </c>
    </row>
    <row r="88"/>
  </sheetData>
  <mergeCells count="2">
    <mergeCell ref="AJ3:AQ3"/>
    <mergeCell ref="AB3:AI3"/>
  </mergeCells>
  <pageMargins left="0.75" right="0.75" top="1" bottom="1" header="0.5" footer="0.5"/>
  <pageSetup orientation="portrait"/>
</worksheet>
</file>

<file path=xl/worksheets/sheet5.xml><?xml version="1.0" encoding="utf-8"?>
<worksheet xmlns="http://schemas.openxmlformats.org/spreadsheetml/2006/main">
  <sheetPr codeName="Sheet3">
    <outlinePr summaryBelow="1" summaryRight="1"/>
    <pageSetUpPr/>
  </sheetPr>
  <dimension ref="A3:V35"/>
  <sheetViews>
    <sheetView showGridLines="0" workbookViewId="0">
      <selection activeCell="G30" sqref="G30"/>
    </sheetView>
  </sheetViews>
  <sheetFormatPr baseColWidth="8" defaultRowHeight="12.75"/>
  <cols>
    <col width="10" bestFit="1" customWidth="1" min="1" max="1"/>
    <col width="9.265625" bestFit="1" customWidth="1" min="2" max="2"/>
    <col width="11.3984375" customWidth="1" min="8" max="8"/>
    <col width="11.3984375" bestFit="1" customWidth="1" min="11" max="11"/>
    <col width="12.3984375" bestFit="1" customWidth="1" min="14" max="14"/>
  </cols>
  <sheetData>
    <row r="2" ht="13.15" customHeight="1" thickBot="1"/>
    <row r="3" ht="13.5" customHeight="1" thickBot="1">
      <c r="B3" s="105" t="inlineStr">
        <is>
          <t>Risk-Free Curves</t>
        </is>
      </c>
      <c r="C3" s="103" t="n"/>
      <c r="D3" s="104" t="n"/>
      <c r="F3" s="6" t="n"/>
      <c r="G3" s="105" t="inlineStr">
        <is>
          <t>Exchange Rates</t>
        </is>
      </c>
      <c r="H3" s="104" t="n"/>
      <c r="K3" s="31" t="n"/>
      <c r="L3" s="32" t="inlineStr">
        <is>
          <t>Price</t>
        </is>
      </c>
      <c r="M3" s="33" t="inlineStr">
        <is>
          <t>Div Yield</t>
        </is>
      </c>
    </row>
    <row r="4" ht="13.5" customHeight="1" thickBot="1">
      <c r="A4" s="18" t="inlineStr">
        <is>
          <t>Maturity</t>
        </is>
      </c>
      <c r="B4" s="24" t="inlineStr">
        <is>
          <t>USD</t>
        </is>
      </c>
      <c r="C4" s="24" t="inlineStr">
        <is>
          <t>EUR</t>
        </is>
      </c>
      <c r="D4" s="25" t="inlineStr">
        <is>
          <t>JPY</t>
        </is>
      </c>
      <c r="F4" s="6" t="n"/>
      <c r="G4" s="26" t="inlineStr">
        <is>
          <t>USD/EUR</t>
        </is>
      </c>
      <c r="H4" s="19" t="n">
        <v>1.55</v>
      </c>
      <c r="K4" s="34" t="inlineStr">
        <is>
          <t>SPX Index</t>
        </is>
      </c>
      <c r="L4" s="1" t="n">
        <v>1100</v>
      </c>
      <c r="M4" s="15" t="n">
        <v>0.02</v>
      </c>
    </row>
    <row r="5" ht="13.5" customHeight="1" thickBot="1">
      <c r="A5" s="9" t="n">
        <v>40256</v>
      </c>
      <c r="B5" s="12" t="n">
        <v>0.011</v>
      </c>
      <c r="C5" s="12" t="n">
        <v>0.022</v>
      </c>
      <c r="D5" s="13" t="n">
        <v>0.005</v>
      </c>
      <c r="F5" s="6" t="n"/>
      <c r="G5" s="27" t="inlineStr">
        <is>
          <t>USD/JPY</t>
        </is>
      </c>
      <c r="H5" s="51">
        <f>1/110</f>
        <v/>
      </c>
      <c r="K5" s="34" t="inlineStr">
        <is>
          <t>SX5E Index</t>
        </is>
      </c>
      <c r="L5" s="1" t="n">
        <v>2905</v>
      </c>
      <c r="M5" s="15" t="n">
        <v>0.022</v>
      </c>
    </row>
    <row r="6" ht="13.5" customHeight="1" thickBot="1">
      <c r="A6" s="10" t="n">
        <v>40347</v>
      </c>
      <c r="B6" s="14" t="n">
        <v>0.015</v>
      </c>
      <c r="C6" s="14" t="n">
        <v>0.023</v>
      </c>
      <c r="D6" s="15" t="n">
        <v>0.005</v>
      </c>
      <c r="F6" s="6" t="n"/>
      <c r="K6" s="35" t="inlineStr">
        <is>
          <t>NKY Index</t>
        </is>
      </c>
      <c r="L6" s="20" t="n">
        <v>10022</v>
      </c>
      <c r="M6" s="17" t="n">
        <v>0.005</v>
      </c>
    </row>
    <row r="7" ht="13.15" customHeight="1" thickBot="1">
      <c r="A7" s="11" t="n">
        <v>40438</v>
      </c>
      <c r="B7" s="16" t="n">
        <v>0.0175</v>
      </c>
      <c r="C7" s="16" t="n">
        <v>0.025</v>
      </c>
      <c r="D7" s="17" t="n">
        <v>0.0075</v>
      </c>
      <c r="F7" s="6" t="n"/>
    </row>
    <row r="12" ht="13.15" customHeight="1" thickBot="1"/>
    <row r="13" ht="13.5" customHeight="1" thickBot="1">
      <c r="B13" s="105" t="inlineStr">
        <is>
          <t>SPX Implied Volatility Surface</t>
        </is>
      </c>
      <c r="C13" s="103" t="n"/>
      <c r="D13" s="103" t="n"/>
      <c r="E13" s="104" t="n"/>
    </row>
    <row r="14" ht="13.5" customHeight="1" thickBot="1">
      <c r="A14" s="18" t="inlineStr">
        <is>
          <t>Maturity</t>
        </is>
      </c>
      <c r="B14" s="39">
        <f>ROUND((0.7+COUNTA($A$14:A14)*0.03)*$L$4,0)</f>
        <v/>
      </c>
      <c r="C14" s="40">
        <f>ROUND((0.7+COUNTA($A$14:B14)*0.03)*$L$4,0)</f>
        <v/>
      </c>
      <c r="D14" s="40">
        <f>ROUND((0.7+COUNTA($A$14:C14)*0.03)*$L$4,0)</f>
        <v/>
      </c>
      <c r="E14" s="40">
        <f>ROUND((0.7+COUNTA($A$14:D14)*0.03)*$L$4,0)</f>
        <v/>
      </c>
      <c r="F14" s="40">
        <f>ROUND((0.7+COUNTA($A$14:E14)*0.03)*$L$4,0)</f>
        <v/>
      </c>
      <c r="G14" s="40">
        <f>ROUND((0.7+COUNTA($A$14:F14)*0.03)*$L$4,0)</f>
        <v/>
      </c>
      <c r="H14" s="40">
        <f>ROUND((0.7+COUNTA($A$14:G14)*0.03)*$L$4,0)</f>
        <v/>
      </c>
      <c r="I14" s="40">
        <f>ROUND((0.7+COUNTA($A$14:H14)*0.03)*$L$4,0)</f>
        <v/>
      </c>
      <c r="J14" s="40">
        <f>ROUND((0.7+COUNTA($A$14:I14)*0.03)*$L$4,0)</f>
        <v/>
      </c>
      <c r="K14" s="40">
        <f>ROUND((0.7+COUNTA($A$14:J14)*0.03)*$L$4,0)</f>
        <v/>
      </c>
      <c r="L14" s="40">
        <f>ROUND((0.7+COUNTA($A$14:K14)*0.03)*$L$4,0)</f>
        <v/>
      </c>
      <c r="M14" s="40">
        <f>ROUND((0.7+COUNTA($A$14:L14)*0.03)*$L$4,0)</f>
        <v/>
      </c>
      <c r="N14" s="40">
        <f>ROUND((0.7+COUNTA($A$14:M14)*0.03)*$L$4,0)</f>
        <v/>
      </c>
      <c r="O14" s="40">
        <f>ROUND((0.7+COUNTA($A$14:N14)*0.03)*$L$4,0)</f>
        <v/>
      </c>
      <c r="P14" s="40">
        <f>ROUND((0.7+COUNTA($A$14:O14)*0.03)*$L$4,0)</f>
        <v/>
      </c>
      <c r="Q14" s="40">
        <f>ROUND((0.7+COUNTA($A$14:P14)*0.03)*$L$4,0)</f>
        <v/>
      </c>
      <c r="R14" s="40">
        <f>ROUND((0.7+COUNTA($A$14:Q14)*0.03)*$L$4,0)</f>
        <v/>
      </c>
      <c r="S14" s="40">
        <f>ROUND((0.7+COUNTA($A$14:R14)*0.03)*$L$4,0)</f>
        <v/>
      </c>
      <c r="T14" s="40">
        <f>ROUND((0.7+COUNTA($A$14:S14)*0.03)*$L$4,0)</f>
        <v/>
      </c>
      <c r="U14" s="40">
        <f>ROUND((0.7+COUNTA($A$14:T14)*0.03)*$L$4,0)</f>
        <v/>
      </c>
      <c r="V14" s="41">
        <f>ROUND((0.7+COUNTA($A$14:U14)*0.03)*$L$4,0)</f>
        <v/>
      </c>
    </row>
    <row r="15">
      <c r="A15" s="36" t="n">
        <v>40256</v>
      </c>
      <c r="B15" s="42">
        <f>ComputeSVIImpliedVol($L$4, $B5, $M$4, ($A15-OptionsData!$B$1)/365, B$14)</f>
        <v/>
      </c>
      <c r="C15" s="43">
        <f>ComputeSVIImpliedVol($L$4, $B5, $M$4, ($A15-OptionsData!$B$1)/365, C$14)</f>
        <v/>
      </c>
      <c r="D15" s="43">
        <f>ComputeSVIImpliedVol($L$4, $B5, $M$4, ($A15-OptionsData!$B$1)/365, D$14)</f>
        <v/>
      </c>
      <c r="E15" s="43">
        <f>ComputeSVIImpliedVol($L$4, $B5, $M$4, ($A15-OptionsData!$B$1)/365, E$14)</f>
        <v/>
      </c>
      <c r="F15" s="43">
        <f>ComputeSVIImpliedVol($L$4, $B5, $M$4, ($A15-OptionsData!$B$1)/365, F$14)</f>
        <v/>
      </c>
      <c r="G15" s="43">
        <f>ComputeSVIImpliedVol($L$4, $B5, $M$4, ($A15-OptionsData!$B$1)/365, G$14)</f>
        <v/>
      </c>
      <c r="H15" s="43">
        <f>ComputeSVIImpliedVol($L$4, $B5, $M$4, ($A15-OptionsData!$B$1)/365, H$14)</f>
        <v/>
      </c>
      <c r="I15" s="43">
        <f>ComputeSVIImpliedVol($L$4, $B5, $M$4, ($A15-OptionsData!$B$1)/365, I$14)</f>
        <v/>
      </c>
      <c r="J15" s="43">
        <f>ComputeSVIImpliedVol($L$4, $B5, $M$4, ($A15-OptionsData!$B$1)/365, J$14)</f>
        <v/>
      </c>
      <c r="K15" s="43">
        <f>ComputeSVIImpliedVol($L$4, $B5, $M$4, ($A15-OptionsData!$B$1)/365, K$14)</f>
        <v/>
      </c>
      <c r="L15" s="43">
        <f>ComputeSVIImpliedVol($L$4, $B5, $M$4, ($A15-OptionsData!$B$1)/365, L$14)</f>
        <v/>
      </c>
      <c r="M15" s="43">
        <f>ComputeSVIImpliedVol($L$4, $B5, $M$4, ($A15-OptionsData!$B$1)/365, M$14)</f>
        <v/>
      </c>
      <c r="N15" s="43">
        <f>ComputeSVIImpliedVol($L$4, $B5, $M$4, ($A15-OptionsData!$B$1)/365, N$14)</f>
        <v/>
      </c>
      <c r="O15" s="43">
        <f>ComputeSVIImpliedVol($L$4, $B5, $M$4, ($A15-OptionsData!$B$1)/365, O$14)</f>
        <v/>
      </c>
      <c r="P15" s="43">
        <f>ComputeSVIImpliedVol($L$4, $B5, $M$4, ($A15-OptionsData!$B$1)/365, P$14)</f>
        <v/>
      </c>
      <c r="Q15" s="43">
        <f>ComputeSVIImpliedVol($L$4, $B5, $M$4, ($A15-OptionsData!$B$1)/365, Q$14)</f>
        <v/>
      </c>
      <c r="R15" s="43">
        <f>ComputeSVIImpliedVol($L$4, $B5, $M$4, ($A15-OptionsData!$B$1)/365, R$14)</f>
        <v/>
      </c>
      <c r="S15" s="43">
        <f>ComputeSVIImpliedVol($L$4, $B5, $M$4, ($A15-OptionsData!$B$1)/365, S$14)</f>
        <v/>
      </c>
      <c r="T15" s="43">
        <f>ComputeSVIImpliedVol($L$4, $B5, $M$4, ($A15-OptionsData!$B$1)/365, T$14)</f>
        <v/>
      </c>
      <c r="U15" s="43">
        <f>ComputeSVIImpliedVol($L$4, $B5, $M$4, ($A15-OptionsData!$B$1)/365, U$14)</f>
        <v/>
      </c>
      <c r="V15" s="44">
        <f>ComputeSVIImpliedVol($L$4, $B5, $M$4, ($A15-OptionsData!$B$1)/365, V$14)</f>
        <v/>
      </c>
    </row>
    <row r="16">
      <c r="A16" s="37" t="n">
        <v>40347</v>
      </c>
      <c r="B16" s="45">
        <f>ComputeSVIImpliedVol($L$4, $B6, $M$4, ($A16-OptionsData!$B$1)/365, B$14)</f>
        <v/>
      </c>
      <c r="C16" s="46">
        <f>ComputeSVIImpliedVol($L$4, $B6, $M$4, ($A16-OptionsData!$B$1)/365, C$14)</f>
        <v/>
      </c>
      <c r="D16" s="46">
        <f>ComputeSVIImpliedVol($L$4, $B6, $M$4, ($A16-OptionsData!$B$1)/365, D$14)</f>
        <v/>
      </c>
      <c r="E16" s="46">
        <f>ComputeSVIImpliedVol($L$4, $B6, $M$4, ($A16-OptionsData!$B$1)/365, E$14)</f>
        <v/>
      </c>
      <c r="F16" s="46">
        <f>ComputeSVIImpliedVol($L$4, $B6, $M$4, ($A16-OptionsData!$B$1)/365, F$14)</f>
        <v/>
      </c>
      <c r="G16" s="46">
        <f>ComputeSVIImpliedVol($L$4, $B6, $M$4, ($A16-OptionsData!$B$1)/365, G$14)</f>
        <v/>
      </c>
      <c r="H16" s="46">
        <f>ComputeSVIImpliedVol($L$4, $B6, $M$4, ($A16-OptionsData!$B$1)/365, H$14)</f>
        <v/>
      </c>
      <c r="I16" s="46">
        <f>ComputeSVIImpliedVol($L$4, $B6, $M$4, ($A16-OptionsData!$B$1)/365, I$14)</f>
        <v/>
      </c>
      <c r="J16" s="46">
        <f>ComputeSVIImpliedVol($L$4, $B6, $M$4, ($A16-OptionsData!$B$1)/365, J$14)</f>
        <v/>
      </c>
      <c r="K16" s="46">
        <f>ComputeSVIImpliedVol($L$4, $B6, $M$4, ($A16-OptionsData!$B$1)/365, K$14)</f>
        <v/>
      </c>
      <c r="L16" s="46">
        <f>ComputeSVIImpliedVol($L$4, $B6, $M$4, ($A16-OptionsData!$B$1)/365, L$14)</f>
        <v/>
      </c>
      <c r="M16" s="46">
        <f>ComputeSVIImpliedVol($L$4, $B6, $M$4, ($A16-OptionsData!$B$1)/365, M$14)</f>
        <v/>
      </c>
      <c r="N16" s="46">
        <f>ComputeSVIImpliedVol($L$4, $B6, $M$4, ($A16-OptionsData!$B$1)/365, N$14)</f>
        <v/>
      </c>
      <c r="O16" s="46">
        <f>ComputeSVIImpliedVol($L$4, $B6, $M$4, ($A16-OptionsData!$B$1)/365, O$14)</f>
        <v/>
      </c>
      <c r="P16" s="46">
        <f>ComputeSVIImpliedVol($L$4, $B6, $M$4, ($A16-OptionsData!$B$1)/365, P$14)</f>
        <v/>
      </c>
      <c r="Q16" s="46">
        <f>ComputeSVIImpliedVol($L$4, $B6, $M$4, ($A16-OptionsData!$B$1)/365, Q$14)</f>
        <v/>
      </c>
      <c r="R16" s="46">
        <f>ComputeSVIImpliedVol($L$4, $B6, $M$4, ($A16-OptionsData!$B$1)/365, R$14)</f>
        <v/>
      </c>
      <c r="S16" s="46">
        <f>ComputeSVIImpliedVol($L$4, $B6, $M$4, ($A16-OptionsData!$B$1)/365, S$14)</f>
        <v/>
      </c>
      <c r="T16" s="46">
        <f>ComputeSVIImpliedVol($L$4, $B6, $M$4, ($A16-OptionsData!$B$1)/365, T$14)</f>
        <v/>
      </c>
      <c r="U16" s="46">
        <f>ComputeSVIImpliedVol($L$4, $B6, $M$4, ($A16-OptionsData!$B$1)/365, U$14)</f>
        <v/>
      </c>
      <c r="V16" s="47">
        <f>ComputeSVIImpliedVol($L$4, $B6, $M$4, ($A16-OptionsData!$B$1)/365, V$14)</f>
        <v/>
      </c>
    </row>
    <row r="17" ht="13.15" customHeight="1" thickBot="1">
      <c r="A17" s="38" t="n">
        <v>40438</v>
      </c>
      <c r="B17" s="48">
        <f>ComputeSVIImpliedVol($L$4, $B7, $M$4, ($A17-OptionsData!$B$1)/365, B$14)</f>
        <v/>
      </c>
      <c r="C17" s="49">
        <f>ComputeSVIImpliedVol($L$4, $B7, $M$4, ($A17-OptionsData!$B$1)/365, C$14)</f>
        <v/>
      </c>
      <c r="D17" s="49">
        <f>ComputeSVIImpliedVol($L$4, $B7, $M$4, ($A17-OptionsData!$B$1)/365, D$14)</f>
        <v/>
      </c>
      <c r="E17" s="49">
        <f>ComputeSVIImpliedVol($L$4, $B7, $M$4, ($A17-OptionsData!$B$1)/365, E$14)</f>
        <v/>
      </c>
      <c r="F17" s="49">
        <f>ComputeSVIImpliedVol($L$4, $B7, $M$4, ($A17-OptionsData!$B$1)/365, F$14)</f>
        <v/>
      </c>
      <c r="G17" s="49">
        <f>ComputeSVIImpliedVol($L$4, $B7, $M$4, ($A17-OptionsData!$B$1)/365, G$14)</f>
        <v/>
      </c>
      <c r="H17" s="49">
        <f>ComputeSVIImpliedVol($L$4, $B7, $M$4, ($A17-OptionsData!$B$1)/365, H$14)</f>
        <v/>
      </c>
      <c r="I17" s="49">
        <f>ComputeSVIImpliedVol($L$4, $B7, $M$4, ($A17-OptionsData!$B$1)/365, I$14)</f>
        <v/>
      </c>
      <c r="J17" s="49">
        <f>ComputeSVIImpliedVol($L$4, $B7, $M$4, ($A17-OptionsData!$B$1)/365, J$14)</f>
        <v/>
      </c>
      <c r="K17" s="49">
        <f>ComputeSVIImpliedVol($L$4, $B7, $M$4, ($A17-OptionsData!$B$1)/365, K$14)</f>
        <v/>
      </c>
      <c r="L17" s="49">
        <f>ComputeSVIImpliedVol($L$4, $B7, $M$4, ($A17-OptionsData!$B$1)/365, L$14)</f>
        <v/>
      </c>
      <c r="M17" s="49">
        <f>ComputeSVIImpliedVol($L$4, $B7, $M$4, ($A17-OptionsData!$B$1)/365, M$14)</f>
        <v/>
      </c>
      <c r="N17" s="49">
        <f>ComputeSVIImpliedVol($L$4, $B7, $M$4, ($A17-OptionsData!$B$1)/365, N$14)</f>
        <v/>
      </c>
      <c r="O17" s="49">
        <f>ComputeSVIImpliedVol($L$4, $B7, $M$4, ($A17-OptionsData!$B$1)/365, O$14)</f>
        <v/>
      </c>
      <c r="P17" s="49">
        <f>ComputeSVIImpliedVol($L$4, $B7, $M$4, ($A17-OptionsData!$B$1)/365, P$14)</f>
        <v/>
      </c>
      <c r="Q17" s="49">
        <f>ComputeSVIImpliedVol($L$4, $B7, $M$4, ($A17-OptionsData!$B$1)/365, Q$14)</f>
        <v/>
      </c>
      <c r="R17" s="49">
        <f>ComputeSVIImpliedVol($L$4, $B7, $M$4, ($A17-OptionsData!$B$1)/365, R$14)</f>
        <v/>
      </c>
      <c r="S17" s="49">
        <f>ComputeSVIImpliedVol($L$4, $B7, $M$4, ($A17-OptionsData!$B$1)/365, S$14)</f>
        <v/>
      </c>
      <c r="T17" s="49">
        <f>ComputeSVIImpliedVol($L$4, $B7, $M$4, ($A17-OptionsData!$B$1)/365, T$14)</f>
        <v/>
      </c>
      <c r="U17" s="49">
        <f>ComputeSVIImpliedVol($L$4, $B7, $M$4, ($A17-OptionsData!$B$1)/365, U$14)</f>
        <v/>
      </c>
      <c r="V17" s="50">
        <f>ComputeSVIImpliedVol($L$4, $B7, $M$4, ($A17-OptionsData!$B$1)/365, V$14)</f>
        <v/>
      </c>
    </row>
    <row r="21" ht="13.15" customHeight="1" thickBot="1"/>
    <row r="22" ht="13.5" customHeight="1" thickBot="1">
      <c r="B22" s="105" t="inlineStr">
        <is>
          <t>SX5E Implied Volatility Surface</t>
        </is>
      </c>
      <c r="C22" s="103" t="n"/>
      <c r="D22" s="103" t="n"/>
      <c r="E22" s="104" t="n"/>
    </row>
    <row r="23" ht="13.5" customHeight="1" thickBot="1">
      <c r="A23" s="18" t="inlineStr">
        <is>
          <t>Maturity</t>
        </is>
      </c>
      <c r="B23" s="39">
        <f>ROUND((0.7+COUNTA($A$23:A23)*0.03)*$L$5,0)</f>
        <v/>
      </c>
      <c r="C23" s="40">
        <f>ROUND((0.7+COUNTA($A$23:B23)*0.03)*$L$5,0)</f>
        <v/>
      </c>
      <c r="D23" s="40">
        <f>ROUND((0.7+COUNTA($A$23:C23)*0.03)*$L$5,0)</f>
        <v/>
      </c>
      <c r="E23" s="40">
        <f>ROUND((0.7+COUNTA($A$23:D23)*0.03)*$L$5,0)</f>
        <v/>
      </c>
      <c r="F23" s="40">
        <f>ROUND((0.7+COUNTA($A$23:E23)*0.03)*$L$5,0)</f>
        <v/>
      </c>
      <c r="G23" s="40">
        <f>ROUND((0.7+COUNTA($A$23:F23)*0.03)*$L$5,0)</f>
        <v/>
      </c>
      <c r="H23" s="40">
        <f>ROUND((0.7+COUNTA($A$23:G23)*0.03)*$L$5,0)</f>
        <v/>
      </c>
      <c r="I23" s="40">
        <f>ROUND((0.7+COUNTA($A$23:H23)*0.03)*$L$5,0)</f>
        <v/>
      </c>
      <c r="J23" s="40">
        <f>ROUND((0.7+COUNTA($A$23:I23)*0.03)*$L$5,0)</f>
        <v/>
      </c>
      <c r="K23" s="40">
        <f>ROUND((0.7+COUNTA($A$23:J23)*0.03)*$L$5,0)</f>
        <v/>
      </c>
      <c r="L23" s="40">
        <f>ROUND((0.7+COUNTA($A$23:K23)*0.03)*$L$5,0)</f>
        <v/>
      </c>
      <c r="M23" s="40">
        <f>ROUND((0.7+COUNTA($A$23:L23)*0.03)*$L$5,0)</f>
        <v/>
      </c>
      <c r="N23" s="40">
        <f>ROUND((0.7+COUNTA($A$23:M23)*0.03)*$L$5,0)</f>
        <v/>
      </c>
      <c r="O23" s="40">
        <f>ROUND((0.7+COUNTA($A$23:N23)*0.03)*$L$5,0)</f>
        <v/>
      </c>
      <c r="P23" s="40">
        <f>ROUND((0.7+COUNTA($A$23:O23)*0.03)*$L$5,0)</f>
        <v/>
      </c>
      <c r="Q23" s="40">
        <f>ROUND((0.7+COUNTA($A$23:P23)*0.03)*$L$5,0)</f>
        <v/>
      </c>
      <c r="R23" s="40">
        <f>ROUND((0.7+COUNTA($A$23:Q23)*0.03)*$L$5,0)</f>
        <v/>
      </c>
      <c r="S23" s="40">
        <f>ROUND((0.7+COUNTA($A$23:R23)*0.03)*$L$5,0)</f>
        <v/>
      </c>
      <c r="T23" s="40">
        <f>ROUND((0.7+COUNTA($A$23:S23)*0.03)*$L$5,0)</f>
        <v/>
      </c>
      <c r="U23" s="40">
        <f>ROUND((0.7+COUNTA($A$23:T23)*0.03)*$L$5,0)</f>
        <v/>
      </c>
      <c r="V23" s="41">
        <f>ROUND((0.7+COUNTA($A$23:U23)*0.03)*$L$5,0)</f>
        <v/>
      </c>
    </row>
    <row r="24">
      <c r="A24" s="36" t="n">
        <v>40256</v>
      </c>
      <c r="B24" s="42">
        <f>ComputeSVIImpliedVol($L$5, $C5, $M$5, ($A24-OptionsData!$B$1)/365, B$23)</f>
        <v/>
      </c>
      <c r="C24" s="43">
        <f>ComputeSVIImpliedVol($L$5, $C5, $M$5, ($A24-OptionsData!$B$1)/365, C$23)</f>
        <v/>
      </c>
      <c r="D24" s="43">
        <f>ComputeSVIImpliedVol($L$5, $C5, $M$5, ($A24-OptionsData!$B$1)/365, D$23)</f>
        <v/>
      </c>
      <c r="E24" s="43">
        <f>ComputeSVIImpliedVol($L$5, $C5, $M$5, ($A24-OptionsData!$B$1)/365, E$23)</f>
        <v/>
      </c>
      <c r="F24" s="43">
        <f>ComputeSVIImpliedVol($L$5, $C5, $M$5, ($A24-OptionsData!$B$1)/365, F$23)</f>
        <v/>
      </c>
      <c r="G24" s="43">
        <f>ComputeSVIImpliedVol($L$5, $C5, $M$5, ($A24-OptionsData!$B$1)/365, G$23)</f>
        <v/>
      </c>
      <c r="H24" s="43">
        <f>ComputeSVIImpliedVol($L$5, $C5, $M$5, ($A24-OptionsData!$B$1)/365, H$23)</f>
        <v/>
      </c>
      <c r="I24" s="43">
        <f>ComputeSVIImpliedVol($L$5, $C5, $M$5, ($A24-OptionsData!$B$1)/365, I$23)</f>
        <v/>
      </c>
      <c r="J24" s="43">
        <f>ComputeSVIImpliedVol($L$5, $C5, $M$5, ($A24-OptionsData!$B$1)/365, J$23)</f>
        <v/>
      </c>
      <c r="K24" s="43">
        <f>ComputeSVIImpliedVol($L$5, $C5, $M$5, ($A24-OptionsData!$B$1)/365, K$23)</f>
        <v/>
      </c>
      <c r="L24" s="43">
        <f>ComputeSVIImpliedVol($L$5, $C5, $M$5, ($A24-OptionsData!$B$1)/365, L$23)</f>
        <v/>
      </c>
      <c r="M24" s="43">
        <f>ComputeSVIImpliedVol($L$5, $C5, $M$5, ($A24-OptionsData!$B$1)/365, M$23)</f>
        <v/>
      </c>
      <c r="N24" s="43">
        <f>ComputeSVIImpliedVol($L$5, $C5, $M$5, ($A24-OptionsData!$B$1)/365, N$23)</f>
        <v/>
      </c>
      <c r="O24" s="43">
        <f>ComputeSVIImpliedVol($L$5, $C5, $M$5, ($A24-OptionsData!$B$1)/365, O$23)</f>
        <v/>
      </c>
      <c r="P24" s="43">
        <f>ComputeSVIImpliedVol($L$5, $C5, $M$5, ($A24-OptionsData!$B$1)/365, P$23)</f>
        <v/>
      </c>
      <c r="Q24" s="43">
        <f>ComputeSVIImpliedVol($L$5, $C5, $M$5, ($A24-OptionsData!$B$1)/365, Q$23)</f>
        <v/>
      </c>
      <c r="R24" s="43">
        <f>ComputeSVIImpliedVol($L$5, $C5, $M$5, ($A24-OptionsData!$B$1)/365, R$23)</f>
        <v/>
      </c>
      <c r="S24" s="43">
        <f>ComputeSVIImpliedVol($L$5, $C5, $M$5, ($A24-OptionsData!$B$1)/365, S$23)</f>
        <v/>
      </c>
      <c r="T24" s="43">
        <f>ComputeSVIImpliedVol($L$5, $C5, $M$5, ($A24-OptionsData!$B$1)/365, T$23)</f>
        <v/>
      </c>
      <c r="U24" s="43">
        <f>ComputeSVIImpliedVol($L$5, $C5, $M$5, ($A24-OptionsData!$B$1)/365, U$23)</f>
        <v/>
      </c>
      <c r="V24" s="44">
        <f>ComputeSVIImpliedVol($L$5, $C5, $M$5, ($A24-OptionsData!$B$1)/365, V$23)</f>
        <v/>
      </c>
    </row>
    <row r="25">
      <c r="A25" s="37" t="n">
        <v>40347</v>
      </c>
      <c r="B25" s="45">
        <f>ComputeSVIImpliedVol($L$5, $C6, $M$5, ($A25-OptionsData!$B$1)/365, B$23)</f>
        <v/>
      </c>
      <c r="C25" s="46">
        <f>ComputeSVIImpliedVol($L$5, $C6, $M$5, ($A25-OptionsData!$B$1)/365, C$23)</f>
        <v/>
      </c>
      <c r="D25" s="46">
        <f>ComputeSVIImpliedVol($L$5, $C6, $M$5, ($A25-OptionsData!$B$1)/365, D$23)</f>
        <v/>
      </c>
      <c r="E25" s="46">
        <f>ComputeSVIImpliedVol($L$5, $C6, $M$5, ($A25-OptionsData!$B$1)/365, E$23)</f>
        <v/>
      </c>
      <c r="F25" s="46">
        <f>ComputeSVIImpliedVol($L$5, $C6, $M$5, ($A25-OptionsData!$B$1)/365, F$23)</f>
        <v/>
      </c>
      <c r="G25" s="46">
        <f>ComputeSVIImpliedVol($L$5, $C6, $M$5, ($A25-OptionsData!$B$1)/365, G$23)</f>
        <v/>
      </c>
      <c r="H25" s="46">
        <f>ComputeSVIImpliedVol($L$5, $C6, $M$5, ($A25-OptionsData!$B$1)/365, H$23)</f>
        <v/>
      </c>
      <c r="I25" s="46">
        <f>ComputeSVIImpliedVol($L$5, $C6, $M$5, ($A25-OptionsData!$B$1)/365, I$23)</f>
        <v/>
      </c>
      <c r="J25" s="46">
        <f>ComputeSVIImpliedVol($L$5, $C6, $M$5, ($A25-OptionsData!$B$1)/365, J$23)</f>
        <v/>
      </c>
      <c r="K25" s="46">
        <f>ComputeSVIImpliedVol($L$5, $C6, $M$5, ($A25-OptionsData!$B$1)/365, K$23)</f>
        <v/>
      </c>
      <c r="L25" s="46">
        <f>ComputeSVIImpliedVol($L$5, $C6, $M$5, ($A25-OptionsData!$B$1)/365, L$23)</f>
        <v/>
      </c>
      <c r="M25" s="46">
        <f>ComputeSVIImpliedVol($L$5, $C6, $M$5, ($A25-OptionsData!$B$1)/365, M$23)</f>
        <v/>
      </c>
      <c r="N25" s="46">
        <f>ComputeSVIImpliedVol($L$5, $C6, $M$5, ($A25-OptionsData!$B$1)/365, N$23)</f>
        <v/>
      </c>
      <c r="O25" s="46">
        <f>ComputeSVIImpliedVol($L$5, $C6, $M$5, ($A25-OptionsData!$B$1)/365, O$23)</f>
        <v/>
      </c>
      <c r="P25" s="46">
        <f>ComputeSVIImpliedVol($L$5, $C6, $M$5, ($A25-OptionsData!$B$1)/365, P$23)</f>
        <v/>
      </c>
      <c r="Q25" s="46">
        <f>ComputeSVIImpliedVol($L$5, $C6, $M$5, ($A25-OptionsData!$B$1)/365, Q$23)</f>
        <v/>
      </c>
      <c r="R25" s="46">
        <f>ComputeSVIImpliedVol($L$5, $C6, $M$5, ($A25-OptionsData!$B$1)/365, R$23)</f>
        <v/>
      </c>
      <c r="S25" s="46">
        <f>ComputeSVIImpliedVol($L$5, $C6, $M$5, ($A25-OptionsData!$B$1)/365, S$23)</f>
        <v/>
      </c>
      <c r="T25" s="46">
        <f>ComputeSVIImpliedVol($L$5, $C6, $M$5, ($A25-OptionsData!$B$1)/365, T$23)</f>
        <v/>
      </c>
      <c r="U25" s="46">
        <f>ComputeSVIImpliedVol($L$5, $C6, $M$5, ($A25-OptionsData!$B$1)/365, U$23)</f>
        <v/>
      </c>
      <c r="V25" s="47">
        <f>ComputeSVIImpliedVol($L$5, $C6, $M$5, ($A25-OptionsData!$B$1)/365, V$23)</f>
        <v/>
      </c>
    </row>
    <row r="26" ht="13.15" customHeight="1" thickBot="1">
      <c r="A26" s="38" t="n">
        <v>40438</v>
      </c>
      <c r="B26" s="48">
        <f>ComputeSVIImpliedVol($L$5, $C7, $M$5, ($A26-OptionsData!$B$1)/365, B$23)</f>
        <v/>
      </c>
      <c r="C26" s="49">
        <f>ComputeSVIImpliedVol($L$5, $C7, $M$5, ($A26-OptionsData!$B$1)/365, C$23)</f>
        <v/>
      </c>
      <c r="D26" s="49">
        <f>ComputeSVIImpliedVol($L$5, $C7, $M$5, ($A26-OptionsData!$B$1)/365, D$23)</f>
        <v/>
      </c>
      <c r="E26" s="49">
        <f>ComputeSVIImpliedVol($L$5, $C7, $M$5, ($A26-OptionsData!$B$1)/365, E$23)</f>
        <v/>
      </c>
      <c r="F26" s="49">
        <f>ComputeSVIImpliedVol($L$5, $C7, $M$5, ($A26-OptionsData!$B$1)/365, F$23)</f>
        <v/>
      </c>
      <c r="G26" s="49">
        <f>ComputeSVIImpliedVol($L$5, $C7, $M$5, ($A26-OptionsData!$B$1)/365, G$23)</f>
        <v/>
      </c>
      <c r="H26" s="49">
        <f>ComputeSVIImpliedVol($L$5, $C7, $M$5, ($A26-OptionsData!$B$1)/365, H$23)</f>
        <v/>
      </c>
      <c r="I26" s="49">
        <f>ComputeSVIImpliedVol($L$5, $C7, $M$5, ($A26-OptionsData!$B$1)/365, I$23)</f>
        <v/>
      </c>
      <c r="J26" s="49">
        <f>ComputeSVIImpliedVol($L$5, $C7, $M$5, ($A26-OptionsData!$B$1)/365, J$23)</f>
        <v/>
      </c>
      <c r="K26" s="49">
        <f>ComputeSVIImpliedVol($L$5, $C7, $M$5, ($A26-OptionsData!$B$1)/365, K$23)</f>
        <v/>
      </c>
      <c r="L26" s="49">
        <f>ComputeSVIImpliedVol($L$5, $C7, $M$5, ($A26-OptionsData!$B$1)/365, L$23)</f>
        <v/>
      </c>
      <c r="M26" s="49">
        <f>ComputeSVIImpliedVol($L$5, $C7, $M$5, ($A26-OptionsData!$B$1)/365, M$23)</f>
        <v/>
      </c>
      <c r="N26" s="49">
        <f>ComputeSVIImpliedVol($L$5, $C7, $M$5, ($A26-OptionsData!$B$1)/365, N$23)</f>
        <v/>
      </c>
      <c r="O26" s="49">
        <f>ComputeSVIImpliedVol($L$5, $C7, $M$5, ($A26-OptionsData!$B$1)/365, O$23)</f>
        <v/>
      </c>
      <c r="P26" s="49">
        <f>ComputeSVIImpliedVol($L$5, $C7, $M$5, ($A26-OptionsData!$B$1)/365, P$23)</f>
        <v/>
      </c>
      <c r="Q26" s="49">
        <f>ComputeSVIImpliedVol($L$5, $C7, $M$5, ($A26-OptionsData!$B$1)/365, Q$23)</f>
        <v/>
      </c>
      <c r="R26" s="49">
        <f>ComputeSVIImpliedVol($L$5, $C7, $M$5, ($A26-OptionsData!$B$1)/365, R$23)</f>
        <v/>
      </c>
      <c r="S26" s="49">
        <f>ComputeSVIImpliedVol($L$5, $C7, $M$5, ($A26-OptionsData!$B$1)/365, S$23)</f>
        <v/>
      </c>
      <c r="T26" s="49">
        <f>ComputeSVIImpliedVol($L$5, $C7, $M$5, ($A26-OptionsData!$B$1)/365, T$23)</f>
        <v/>
      </c>
      <c r="U26" s="49">
        <f>ComputeSVIImpliedVol($L$5, $C7, $M$5, ($A26-OptionsData!$B$1)/365, U$23)</f>
        <v/>
      </c>
      <c r="V26" s="50">
        <f>ComputeSVIImpliedVol($L$5, $C7, $M$5, ($A26-OptionsData!$B$1)/365, V$23)</f>
        <v/>
      </c>
    </row>
    <row r="30" ht="13.15" customHeight="1" thickBot="1"/>
    <row r="31" ht="13.5" customHeight="1" thickBot="1">
      <c r="B31" s="105" t="inlineStr">
        <is>
          <t>NKY Implied Volatility Surface</t>
        </is>
      </c>
      <c r="C31" s="103" t="n"/>
      <c r="D31" s="103" t="n"/>
      <c r="E31" s="104" t="n"/>
    </row>
    <row r="32" ht="13.5" customHeight="1" thickBot="1">
      <c r="A32" s="18" t="inlineStr">
        <is>
          <t>Maturity</t>
        </is>
      </c>
      <c r="B32" s="39">
        <f>ROUND((0.7+COUNTA($A$32:A32)*0.03)*$L$6,0)</f>
        <v/>
      </c>
      <c r="C32" s="40">
        <f>ROUND((0.7+COUNTA($A$32:B32)*0.03)*$L$6,0)</f>
        <v/>
      </c>
      <c r="D32" s="40">
        <f>ROUND((0.7+COUNTA($A$32:C32)*0.03)*$L$6,0)</f>
        <v/>
      </c>
      <c r="E32" s="40">
        <f>ROUND((0.7+COUNTA($A$32:D32)*0.03)*$L$6,0)</f>
        <v/>
      </c>
      <c r="F32" s="40">
        <f>ROUND((0.7+COUNTA($A$32:E32)*0.03)*$L$6,0)</f>
        <v/>
      </c>
      <c r="G32" s="40">
        <f>ROUND((0.7+COUNTA($A$32:F32)*0.03)*$L$6,0)</f>
        <v/>
      </c>
      <c r="H32" s="40">
        <f>ROUND((0.7+COUNTA($A$32:G32)*0.03)*$L$6,0)</f>
        <v/>
      </c>
      <c r="I32" s="40">
        <f>ROUND((0.7+COUNTA($A$32:H32)*0.03)*$L$6,0)</f>
        <v/>
      </c>
      <c r="J32" s="40">
        <f>ROUND((0.7+COUNTA($A$32:I32)*0.03)*$L$6,0)</f>
        <v/>
      </c>
      <c r="K32" s="40">
        <f>ROUND((0.7+COUNTA($A$32:J32)*0.03)*$L$6,0)</f>
        <v/>
      </c>
      <c r="L32" s="40">
        <f>ROUND((0.7+COUNTA($A$32:K32)*0.03)*$L$6,0)</f>
        <v/>
      </c>
      <c r="M32" s="40">
        <f>ROUND((0.7+COUNTA($A$32:L32)*0.03)*$L$6,0)</f>
        <v/>
      </c>
      <c r="N32" s="40">
        <f>ROUND((0.7+COUNTA($A$32:M32)*0.03)*$L$6,0)</f>
        <v/>
      </c>
      <c r="O32" s="40">
        <f>ROUND((0.7+COUNTA($A$32:N32)*0.03)*$L$6,0)</f>
        <v/>
      </c>
      <c r="P32" s="40">
        <f>ROUND((0.7+COUNTA($A$32:O32)*0.03)*$L$6,0)</f>
        <v/>
      </c>
      <c r="Q32" s="40">
        <f>ROUND((0.7+COUNTA($A$32:P32)*0.03)*$L$6,0)</f>
        <v/>
      </c>
      <c r="R32" s="40">
        <f>ROUND((0.7+COUNTA($A$32:Q32)*0.03)*$L$6,0)</f>
        <v/>
      </c>
      <c r="S32" s="40">
        <f>ROUND((0.7+COUNTA($A$32:R32)*0.03)*$L$6,0)</f>
        <v/>
      </c>
      <c r="T32" s="40">
        <f>ROUND((0.7+COUNTA($A$32:S32)*0.03)*$L$6,0)</f>
        <v/>
      </c>
      <c r="U32" s="40">
        <f>ROUND((0.7+COUNTA($A$32:T32)*0.03)*$L$6,0)</f>
        <v/>
      </c>
      <c r="V32" s="41">
        <f>ROUND((0.7+COUNTA($A$32:U32)*0.03)*$L$6,0)</f>
        <v/>
      </c>
    </row>
    <row r="33">
      <c r="A33" s="36" t="n">
        <v>40256</v>
      </c>
      <c r="B33" s="42">
        <f>ComputeSVIImpliedVol($L$6, $D5, $M$6, ($A33-OptionsData!$B$1)/365, B$32)</f>
        <v/>
      </c>
      <c r="C33" s="43">
        <f>ComputeSVIImpliedVol($L$6, $D5, $M$6, ($A33-OptionsData!$B$1)/365, C$32)</f>
        <v/>
      </c>
      <c r="D33" s="43">
        <f>ComputeSVIImpliedVol($L$6, $D5, $M$6, ($A33-OptionsData!$B$1)/365, D$32)</f>
        <v/>
      </c>
      <c r="E33" s="43">
        <f>ComputeSVIImpliedVol($L$6, $D5, $M$6, ($A33-OptionsData!$B$1)/365, E$32)</f>
        <v/>
      </c>
      <c r="F33" s="43">
        <f>ComputeSVIImpliedVol($L$6, $D5, $M$6, ($A33-OptionsData!$B$1)/365, F$32)</f>
        <v/>
      </c>
      <c r="G33" s="43">
        <f>ComputeSVIImpliedVol($L$6, $D5, $M$6, ($A33-OptionsData!$B$1)/365, G$32)</f>
        <v/>
      </c>
      <c r="H33" s="43">
        <f>ComputeSVIImpliedVol($L$6, $D5, $M$6, ($A33-OptionsData!$B$1)/365, H$32)</f>
        <v/>
      </c>
      <c r="I33" s="43">
        <f>ComputeSVIImpliedVol($L$6, $D5, $M$6, ($A33-OptionsData!$B$1)/365, I$32)</f>
        <v/>
      </c>
      <c r="J33" s="43">
        <f>ComputeSVIImpliedVol($L$6, $D5, $M$6, ($A33-OptionsData!$B$1)/365, J$32)</f>
        <v/>
      </c>
      <c r="K33" s="43">
        <f>ComputeSVIImpliedVol($L$6, $D5, $M$6, ($A33-OptionsData!$B$1)/365, K$32)</f>
        <v/>
      </c>
      <c r="L33" s="43">
        <f>ComputeSVIImpliedVol($L$6, $D5, $M$6, ($A33-OptionsData!$B$1)/365, L$32)</f>
        <v/>
      </c>
      <c r="M33" s="43">
        <f>ComputeSVIImpliedVol($L$6, $D5, $M$6, ($A33-OptionsData!$B$1)/365, M$32)</f>
        <v/>
      </c>
      <c r="N33" s="43">
        <f>ComputeSVIImpliedVol($L$6, $D5, $M$6, ($A33-OptionsData!$B$1)/365, N$32)</f>
        <v/>
      </c>
      <c r="O33" s="43">
        <f>ComputeSVIImpliedVol($L$6, $D5, $M$6, ($A33-OptionsData!$B$1)/365, O$32)</f>
        <v/>
      </c>
      <c r="P33" s="43">
        <f>ComputeSVIImpliedVol($L$6, $D5, $M$6, ($A33-OptionsData!$B$1)/365, P$32)</f>
        <v/>
      </c>
      <c r="Q33" s="43">
        <f>ComputeSVIImpliedVol($L$6, $D5, $M$6, ($A33-OptionsData!$B$1)/365, Q$32)</f>
        <v/>
      </c>
      <c r="R33" s="43">
        <f>ComputeSVIImpliedVol($L$6, $D5, $M$6, ($A33-OptionsData!$B$1)/365, R$32)</f>
        <v/>
      </c>
      <c r="S33" s="43">
        <f>ComputeSVIImpliedVol($L$6, $D5, $M$6, ($A33-OptionsData!$B$1)/365, S$32)</f>
        <v/>
      </c>
      <c r="T33" s="43">
        <f>ComputeSVIImpliedVol($L$6, $D5, $M$6, ($A33-OptionsData!$B$1)/365, T$32)</f>
        <v/>
      </c>
      <c r="U33" s="43">
        <f>ComputeSVIImpliedVol($L$6, $D5, $M$6, ($A33-OptionsData!$B$1)/365, U$32)</f>
        <v/>
      </c>
      <c r="V33" s="44">
        <f>ComputeSVIImpliedVol($L$6, $D5, $M$6, ($A33-OptionsData!$B$1)/365, V$32)</f>
        <v/>
      </c>
    </row>
    <row r="34">
      <c r="A34" s="37" t="n">
        <v>40347</v>
      </c>
      <c r="B34" s="45">
        <f>ComputeSVIImpliedVol($L$6, $D6, $M$6, ($A34-OptionsData!$B$1)/365, B$32)</f>
        <v/>
      </c>
      <c r="C34" s="46">
        <f>ComputeSVIImpliedVol($L$6, $D6, $M$6, ($A34-OptionsData!$B$1)/365, C$32)</f>
        <v/>
      </c>
      <c r="D34" s="46">
        <f>ComputeSVIImpliedVol($L$6, $D6, $M$6, ($A34-OptionsData!$B$1)/365, D$32)</f>
        <v/>
      </c>
      <c r="E34" s="46">
        <f>ComputeSVIImpliedVol($L$6, $D6, $M$6, ($A34-OptionsData!$B$1)/365, E$32)</f>
        <v/>
      </c>
      <c r="F34" s="46">
        <f>ComputeSVIImpliedVol($L$6, $D6, $M$6, ($A34-OptionsData!$B$1)/365, F$32)</f>
        <v/>
      </c>
      <c r="G34" s="46">
        <f>ComputeSVIImpliedVol($L$6, $D6, $M$6, ($A34-OptionsData!$B$1)/365, G$32)</f>
        <v/>
      </c>
      <c r="H34" s="46">
        <f>ComputeSVIImpliedVol($L$6, $D6, $M$6, ($A34-OptionsData!$B$1)/365, H$32)</f>
        <v/>
      </c>
      <c r="I34" s="46">
        <f>ComputeSVIImpliedVol($L$6, $D6, $M$6, ($A34-OptionsData!$B$1)/365, I$32)</f>
        <v/>
      </c>
      <c r="J34" s="46">
        <f>ComputeSVIImpliedVol($L$6, $D6, $M$6, ($A34-OptionsData!$B$1)/365, J$32)</f>
        <v/>
      </c>
      <c r="K34" s="46">
        <f>ComputeSVIImpliedVol($L$6, $D6, $M$6, ($A34-OptionsData!$B$1)/365, K$32)</f>
        <v/>
      </c>
      <c r="L34" s="46">
        <f>ComputeSVIImpliedVol($L$6, $D6, $M$6, ($A34-OptionsData!$B$1)/365, L$32)</f>
        <v/>
      </c>
      <c r="M34" s="46">
        <f>ComputeSVIImpliedVol($L$6, $D6, $M$6, ($A34-OptionsData!$B$1)/365, M$32)</f>
        <v/>
      </c>
      <c r="N34" s="46">
        <f>ComputeSVIImpliedVol($L$6, $D6, $M$6, ($A34-OptionsData!$B$1)/365, N$32)</f>
        <v/>
      </c>
      <c r="O34" s="46">
        <f>ComputeSVIImpliedVol($L$6, $D6, $M$6, ($A34-OptionsData!$B$1)/365, O$32)</f>
        <v/>
      </c>
      <c r="P34" s="46">
        <f>ComputeSVIImpliedVol($L$6, $D6, $M$6, ($A34-OptionsData!$B$1)/365, P$32)</f>
        <v/>
      </c>
      <c r="Q34" s="46">
        <f>ComputeSVIImpliedVol($L$6, $D6, $M$6, ($A34-OptionsData!$B$1)/365, Q$32)</f>
        <v/>
      </c>
      <c r="R34" s="46">
        <f>ComputeSVIImpliedVol($L$6, $D6, $M$6, ($A34-OptionsData!$B$1)/365, R$32)</f>
        <v/>
      </c>
      <c r="S34" s="46">
        <f>ComputeSVIImpliedVol($L$6, $D6, $M$6, ($A34-OptionsData!$B$1)/365, S$32)</f>
        <v/>
      </c>
      <c r="T34" s="46">
        <f>ComputeSVIImpliedVol($L$6, $D6, $M$6, ($A34-OptionsData!$B$1)/365, T$32)</f>
        <v/>
      </c>
      <c r="U34" s="46">
        <f>ComputeSVIImpliedVol($L$6, $D6, $M$6, ($A34-OptionsData!$B$1)/365, U$32)</f>
        <v/>
      </c>
      <c r="V34" s="47">
        <f>ComputeSVIImpliedVol($L$6, $D6, $M$6, ($A34-OptionsData!$B$1)/365, V$32)</f>
        <v/>
      </c>
    </row>
    <row r="35" ht="13.15" customHeight="1" thickBot="1">
      <c r="A35" s="38" t="n">
        <v>40438</v>
      </c>
      <c r="B35" s="48">
        <f>ComputeSVIImpliedVol($L$6, $D7, $M$6, ($A35-OptionsData!$B$1)/365, B$32)</f>
        <v/>
      </c>
      <c r="C35" s="49">
        <f>ComputeSVIImpliedVol($L$6, $D7, $M$6, ($A35-OptionsData!$B$1)/365, C$32)</f>
        <v/>
      </c>
      <c r="D35" s="49">
        <f>ComputeSVIImpliedVol($L$6, $D7, $M$6, ($A35-OptionsData!$B$1)/365, D$32)</f>
        <v/>
      </c>
      <c r="E35" s="49">
        <f>ComputeSVIImpliedVol($L$6, $D7, $M$6, ($A35-OptionsData!$B$1)/365, E$32)</f>
        <v/>
      </c>
      <c r="F35" s="49">
        <f>ComputeSVIImpliedVol($L$6, $D7, $M$6, ($A35-OptionsData!$B$1)/365, F$32)</f>
        <v/>
      </c>
      <c r="G35" s="49">
        <f>ComputeSVIImpliedVol($L$6, $D7, $M$6, ($A35-OptionsData!$B$1)/365, G$32)</f>
        <v/>
      </c>
      <c r="H35" s="49">
        <f>ComputeSVIImpliedVol($L$6, $D7, $M$6, ($A35-OptionsData!$B$1)/365, H$32)</f>
        <v/>
      </c>
      <c r="I35" s="49">
        <f>ComputeSVIImpliedVol($L$6, $D7, $M$6, ($A35-OptionsData!$B$1)/365, I$32)</f>
        <v/>
      </c>
      <c r="J35" s="49">
        <f>ComputeSVIImpliedVol($L$6, $D7, $M$6, ($A35-OptionsData!$B$1)/365, J$32)</f>
        <v/>
      </c>
      <c r="K35" s="49">
        <f>ComputeSVIImpliedVol($L$6, $D7, $M$6, ($A35-OptionsData!$B$1)/365, K$32)</f>
        <v/>
      </c>
      <c r="L35" s="49">
        <f>ComputeSVIImpliedVol($L$6, $D7, $M$6, ($A35-OptionsData!$B$1)/365, L$32)</f>
        <v/>
      </c>
      <c r="M35" s="49">
        <f>ComputeSVIImpliedVol($L$6, $D7, $M$6, ($A35-OptionsData!$B$1)/365, M$32)</f>
        <v/>
      </c>
      <c r="N35" s="49">
        <f>ComputeSVIImpliedVol($L$6, $D7, $M$6, ($A35-OptionsData!$B$1)/365, N$32)</f>
        <v/>
      </c>
      <c r="O35" s="49">
        <f>ComputeSVIImpliedVol($L$6, $D7, $M$6, ($A35-OptionsData!$B$1)/365, O$32)</f>
        <v/>
      </c>
      <c r="P35" s="49">
        <f>ComputeSVIImpliedVol($L$6, $D7, $M$6, ($A35-OptionsData!$B$1)/365, P$32)</f>
        <v/>
      </c>
      <c r="Q35" s="49">
        <f>ComputeSVIImpliedVol($L$6, $D7, $M$6, ($A35-OptionsData!$B$1)/365, Q$32)</f>
        <v/>
      </c>
      <c r="R35" s="49">
        <f>ComputeSVIImpliedVol($L$6, $D7, $M$6, ($A35-OptionsData!$B$1)/365, R$32)</f>
        <v/>
      </c>
      <c r="S35" s="49">
        <f>ComputeSVIImpliedVol($L$6, $D7, $M$6, ($A35-OptionsData!$B$1)/365, S$32)</f>
        <v/>
      </c>
      <c r="T35" s="49">
        <f>ComputeSVIImpliedVol($L$6, $D7, $M$6, ($A35-OptionsData!$B$1)/365, T$32)</f>
        <v/>
      </c>
      <c r="U35" s="49">
        <f>ComputeSVIImpliedVol($L$6, $D7, $M$6, ($A35-OptionsData!$B$1)/365, U$32)</f>
        <v/>
      </c>
      <c r="V35" s="50">
        <f>ComputeSVIImpliedVol($L$6, $D7, $M$6, ($A35-OptionsData!$B$1)/365, V$32)</f>
        <v/>
      </c>
    </row>
  </sheetData>
  <mergeCells count="5">
    <mergeCell ref="B31:E31"/>
    <mergeCell ref="B3:D3"/>
    <mergeCell ref="B13:E13"/>
    <mergeCell ref="G3:H3"/>
    <mergeCell ref="B22:E22"/>
  </mergeCells>
  <pageMargins left="0.75" right="0.75" top="1" bottom="1" header="0.5" footer="0.5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:creator>mhaugh</dc:creator>
  <dcterms:created xsi:type="dcterms:W3CDTF">2008-03-20T09:52:21Z</dcterms:created>
  <dcterms:modified xsi:type="dcterms:W3CDTF">2025-03-25T17:23:42Z</dcterms:modified>
  <cp:lastModifiedBy>Yoshihiro Shirai</cp:lastModifiedBy>
</cp:coreProperties>
</file>