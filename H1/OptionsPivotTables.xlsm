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e0593d8a70af55a/Desktop/Teaching/CFRM541 QRM/QRM_Git/QRM/H1/"/>
    </mc:Choice>
  </mc:AlternateContent>
  <xr:revisionPtr revIDLastSave="0" documentId="11_7C4423A8F5A858949C19B560C0FDFF7D58A48FFA" xr6:coauthVersionLast="47" xr6:coauthVersionMax="47" xr10:uidLastSave="{00000000-0000-0000-0000-000000000000}"/>
  <bookViews>
    <workbookView xWindow="53400" yWindow="10230" windowWidth="13665" windowHeight="7365" tabRatio="680" activeTab="2" xr2:uid="{00000000-000D-0000-FFFF-FFFF00000000}"/>
  </bookViews>
  <sheets>
    <sheet name="PivotTablesVolShift" sheetId="1" r:id="rId1"/>
    <sheet name="PivotTablesUnderlyingShift" sheetId="2" r:id="rId2"/>
    <sheet name="OptionsData" sheetId="3" r:id="rId3"/>
    <sheet name="PriceData" sheetId="4" r:id="rId4"/>
  </sheets>
  <functionGroups builtInGroupCount="19"/>
  <definedNames>
    <definedName name="HedgeRange">#REF!</definedName>
    <definedName name="NKY_StrikeList">PriceData!$B$32:$V$32</definedName>
    <definedName name="NKY_VolTable">PriceData!$A$33:$V$35</definedName>
    <definedName name="OptionLattice">#REF!</definedName>
    <definedName name="PnL">#REF!</definedName>
    <definedName name="SPX_StrikeList">PriceData!$B$14:$V$14</definedName>
    <definedName name="SPX_VolTable">PriceData!$A$15:$V$17</definedName>
    <definedName name="StockLattice">#REF!</definedName>
    <definedName name="SX5E_StrikeList">PriceData!$B$23:$V$23</definedName>
    <definedName name="SX5E_VolTable">PriceData!$A$24:$V$26</definedName>
  </definedNames>
  <calcPr calcId="191029"/>
  <pivotCaches>
    <pivotCache cacheId="0" r:id="rId5"/>
    <pivotCache cacheId="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4" l="1"/>
  <c r="B23" i="4"/>
  <c r="B14" i="4"/>
  <c r="H5" i="4"/>
  <c r="K87" i="3"/>
  <c r="C87" i="3"/>
  <c r="B87" i="3"/>
  <c r="K86" i="3"/>
  <c r="C86" i="3"/>
  <c r="B86" i="3"/>
  <c r="K85" i="3"/>
  <c r="C85" i="3"/>
  <c r="B85" i="3"/>
  <c r="K84" i="3"/>
  <c r="C84" i="3"/>
  <c r="B84" i="3"/>
  <c r="K83" i="3"/>
  <c r="C83" i="3"/>
  <c r="B83" i="3"/>
  <c r="K82" i="3"/>
  <c r="C82" i="3"/>
  <c r="B82" i="3"/>
  <c r="K81" i="3"/>
  <c r="C81" i="3"/>
  <c r="B81" i="3"/>
  <c r="K80" i="3"/>
  <c r="C80" i="3"/>
  <c r="B80" i="3"/>
  <c r="K79" i="3"/>
  <c r="C79" i="3"/>
  <c r="B79" i="3"/>
  <c r="K78" i="3"/>
  <c r="C78" i="3"/>
  <c r="B78" i="3"/>
  <c r="K77" i="3"/>
  <c r="C77" i="3"/>
  <c r="B77" i="3"/>
  <c r="K76" i="3"/>
  <c r="C76" i="3"/>
  <c r="B76" i="3"/>
  <c r="K75" i="3"/>
  <c r="C75" i="3"/>
  <c r="B75" i="3"/>
  <c r="K74" i="3"/>
  <c r="C74" i="3"/>
  <c r="B74" i="3"/>
  <c r="K73" i="3"/>
  <c r="C73" i="3"/>
  <c r="B73" i="3"/>
  <c r="K72" i="3"/>
  <c r="C72" i="3"/>
  <c r="B72" i="3"/>
  <c r="K71" i="3"/>
  <c r="C71" i="3"/>
  <c r="B71" i="3"/>
  <c r="K70" i="3"/>
  <c r="C70" i="3"/>
  <c r="B70" i="3"/>
  <c r="K69" i="3"/>
  <c r="C69" i="3"/>
  <c r="B69" i="3"/>
  <c r="K68" i="3"/>
  <c r="C68" i="3"/>
  <c r="B68" i="3"/>
  <c r="K67" i="3"/>
  <c r="C67" i="3"/>
  <c r="B67" i="3"/>
  <c r="K66" i="3"/>
  <c r="C66" i="3"/>
  <c r="B66" i="3"/>
  <c r="K65" i="3"/>
  <c r="C65" i="3"/>
  <c r="B65" i="3"/>
  <c r="K64" i="3"/>
  <c r="C64" i="3"/>
  <c r="B64" i="3"/>
  <c r="K63" i="3"/>
  <c r="C63" i="3"/>
  <c r="B63" i="3"/>
  <c r="C62" i="3"/>
  <c r="B62" i="3"/>
  <c r="K61" i="3"/>
  <c r="C61" i="3"/>
  <c r="B61" i="3"/>
  <c r="K60" i="3"/>
  <c r="C60" i="3"/>
  <c r="B60" i="3"/>
  <c r="K59" i="3"/>
  <c r="C59" i="3"/>
  <c r="B59" i="3"/>
  <c r="K58" i="3"/>
  <c r="C58" i="3"/>
  <c r="B58" i="3"/>
  <c r="K57" i="3"/>
  <c r="C57" i="3"/>
  <c r="B57" i="3"/>
  <c r="K56" i="3"/>
  <c r="C56" i="3"/>
  <c r="B56" i="3"/>
  <c r="K55" i="3"/>
  <c r="C55" i="3"/>
  <c r="B55" i="3"/>
  <c r="K54" i="3"/>
  <c r="C54" i="3"/>
  <c r="B54" i="3"/>
  <c r="K53" i="3"/>
  <c r="C53" i="3"/>
  <c r="B53" i="3"/>
  <c r="K52" i="3"/>
  <c r="C52" i="3"/>
  <c r="B52" i="3"/>
  <c r="K51" i="3"/>
  <c r="C51" i="3"/>
  <c r="B51" i="3"/>
  <c r="K50" i="3"/>
  <c r="C50" i="3"/>
  <c r="B50" i="3"/>
  <c r="K49" i="3"/>
  <c r="C49" i="3"/>
  <c r="B49" i="3"/>
  <c r="K48" i="3"/>
  <c r="C48" i="3"/>
  <c r="B48" i="3"/>
  <c r="K47" i="3"/>
  <c r="C47" i="3"/>
  <c r="B47" i="3"/>
  <c r="K46" i="3"/>
  <c r="C46" i="3"/>
  <c r="B46" i="3"/>
  <c r="K45" i="3"/>
  <c r="C45" i="3"/>
  <c r="B45" i="3"/>
  <c r="K44" i="3"/>
  <c r="C44" i="3"/>
  <c r="B44" i="3"/>
  <c r="K43" i="3"/>
  <c r="C43" i="3"/>
  <c r="B43" i="3"/>
  <c r="K42" i="3"/>
  <c r="C42" i="3"/>
  <c r="B42" i="3"/>
  <c r="K41" i="3"/>
  <c r="C41" i="3"/>
  <c r="B41" i="3"/>
  <c r="K40" i="3"/>
  <c r="C40" i="3"/>
  <c r="B40" i="3"/>
  <c r="K39" i="3"/>
  <c r="C39" i="3"/>
  <c r="B39" i="3"/>
  <c r="K38" i="3"/>
  <c r="C38" i="3"/>
  <c r="B38" i="3"/>
  <c r="K37" i="3"/>
  <c r="C37" i="3"/>
  <c r="B37" i="3"/>
  <c r="K36" i="3"/>
  <c r="C36" i="3"/>
  <c r="B36" i="3"/>
  <c r="K35" i="3"/>
  <c r="C35" i="3"/>
  <c r="B35" i="3"/>
  <c r="C34" i="3"/>
  <c r="B34" i="3"/>
  <c r="K33" i="3"/>
  <c r="C33" i="3"/>
  <c r="B33" i="3"/>
  <c r="K32" i="3"/>
  <c r="C32" i="3"/>
  <c r="B32" i="3"/>
  <c r="K31" i="3"/>
  <c r="C31" i="3"/>
  <c r="B31" i="3"/>
  <c r="K30" i="3"/>
  <c r="C30" i="3"/>
  <c r="B30" i="3"/>
  <c r="K29" i="3"/>
  <c r="C29" i="3"/>
  <c r="B29" i="3"/>
  <c r="K28" i="3"/>
  <c r="C28" i="3"/>
  <c r="B28" i="3"/>
  <c r="K27" i="3"/>
  <c r="C27" i="3"/>
  <c r="B27" i="3"/>
  <c r="K26" i="3"/>
  <c r="C26" i="3"/>
  <c r="B26" i="3"/>
  <c r="K25" i="3"/>
  <c r="C25" i="3"/>
  <c r="B25" i="3"/>
  <c r="K24" i="3"/>
  <c r="C24" i="3"/>
  <c r="B24" i="3"/>
  <c r="K23" i="3"/>
  <c r="C23" i="3"/>
  <c r="B23" i="3"/>
  <c r="K22" i="3"/>
  <c r="C22" i="3"/>
  <c r="B22" i="3"/>
  <c r="K21" i="3"/>
  <c r="C21" i="3"/>
  <c r="B21" i="3"/>
  <c r="K20" i="3"/>
  <c r="C20" i="3"/>
  <c r="B20" i="3"/>
  <c r="K19" i="3"/>
  <c r="C19" i="3"/>
  <c r="B19" i="3"/>
  <c r="K18" i="3"/>
  <c r="C18" i="3"/>
  <c r="B18" i="3"/>
  <c r="K17" i="3"/>
  <c r="C17" i="3"/>
  <c r="B17" i="3"/>
  <c r="K16" i="3"/>
  <c r="C16" i="3"/>
  <c r="B16" i="3"/>
  <c r="K15" i="3"/>
  <c r="C15" i="3"/>
  <c r="B15" i="3"/>
  <c r="K14" i="3"/>
  <c r="C14" i="3"/>
  <c r="B14" i="3"/>
  <c r="K13" i="3"/>
  <c r="C13" i="3"/>
  <c r="B13" i="3"/>
  <c r="K12" i="3"/>
  <c r="C12" i="3"/>
  <c r="B12" i="3"/>
  <c r="K11" i="3"/>
  <c r="C11" i="3"/>
  <c r="B11" i="3"/>
  <c r="K10" i="3"/>
  <c r="C10" i="3"/>
  <c r="B10" i="3"/>
  <c r="K9" i="3"/>
  <c r="C9" i="3"/>
  <c r="B9" i="3"/>
  <c r="K8" i="3"/>
  <c r="C8" i="3"/>
  <c r="B8" i="3"/>
  <c r="K7" i="3"/>
  <c r="C7" i="3"/>
  <c r="B7" i="3"/>
  <c r="K6" i="3"/>
  <c r="C6" i="3"/>
  <c r="B6" i="3"/>
  <c r="C5" i="3"/>
  <c r="B5" i="3"/>
  <c r="V35" i="4"/>
  <c r="F35" i="4"/>
  <c r="K34" i="4"/>
  <c r="P33" i="4"/>
  <c r="V26" i="4"/>
  <c r="F26" i="4"/>
  <c r="K25" i="4"/>
  <c r="P24" i="4"/>
  <c r="V17" i="4"/>
  <c r="F17" i="4"/>
  <c r="K16" i="4"/>
  <c r="P15" i="4"/>
  <c r="AF62" i="3"/>
  <c r="L62" i="3"/>
  <c r="J34" i="3"/>
  <c r="U35" i="4"/>
  <c r="E35" i="4"/>
  <c r="J34" i="4"/>
  <c r="O33" i="4"/>
  <c r="U26" i="4"/>
  <c r="E26" i="4"/>
  <c r="J25" i="4"/>
  <c r="O24" i="4"/>
  <c r="U17" i="4"/>
  <c r="E17" i="4"/>
  <c r="J16" i="4"/>
  <c r="O15" i="4"/>
  <c r="AE62" i="3"/>
  <c r="T35" i="4"/>
  <c r="D35" i="4"/>
  <c r="I34" i="4"/>
  <c r="N33" i="4"/>
  <c r="T26" i="4"/>
  <c r="D26" i="4"/>
  <c r="I25" i="4"/>
  <c r="N24" i="4"/>
  <c r="T17" i="4"/>
  <c r="D17" i="4"/>
  <c r="I16" i="4"/>
  <c r="N15" i="4"/>
  <c r="S35" i="4"/>
  <c r="C35" i="4"/>
  <c r="H34" i="4"/>
  <c r="M33" i="4"/>
  <c r="S26" i="4"/>
  <c r="C26" i="4"/>
  <c r="H25" i="4"/>
  <c r="M24" i="4"/>
  <c r="S17" i="4"/>
  <c r="C17" i="4"/>
  <c r="H16" i="4"/>
  <c r="M15" i="4"/>
  <c r="AC62" i="3"/>
  <c r="R35" i="4"/>
  <c r="B35" i="4"/>
  <c r="G34" i="4"/>
  <c r="L33" i="4"/>
  <c r="J67" i="3" s="1"/>
  <c r="R26" i="4"/>
  <c r="B26" i="4"/>
  <c r="G25" i="4"/>
  <c r="L24" i="4"/>
  <c r="R17" i="4"/>
  <c r="B17" i="4"/>
  <c r="G16" i="4"/>
  <c r="L15" i="4"/>
  <c r="Q35" i="4"/>
  <c r="V34" i="4"/>
  <c r="F34" i="4"/>
  <c r="K33" i="4"/>
  <c r="J65" i="3" s="1"/>
  <c r="Q26" i="4"/>
  <c r="V25" i="4"/>
  <c r="F25" i="4"/>
  <c r="K24" i="4"/>
  <c r="Q17" i="4"/>
  <c r="V16" i="4"/>
  <c r="F16" i="4"/>
  <c r="K15" i="4"/>
  <c r="P35" i="4"/>
  <c r="U34" i="4"/>
  <c r="E34" i="4"/>
  <c r="J33" i="4"/>
  <c r="P26" i="4"/>
  <c r="U25" i="4"/>
  <c r="E25" i="4"/>
  <c r="J24" i="4"/>
  <c r="P17" i="4"/>
  <c r="U16" i="4"/>
  <c r="E16" i="4"/>
  <c r="J15" i="4"/>
  <c r="J75" i="3"/>
  <c r="J73" i="3"/>
  <c r="O35" i="4"/>
  <c r="T34" i="4"/>
  <c r="D34" i="4"/>
  <c r="I33" i="4"/>
  <c r="O26" i="4"/>
  <c r="T25" i="4"/>
  <c r="D25" i="4"/>
  <c r="I24" i="4"/>
  <c r="O17" i="4"/>
  <c r="T16" i="4"/>
  <c r="D16" i="4"/>
  <c r="I15" i="4"/>
  <c r="AI73" i="3"/>
  <c r="N35" i="4"/>
  <c r="S34" i="4"/>
  <c r="C34" i="4"/>
  <c r="H33" i="4"/>
  <c r="N26" i="4"/>
  <c r="S25" i="4"/>
  <c r="C25" i="4"/>
  <c r="H24" i="4"/>
  <c r="N17" i="4"/>
  <c r="S16" i="4"/>
  <c r="C16" i="4"/>
  <c r="H15" i="4"/>
  <c r="J84" i="3"/>
  <c r="AG73" i="3"/>
  <c r="U67" i="3"/>
  <c r="AN62" i="3"/>
  <c r="M35" i="4"/>
  <c r="R34" i="4"/>
  <c r="B34" i="4"/>
  <c r="G33" i="4"/>
  <c r="M26" i="4"/>
  <c r="R25" i="4"/>
  <c r="B25" i="4"/>
  <c r="G24" i="4"/>
  <c r="M17" i="4"/>
  <c r="R16" i="4"/>
  <c r="B16" i="4"/>
  <c r="G15" i="4"/>
  <c r="J81" i="3"/>
  <c r="AE73" i="3"/>
  <c r="T67" i="3"/>
  <c r="AM62" i="3"/>
  <c r="U62" i="3"/>
  <c r="J44" i="3"/>
  <c r="U34" i="3"/>
  <c r="L35" i="4"/>
  <c r="Q34" i="4"/>
  <c r="V33" i="4"/>
  <c r="F33" i="4"/>
  <c r="L26" i="4"/>
  <c r="Q25" i="4"/>
  <c r="V24" i="4"/>
  <c r="F24" i="4"/>
  <c r="L17" i="4"/>
  <c r="Q16" i="4"/>
  <c r="V15" i="4"/>
  <c r="F15" i="4"/>
  <c r="AE84" i="3"/>
  <c r="AI81" i="3"/>
  <c r="J72" i="3"/>
  <c r="S67" i="3"/>
  <c r="J66" i="3"/>
  <c r="U65" i="3"/>
  <c r="AL62" i="3"/>
  <c r="T62" i="3"/>
  <c r="K35" i="4"/>
  <c r="P34" i="4"/>
  <c r="U33" i="4"/>
  <c r="E33" i="4"/>
  <c r="K26" i="4"/>
  <c r="P25" i="4"/>
  <c r="J53" i="3" s="1"/>
  <c r="U24" i="4"/>
  <c r="E24" i="4"/>
  <c r="K17" i="4"/>
  <c r="J29" i="3" s="1"/>
  <c r="P16" i="4"/>
  <c r="U15" i="4"/>
  <c r="E15" i="4"/>
  <c r="AG81" i="3"/>
  <c r="AH81" i="3"/>
  <c r="J79" i="3"/>
  <c r="AG72" i="3"/>
  <c r="R67" i="3"/>
  <c r="AE66" i="3"/>
  <c r="T65" i="3"/>
  <c r="AK62" i="3"/>
  <c r="S62" i="3"/>
  <c r="J58" i="3"/>
  <c r="T53" i="3"/>
  <c r="J52" i="3"/>
  <c r="AD44" i="3"/>
  <c r="AB44" i="3"/>
  <c r="J35" i="3"/>
  <c r="S34" i="3"/>
  <c r="AB29" i="3"/>
  <c r="J35" i="4"/>
  <c r="J85" i="3" s="1"/>
  <c r="O34" i="4"/>
  <c r="J77" i="3" s="1"/>
  <c r="T33" i="4"/>
  <c r="D33" i="4"/>
  <c r="J26" i="4"/>
  <c r="O25" i="4"/>
  <c r="T24" i="4"/>
  <c r="D24" i="4"/>
  <c r="J17" i="4"/>
  <c r="O16" i="4"/>
  <c r="T15" i="4"/>
  <c r="D15" i="4"/>
  <c r="S85" i="3"/>
  <c r="J83" i="3"/>
  <c r="AF81" i="3"/>
  <c r="AE79" i="3"/>
  <c r="AF72" i="3"/>
  <c r="AD72" i="3"/>
  <c r="Q67" i="3"/>
  <c r="AD66" i="3"/>
  <c r="AH66" i="3"/>
  <c r="S65" i="3"/>
  <c r="AJ62" i="3"/>
  <c r="R62" i="3"/>
  <c r="AD58" i="3"/>
  <c r="S53" i="3"/>
  <c r="J41" i="3"/>
  <c r="J37" i="3"/>
  <c r="AE35" i="3"/>
  <c r="R34" i="3"/>
  <c r="J19" i="3"/>
  <c r="I35" i="4"/>
  <c r="N34" i="4"/>
  <c r="S33" i="4"/>
  <c r="C33" i="4"/>
  <c r="I26" i="4"/>
  <c r="J60" i="3" s="1"/>
  <c r="N25" i="4"/>
  <c r="J56" i="3" s="1"/>
  <c r="S24" i="4"/>
  <c r="C24" i="4"/>
  <c r="I17" i="4"/>
  <c r="N16" i="4"/>
  <c r="S15" i="4"/>
  <c r="C15" i="4"/>
  <c r="R85" i="3"/>
  <c r="AD81" i="3"/>
  <c r="AD79" i="3"/>
  <c r="AF79" i="3"/>
  <c r="U75" i="3"/>
  <c r="U73" i="3"/>
  <c r="AE72" i="3"/>
  <c r="J68" i="3"/>
  <c r="P67" i="3"/>
  <c r="AC66" i="3"/>
  <c r="R65" i="3"/>
  <c r="AI62" i="3"/>
  <c r="Q62" i="3"/>
  <c r="AE60" i="3"/>
  <c r="AC58" i="3"/>
  <c r="AE56" i="3"/>
  <c r="J55" i="3"/>
  <c r="R53" i="3"/>
  <c r="AB52" i="3"/>
  <c r="AE37" i="3"/>
  <c r="AC35" i="3"/>
  <c r="AD35" i="3"/>
  <c r="Q34" i="3"/>
  <c r="J25" i="3"/>
  <c r="J24" i="3"/>
  <c r="H35" i="4"/>
  <c r="M34" i="4"/>
  <c r="R33" i="4"/>
  <c r="B33" i="4"/>
  <c r="H26" i="4"/>
  <c r="M25" i="4"/>
  <c r="R24" i="4"/>
  <c r="B24" i="4"/>
  <c r="H17" i="4"/>
  <c r="M16" i="4"/>
  <c r="R15" i="4"/>
  <c r="B15" i="4"/>
  <c r="Q85" i="3"/>
  <c r="AG83" i="3"/>
  <c r="AC81" i="3"/>
  <c r="AC79" i="3"/>
  <c r="T75" i="3"/>
  <c r="J74" i="3"/>
  <c r="T73" i="3"/>
  <c r="AC72" i="3"/>
  <c r="AE68" i="3"/>
  <c r="AB66" i="3"/>
  <c r="Q65" i="3"/>
  <c r="AH62" i="3"/>
  <c r="P62" i="3"/>
  <c r="AC60" i="3"/>
  <c r="AB58" i="3"/>
  <c r="AD56" i="3"/>
  <c r="Q53" i="3"/>
  <c r="AI52" i="3"/>
  <c r="G35" i="4"/>
  <c r="AB79" i="3"/>
  <c r="AD62" i="3"/>
  <c r="R56" i="3"/>
  <c r="P53" i="3"/>
  <c r="AB41" i="3"/>
  <c r="T37" i="3"/>
  <c r="U35" i="3"/>
  <c r="AB34" i="3"/>
  <c r="AD25" i="3"/>
  <c r="J15" i="3"/>
  <c r="L34" i="4"/>
  <c r="J78" i="3" s="1"/>
  <c r="J71" i="3"/>
  <c r="J47" i="3"/>
  <c r="J46" i="3"/>
  <c r="U44" i="3"/>
  <c r="S37" i="3"/>
  <c r="T35" i="3"/>
  <c r="AI29" i="3"/>
  <c r="AD29" i="3"/>
  <c r="J27" i="3"/>
  <c r="J11" i="3"/>
  <c r="T15" i="3"/>
  <c r="AI11" i="3"/>
  <c r="Q15" i="3"/>
  <c r="AH11" i="3"/>
  <c r="J9" i="3"/>
  <c r="J5" i="3"/>
  <c r="AI9" i="3"/>
  <c r="L46" i="3"/>
  <c r="S5" i="3"/>
  <c r="Q33" i="4"/>
  <c r="S73" i="3"/>
  <c r="L67" i="3"/>
  <c r="J48" i="3"/>
  <c r="T44" i="3"/>
  <c r="R37" i="3"/>
  <c r="S35" i="3"/>
  <c r="AH29" i="3"/>
  <c r="J13" i="3"/>
  <c r="AE5" i="3"/>
  <c r="AC5" i="3"/>
  <c r="J64" i="3"/>
  <c r="P73" i="3"/>
  <c r="AE65" i="3"/>
  <c r="AH48" i="3"/>
  <c r="AB47" i="3"/>
  <c r="AB46" i="3"/>
  <c r="J45" i="3"/>
  <c r="S44" i="3"/>
  <c r="Q37" i="3"/>
  <c r="R35" i="3"/>
  <c r="AG29" i="3"/>
  <c r="AH27" i="3"/>
  <c r="U24" i="3"/>
  <c r="J18" i="3"/>
  <c r="S15" i="3"/>
  <c r="AG13" i="3"/>
  <c r="L9" i="3"/>
  <c r="AG18" i="3"/>
  <c r="AE9" i="3"/>
  <c r="G26" i="4"/>
  <c r="J61" i="3" s="1"/>
  <c r="J76" i="3"/>
  <c r="AG48" i="3"/>
  <c r="AI46" i="3"/>
  <c r="R44" i="3"/>
  <c r="U41" i="3"/>
  <c r="L37" i="3"/>
  <c r="Q35" i="3"/>
  <c r="T34" i="3"/>
  <c r="AF29" i="3"/>
  <c r="T24" i="3"/>
  <c r="AI18" i="3"/>
  <c r="AH5" i="3"/>
  <c r="J8" i="3"/>
  <c r="L25" i="4"/>
  <c r="AF48" i="3"/>
  <c r="AH47" i="3"/>
  <c r="AH46" i="3"/>
  <c r="Q44" i="3"/>
  <c r="T41" i="3"/>
  <c r="J38" i="3"/>
  <c r="P35" i="3"/>
  <c r="P34" i="3"/>
  <c r="AC29" i="3"/>
  <c r="U25" i="3"/>
  <c r="S24" i="3"/>
  <c r="AI19" i="3"/>
  <c r="AH18" i="3"/>
  <c r="P15" i="3"/>
  <c r="AE13" i="3"/>
  <c r="AC13" i="3"/>
  <c r="Q24" i="4"/>
  <c r="P85" i="3"/>
  <c r="AC68" i="3"/>
  <c r="P65" i="3"/>
  <c r="AB62" i="3"/>
  <c r="J59" i="3"/>
  <c r="U55" i="3"/>
  <c r="J54" i="3"/>
  <c r="AD48" i="3"/>
  <c r="AG47" i="3"/>
  <c r="AG46" i="3"/>
  <c r="AI45" i="3"/>
  <c r="P44" i="3"/>
  <c r="S41" i="3"/>
  <c r="J39" i="3"/>
  <c r="L34" i="3"/>
  <c r="J26" i="3"/>
  <c r="T25" i="3"/>
  <c r="R24" i="3"/>
  <c r="L15" i="3"/>
  <c r="AD5" i="3"/>
  <c r="S75" i="3"/>
  <c r="AB72" i="3"/>
  <c r="T55" i="3"/>
  <c r="AE47" i="3"/>
  <c r="AF46" i="3"/>
  <c r="AE45" i="3"/>
  <c r="L44" i="3"/>
  <c r="R41" i="3"/>
  <c r="AG38" i="3"/>
  <c r="AH26" i="3"/>
  <c r="S25" i="3"/>
  <c r="P24" i="3"/>
  <c r="AF18" i="3"/>
  <c r="AB13" i="3"/>
  <c r="U11" i="3"/>
  <c r="G17" i="4"/>
  <c r="P75" i="3"/>
  <c r="T72" i="3"/>
  <c r="T68" i="3"/>
  <c r="S60" i="3"/>
  <c r="S55" i="3"/>
  <c r="AH52" i="3"/>
  <c r="AD47" i="3"/>
  <c r="AE46" i="3"/>
  <c r="AD45" i="3"/>
  <c r="Q41" i="3"/>
  <c r="J40" i="3"/>
  <c r="AG39" i="3"/>
  <c r="J36" i="3"/>
  <c r="AF34" i="3"/>
  <c r="J33" i="3"/>
  <c r="J32" i="3"/>
  <c r="T29" i="3"/>
  <c r="AG26" i="3"/>
  <c r="R25" i="3"/>
  <c r="L24" i="3"/>
  <c r="U19" i="3"/>
  <c r="AE18" i="3"/>
  <c r="AG62" i="3"/>
  <c r="AG41" i="3"/>
  <c r="S8" i="3"/>
  <c r="L16" i="4"/>
  <c r="S68" i="3"/>
  <c r="J63" i="3"/>
  <c r="R60" i="3"/>
  <c r="J57" i="3"/>
  <c r="AI53" i="3"/>
  <c r="AD52" i="3"/>
  <c r="J50" i="3"/>
  <c r="AC47" i="3"/>
  <c r="AD46" i="3"/>
  <c r="AB45" i="3"/>
  <c r="L41" i="3"/>
  <c r="AH37" i="3"/>
  <c r="S29" i="3"/>
  <c r="AE26" i="3"/>
  <c r="Q25" i="3"/>
  <c r="T19" i="3"/>
  <c r="AD18" i="3"/>
  <c r="T11" i="3"/>
  <c r="AB8" i="3"/>
  <c r="J7" i="3"/>
  <c r="AB5" i="3"/>
  <c r="S18" i="3"/>
  <c r="U53" i="3"/>
  <c r="T45" i="3"/>
  <c r="AB33" i="3"/>
  <c r="J20" i="3"/>
  <c r="Q15" i="4"/>
  <c r="U84" i="3"/>
  <c r="R68" i="3"/>
  <c r="U66" i="3"/>
  <c r="AD61" i="3"/>
  <c r="Q60" i="3"/>
  <c r="AF53" i="3"/>
  <c r="S52" i="3"/>
  <c r="J51" i="3"/>
  <c r="U48" i="3"/>
  <c r="AC46" i="3"/>
  <c r="J43" i="3"/>
  <c r="AF40" i="3"/>
  <c r="AI38" i="3"/>
  <c r="AD37" i="3"/>
  <c r="AC36" i="3"/>
  <c r="AI32" i="3"/>
  <c r="R29" i="3"/>
  <c r="AD26" i="3"/>
  <c r="J23" i="3"/>
  <c r="J22" i="3"/>
  <c r="R20" i="3"/>
  <c r="S19" i="3"/>
  <c r="AC18" i="3"/>
  <c r="J17" i="3"/>
  <c r="AD15" i="3"/>
  <c r="J12" i="3"/>
  <c r="S11" i="3"/>
  <c r="P11" i="3"/>
  <c r="R13" i="3"/>
  <c r="AC34" i="3"/>
  <c r="AD12" i="3"/>
  <c r="U77" i="3"/>
  <c r="R66" i="3"/>
  <c r="AG64" i="3"/>
  <c r="S58" i="3"/>
  <c r="AC53" i="3"/>
  <c r="R52" i="3"/>
  <c r="J49" i="3"/>
  <c r="T48" i="3"/>
  <c r="AI39" i="3"/>
  <c r="AH38" i="3"/>
  <c r="AC37" i="3"/>
  <c r="AH33" i="3"/>
  <c r="J31" i="3"/>
  <c r="J30" i="3"/>
  <c r="Q29" i="3"/>
  <c r="S27" i="3"/>
  <c r="AC26" i="3"/>
  <c r="L25" i="3"/>
  <c r="Q20" i="3"/>
  <c r="R19" i="3"/>
  <c r="J16" i="3"/>
  <c r="J14" i="3"/>
  <c r="U13" i="3"/>
  <c r="AI12" i="3"/>
  <c r="R11" i="3"/>
  <c r="J10" i="3"/>
  <c r="AE7" i="3"/>
  <c r="AI7" i="3"/>
  <c r="AH12" i="3"/>
  <c r="AE10" i="3"/>
  <c r="U8" i="3"/>
  <c r="U5" i="3"/>
  <c r="L19" i="3"/>
  <c r="AF12" i="3"/>
  <c r="AC10" i="3"/>
  <c r="AF54" i="3"/>
  <c r="R47" i="3"/>
  <c r="AB39" i="3"/>
  <c r="AH30" i="3"/>
  <c r="AH23" i="3"/>
  <c r="Q13" i="3"/>
  <c r="R77" i="3"/>
  <c r="AE74" i="3"/>
  <c r="Q66" i="3"/>
  <c r="S64" i="3"/>
  <c r="AQ62" i="3"/>
  <c r="R58" i="3"/>
  <c r="AC56" i="3"/>
  <c r="AB53" i="3"/>
  <c r="Q52" i="3"/>
  <c r="S48" i="3"/>
  <c r="S46" i="3"/>
  <c r="J42" i="3"/>
  <c r="AH39" i="3"/>
  <c r="AD38" i="3"/>
  <c r="AG35" i="3"/>
  <c r="AG34" i="3"/>
  <c r="AF33" i="3"/>
  <c r="P29" i="3"/>
  <c r="R27" i="3"/>
  <c r="AB26" i="3"/>
  <c r="J21" i="3"/>
  <c r="P20" i="3"/>
  <c r="Q19" i="3"/>
  <c r="AE17" i="3"/>
  <c r="T13" i="3"/>
  <c r="AE12" i="3"/>
  <c r="Q11" i="3"/>
  <c r="U9" i="3"/>
  <c r="J6" i="3"/>
  <c r="AD10" i="3"/>
  <c r="AG22" i="3"/>
  <c r="AB15" i="3"/>
  <c r="T8" i="3"/>
  <c r="AE49" i="3"/>
  <c r="U37" i="3"/>
  <c r="J28" i="3"/>
  <c r="R9" i="3"/>
  <c r="AB74" i="3"/>
  <c r="AI71" i="3"/>
  <c r="P66" i="3"/>
  <c r="P64" i="3"/>
  <c r="AP62" i="3"/>
  <c r="U61" i="3"/>
  <c r="Q58" i="3"/>
  <c r="AH54" i="3"/>
  <c r="P52" i="3"/>
  <c r="R48" i="3"/>
  <c r="U47" i="3"/>
  <c r="R46" i="3"/>
  <c r="AH40" i="3"/>
  <c r="AD39" i="3"/>
  <c r="AC38" i="3"/>
  <c r="AB35" i="3"/>
  <c r="AE34" i="3"/>
  <c r="AE33" i="3"/>
  <c r="AI31" i="3"/>
  <c r="AD30" i="3"/>
  <c r="Q28" i="3"/>
  <c r="P27" i="3"/>
  <c r="L20" i="3"/>
  <c r="P19" i="3"/>
  <c r="T18" i="3"/>
  <c r="AD17" i="3"/>
  <c r="S13" i="3"/>
  <c r="AG12" i="3"/>
  <c r="T9" i="3"/>
  <c r="AF6" i="3"/>
  <c r="AC21" i="3"/>
  <c r="AG14" i="3"/>
  <c r="S9" i="3"/>
  <c r="AE32" i="3"/>
  <c r="L11" i="3"/>
  <c r="AB83" i="3"/>
  <c r="T71" i="3"/>
  <c r="AO62" i="3"/>
  <c r="T61" i="3"/>
  <c r="T56" i="3"/>
  <c r="AG54" i="3"/>
  <c r="Q48" i="3"/>
  <c r="T47" i="3"/>
  <c r="P46" i="3"/>
  <c r="U45" i="3"/>
  <c r="AE44" i="3"/>
  <c r="AC40" i="3"/>
  <c r="AC39" i="3"/>
  <c r="AD34" i="3"/>
  <c r="AD33" i="3"/>
  <c r="AF32" i="3"/>
  <c r="AH31" i="3"/>
  <c r="L29" i="3"/>
  <c r="AI23" i="3"/>
  <c r="T5" i="3"/>
  <c r="S56" i="3"/>
  <c r="AH34" i="3"/>
  <c r="AG65" i="3"/>
  <c r="AI65" i="3"/>
  <c r="L65" i="3"/>
  <c r="L75" i="3"/>
  <c r="Q75" i="3"/>
  <c r="R75" i="3"/>
  <c r="L73" i="3"/>
  <c r="Q73" i="3"/>
  <c r="R73" i="3"/>
  <c r="J70" i="3"/>
  <c r="J69" i="3"/>
  <c r="L84" i="3"/>
  <c r="P84" i="3"/>
  <c r="Q84" i="3"/>
  <c r="R84" i="3"/>
  <c r="S84" i="3"/>
  <c r="T84" i="3"/>
  <c r="L81" i="3"/>
  <c r="P81" i="3"/>
  <c r="Q81" i="3"/>
  <c r="R81" i="3"/>
  <c r="S81" i="3"/>
  <c r="T81" i="3"/>
  <c r="U81" i="3"/>
  <c r="AI44" i="3"/>
  <c r="AH72" i="3"/>
  <c r="AI72" i="3"/>
  <c r="L72" i="3"/>
  <c r="P72" i="3"/>
  <c r="Q72" i="3"/>
  <c r="R72" i="3"/>
  <c r="S72" i="3"/>
  <c r="U72" i="3"/>
  <c r="AF66" i="3"/>
  <c r="AG66" i="3"/>
  <c r="L66" i="3"/>
  <c r="AI66" i="3"/>
  <c r="S66" i="3"/>
  <c r="T66" i="3"/>
  <c r="J82" i="3"/>
  <c r="J80" i="3"/>
  <c r="AD53" i="3"/>
  <c r="AE53" i="3"/>
  <c r="L53" i="3"/>
  <c r="AG53" i="3"/>
  <c r="AH53" i="3"/>
  <c r="AE29" i="3"/>
  <c r="U29" i="3"/>
  <c r="AG79" i="3"/>
  <c r="AH79" i="3"/>
  <c r="L79" i="3"/>
  <c r="AI79" i="3"/>
  <c r="P79" i="3"/>
  <c r="Q79" i="3"/>
  <c r="R79" i="3"/>
  <c r="S79" i="3"/>
  <c r="T79" i="3"/>
  <c r="U79" i="3"/>
  <c r="AE58" i="3"/>
  <c r="AG58" i="3"/>
  <c r="L58" i="3"/>
  <c r="AI58" i="3"/>
  <c r="P58" i="3"/>
  <c r="T58" i="3"/>
  <c r="U58" i="3"/>
  <c r="L52" i="3"/>
  <c r="T52" i="3"/>
  <c r="U52" i="3"/>
  <c r="AE52" i="3"/>
  <c r="AG52" i="3"/>
  <c r="AF35" i="3"/>
  <c r="L35" i="3"/>
  <c r="T85" i="3"/>
  <c r="U85" i="3"/>
  <c r="AC85" i="3"/>
  <c r="AE85" i="3"/>
  <c r="AB85" i="3"/>
  <c r="AF85" i="3"/>
  <c r="AG85" i="3"/>
  <c r="AI85" i="3"/>
  <c r="L85" i="3"/>
  <c r="AB77" i="3"/>
  <c r="AC77" i="3"/>
  <c r="AE77" i="3"/>
  <c r="AF77" i="3"/>
  <c r="AG77" i="3"/>
  <c r="L77" i="3"/>
  <c r="AH77" i="3"/>
  <c r="AI77" i="3"/>
  <c r="P77" i="3"/>
  <c r="Q77" i="3"/>
  <c r="S77" i="3"/>
  <c r="T77" i="3"/>
  <c r="L83" i="3"/>
  <c r="P83" i="3"/>
  <c r="Q83" i="3"/>
  <c r="R83" i="3"/>
  <c r="S83" i="3"/>
  <c r="T83" i="3"/>
  <c r="U83" i="3"/>
  <c r="P41" i="3"/>
  <c r="AF37" i="3"/>
  <c r="AG37" i="3"/>
  <c r="P37" i="3"/>
  <c r="AI37" i="3"/>
  <c r="AB37" i="3"/>
  <c r="AH19" i="3"/>
  <c r="AF60" i="3"/>
  <c r="AG60" i="3"/>
  <c r="L60" i="3"/>
  <c r="AH60" i="3"/>
  <c r="AI60" i="3"/>
  <c r="P60" i="3"/>
  <c r="T60" i="3"/>
  <c r="U60" i="3"/>
  <c r="AF56" i="3"/>
  <c r="AG56" i="3"/>
  <c r="L56" i="3"/>
  <c r="AH56" i="3"/>
  <c r="P56" i="3"/>
  <c r="AI56" i="3"/>
  <c r="Q56" i="3"/>
  <c r="U56" i="3"/>
  <c r="AB56" i="3"/>
  <c r="AG68" i="3"/>
  <c r="AH68" i="3"/>
  <c r="L68" i="3"/>
  <c r="AI68" i="3"/>
  <c r="P68" i="3"/>
  <c r="Q68" i="3"/>
  <c r="U68" i="3"/>
  <c r="L55" i="3"/>
  <c r="P55" i="3"/>
  <c r="Q55" i="3"/>
  <c r="R55" i="3"/>
  <c r="AI55" i="3"/>
  <c r="AE25" i="3"/>
  <c r="AI25" i="3"/>
  <c r="P25" i="3"/>
  <c r="Q24" i="3"/>
  <c r="AB24" i="3"/>
  <c r="AF74" i="3"/>
  <c r="AG74" i="3"/>
  <c r="L74" i="3"/>
  <c r="AI74" i="3"/>
  <c r="P74" i="3"/>
  <c r="Q74" i="3"/>
  <c r="R74" i="3"/>
  <c r="S74" i="3"/>
  <c r="T74" i="3"/>
  <c r="U74" i="3"/>
  <c r="AC74" i="3"/>
  <c r="AH74" i="3"/>
  <c r="AD74" i="3"/>
  <c r="J86" i="3"/>
  <c r="J87" i="3"/>
  <c r="U15" i="3"/>
  <c r="R15" i="3"/>
  <c r="AB78" i="3"/>
  <c r="AC78" i="3"/>
  <c r="AD78" i="3"/>
  <c r="AE78" i="3"/>
  <c r="L78" i="3"/>
  <c r="AF78" i="3"/>
  <c r="AG78" i="3"/>
  <c r="P78" i="3"/>
  <c r="AH78" i="3"/>
  <c r="Q78" i="3"/>
  <c r="AI78" i="3"/>
  <c r="R78" i="3"/>
  <c r="S78" i="3"/>
  <c r="T78" i="3"/>
  <c r="U78" i="3"/>
  <c r="Q71" i="3"/>
  <c r="U71" i="3"/>
  <c r="AB71" i="3"/>
  <c r="AC71" i="3"/>
  <c r="AD71" i="3"/>
  <c r="AE71" i="3"/>
  <c r="AF71" i="3"/>
  <c r="L71" i="3"/>
  <c r="AG71" i="3"/>
  <c r="P71" i="3"/>
  <c r="AH71" i="3"/>
  <c r="R71" i="3"/>
  <c r="S71" i="3"/>
  <c r="L47" i="3"/>
  <c r="AI47" i="3"/>
  <c r="P47" i="3"/>
  <c r="Q47" i="3"/>
  <c r="S47" i="3"/>
  <c r="AF47" i="3"/>
  <c r="T46" i="3"/>
  <c r="U46" i="3"/>
  <c r="Q46" i="3"/>
  <c r="L27" i="3"/>
  <c r="T27" i="3"/>
  <c r="U27" i="3"/>
  <c r="Q27" i="3"/>
  <c r="P9" i="3"/>
  <c r="Q9" i="3"/>
  <c r="P5" i="3"/>
  <c r="AR5" i="3"/>
  <c r="AF5" i="3"/>
  <c r="AG5" i="3"/>
  <c r="L5" i="3"/>
  <c r="AI5" i="3"/>
  <c r="Q5" i="3"/>
  <c r="R5" i="3"/>
  <c r="AI48" i="3"/>
  <c r="P48" i="3"/>
  <c r="L48" i="3"/>
  <c r="AB48" i="3"/>
  <c r="AC48" i="3"/>
  <c r="AE48" i="3"/>
  <c r="L13" i="3"/>
  <c r="AI13" i="3"/>
  <c r="AD13" i="3"/>
  <c r="AF13" i="3"/>
  <c r="AH13" i="3"/>
  <c r="P13" i="3"/>
  <c r="T64" i="3"/>
  <c r="U64" i="3"/>
  <c r="AC64" i="3"/>
  <c r="AE64" i="3"/>
  <c r="AD64" i="3"/>
  <c r="AF64" i="3"/>
  <c r="L64" i="3"/>
  <c r="Q64" i="3"/>
  <c r="R64" i="3"/>
  <c r="Q45" i="3"/>
  <c r="S45" i="3"/>
  <c r="AF45" i="3"/>
  <c r="L45" i="3"/>
  <c r="AG45" i="3"/>
  <c r="P45" i="3"/>
  <c r="AH45" i="3"/>
  <c r="R45" i="3"/>
  <c r="AC45" i="3"/>
  <c r="Q18" i="3"/>
  <c r="L18" i="3"/>
  <c r="P18" i="3"/>
  <c r="U18" i="3"/>
  <c r="AB18" i="3"/>
  <c r="R18" i="3"/>
  <c r="AE61" i="3"/>
  <c r="AF61" i="3"/>
  <c r="L61" i="3"/>
  <c r="AG61" i="3"/>
  <c r="P61" i="3"/>
  <c r="AH61" i="3"/>
  <c r="Q61" i="3"/>
  <c r="AI61" i="3"/>
  <c r="R61" i="3"/>
  <c r="S61" i="3"/>
  <c r="AB61" i="3"/>
  <c r="AC61" i="3"/>
  <c r="AG76" i="3"/>
  <c r="P76" i="3"/>
  <c r="Q76" i="3"/>
  <c r="R76" i="3"/>
  <c r="S76" i="3"/>
  <c r="T76" i="3"/>
  <c r="U76" i="3"/>
  <c r="AI76" i="3"/>
  <c r="AE76" i="3"/>
  <c r="L76" i="3"/>
  <c r="L8" i="3"/>
  <c r="Q8" i="3"/>
  <c r="AG8" i="3"/>
  <c r="P8" i="3"/>
  <c r="R8" i="3"/>
  <c r="L38" i="3"/>
  <c r="P38" i="3"/>
  <c r="T38" i="3"/>
  <c r="Q38" i="3"/>
  <c r="S38" i="3"/>
  <c r="U38" i="3"/>
  <c r="AB38" i="3"/>
  <c r="R38" i="3"/>
  <c r="AI59" i="3"/>
  <c r="R59" i="3"/>
  <c r="AB59" i="3"/>
  <c r="AC59" i="3"/>
  <c r="AE59" i="3"/>
  <c r="S59" i="3"/>
  <c r="T59" i="3"/>
  <c r="U59" i="3"/>
  <c r="AG59" i="3"/>
  <c r="L59" i="3"/>
  <c r="AH59" i="3"/>
  <c r="P59" i="3"/>
  <c r="Q59" i="3"/>
  <c r="L54" i="3"/>
  <c r="R54" i="3"/>
  <c r="U54" i="3"/>
  <c r="AC54" i="3"/>
  <c r="AB54" i="3"/>
  <c r="AD54" i="3"/>
  <c r="AE54" i="3"/>
  <c r="P54" i="3"/>
  <c r="AI54" i="3"/>
  <c r="Q54" i="3"/>
  <c r="S54" i="3"/>
  <c r="T54" i="3"/>
  <c r="L39" i="3"/>
  <c r="P39" i="3"/>
  <c r="T39" i="3"/>
  <c r="Q39" i="3"/>
  <c r="R39" i="3"/>
  <c r="S39" i="3"/>
  <c r="U39" i="3"/>
  <c r="L26" i="3"/>
  <c r="P26" i="3"/>
  <c r="S26" i="3"/>
  <c r="T26" i="3"/>
  <c r="Q26" i="3"/>
  <c r="AI26" i="3"/>
  <c r="R26" i="3"/>
  <c r="U26" i="3"/>
  <c r="AF26" i="3"/>
  <c r="AB40" i="3"/>
  <c r="R40" i="3"/>
  <c r="T40" i="3"/>
  <c r="U40" i="3"/>
  <c r="L40" i="3"/>
  <c r="P40" i="3"/>
  <c r="Q40" i="3"/>
  <c r="S40" i="3"/>
  <c r="AG40" i="3"/>
  <c r="L36" i="3"/>
  <c r="P36" i="3"/>
  <c r="Q36" i="3"/>
  <c r="S36" i="3"/>
  <c r="T36" i="3"/>
  <c r="AI36" i="3"/>
  <c r="AE36" i="3"/>
  <c r="U36" i="3"/>
  <c r="R36" i="3"/>
  <c r="L33" i="3"/>
  <c r="P33" i="3"/>
  <c r="Q33" i="3"/>
  <c r="R33" i="3"/>
  <c r="T33" i="3"/>
  <c r="U33" i="3"/>
  <c r="AG33" i="3"/>
  <c r="AC33" i="3"/>
  <c r="S33" i="3"/>
  <c r="R32" i="3"/>
  <c r="T32" i="3"/>
  <c r="U32" i="3"/>
  <c r="AC32" i="3"/>
  <c r="AD32" i="3"/>
  <c r="L32" i="3"/>
  <c r="P32" i="3"/>
  <c r="Q32" i="3"/>
  <c r="S32" i="3"/>
  <c r="AG32" i="3"/>
  <c r="AB63" i="3"/>
  <c r="AE63" i="3"/>
  <c r="AH63" i="3"/>
  <c r="P63" i="3"/>
  <c r="AI63" i="3"/>
  <c r="Q63" i="3"/>
  <c r="R63" i="3"/>
  <c r="S63" i="3"/>
  <c r="T63" i="3"/>
  <c r="U63" i="3"/>
  <c r="AC63" i="3"/>
  <c r="AD63" i="3"/>
  <c r="AF63" i="3"/>
  <c r="L63" i="3"/>
  <c r="AG63" i="3"/>
  <c r="Q57" i="3"/>
  <c r="T57" i="3"/>
  <c r="AC57" i="3"/>
  <c r="AD57" i="3"/>
  <c r="AE57" i="3"/>
  <c r="AI57" i="3"/>
  <c r="U57" i="3"/>
  <c r="AH57" i="3"/>
  <c r="AB57" i="3"/>
  <c r="L57" i="3"/>
  <c r="AF57" i="3"/>
  <c r="P57" i="3"/>
  <c r="AG57" i="3"/>
  <c r="R57" i="3"/>
  <c r="S57" i="3"/>
  <c r="L50" i="3"/>
  <c r="Q50" i="3"/>
  <c r="R50" i="3"/>
  <c r="S50" i="3"/>
  <c r="T50" i="3"/>
  <c r="U50" i="3"/>
  <c r="P50" i="3"/>
  <c r="L7" i="3"/>
  <c r="P7" i="3"/>
  <c r="Q7" i="3"/>
  <c r="S7" i="3"/>
  <c r="T7" i="3"/>
  <c r="R7" i="3"/>
  <c r="U7" i="3"/>
  <c r="T20" i="3"/>
  <c r="U20" i="3"/>
  <c r="AD20" i="3"/>
  <c r="AF20" i="3"/>
  <c r="AH20" i="3"/>
  <c r="AI20" i="3"/>
  <c r="AE20" i="3"/>
  <c r="AC20" i="3"/>
  <c r="AG20" i="3"/>
  <c r="S20" i="3"/>
  <c r="Q51" i="3"/>
  <c r="S51" i="3"/>
  <c r="T51" i="3"/>
  <c r="U51" i="3"/>
  <c r="L51" i="3"/>
  <c r="P51" i="3"/>
  <c r="R51" i="3"/>
  <c r="AH51" i="3"/>
  <c r="L43" i="3"/>
  <c r="P43" i="3"/>
  <c r="Q43" i="3"/>
  <c r="U43" i="3"/>
  <c r="R43" i="3"/>
  <c r="S43" i="3"/>
  <c r="T43" i="3"/>
  <c r="L23" i="3"/>
  <c r="Q23" i="3"/>
  <c r="R23" i="3"/>
  <c r="U23" i="3"/>
  <c r="AB23" i="3"/>
  <c r="AD23" i="3"/>
  <c r="S23" i="3"/>
  <c r="T23" i="3"/>
  <c r="P23" i="3"/>
  <c r="L22" i="3"/>
  <c r="P22" i="3"/>
  <c r="Q22" i="3"/>
  <c r="R22" i="3"/>
  <c r="S22" i="3"/>
  <c r="U22" i="3"/>
  <c r="AF22" i="3"/>
  <c r="AC22" i="3"/>
  <c r="AD22" i="3"/>
  <c r="AB22" i="3"/>
  <c r="AI22" i="3"/>
  <c r="AE22" i="3"/>
  <c r="T22" i="3"/>
  <c r="L17" i="3"/>
  <c r="P17" i="3"/>
  <c r="T17" i="3"/>
  <c r="U17" i="3"/>
  <c r="S17" i="3"/>
  <c r="Q17" i="3"/>
  <c r="R17" i="3"/>
  <c r="AI17" i="3"/>
  <c r="P12" i="3"/>
  <c r="Q12" i="3"/>
  <c r="S12" i="3"/>
  <c r="L12" i="3"/>
  <c r="R12" i="3"/>
  <c r="U12" i="3"/>
  <c r="T12" i="3"/>
  <c r="AC12" i="3"/>
  <c r="Q49" i="3"/>
  <c r="S49" i="3"/>
  <c r="T49" i="3"/>
  <c r="U49" i="3"/>
  <c r="AB49" i="3"/>
  <c r="AD49" i="3"/>
  <c r="AF49" i="3"/>
  <c r="L49" i="3"/>
  <c r="AG49" i="3"/>
  <c r="P49" i="3"/>
  <c r="AI49" i="3"/>
  <c r="R49" i="3"/>
  <c r="AH49" i="3"/>
  <c r="AC49" i="3"/>
  <c r="L31" i="3"/>
  <c r="P31" i="3"/>
  <c r="Q31" i="3"/>
  <c r="R31" i="3"/>
  <c r="S31" i="3"/>
  <c r="U31" i="3"/>
  <c r="AG31" i="3"/>
  <c r="AB31" i="3"/>
  <c r="AE31" i="3"/>
  <c r="AF31" i="3"/>
  <c r="AC31" i="3"/>
  <c r="AD31" i="3"/>
  <c r="T31" i="3"/>
  <c r="Q30" i="3"/>
  <c r="S30" i="3"/>
  <c r="T30" i="3"/>
  <c r="U30" i="3"/>
  <c r="AB30" i="3"/>
  <c r="AE30" i="3"/>
  <c r="AC30" i="3"/>
  <c r="AG30" i="3"/>
  <c r="L30" i="3"/>
  <c r="AI30" i="3"/>
  <c r="P30" i="3"/>
  <c r="R30" i="3"/>
  <c r="AF30" i="3"/>
  <c r="L16" i="3"/>
  <c r="Q16" i="3"/>
  <c r="T16" i="3"/>
  <c r="P16" i="3"/>
  <c r="S16" i="3"/>
  <c r="AB16" i="3"/>
  <c r="AG16" i="3"/>
  <c r="U16" i="3"/>
  <c r="R16" i="3"/>
  <c r="L14" i="3"/>
  <c r="Q14" i="3"/>
  <c r="P14" i="3"/>
  <c r="R14" i="3"/>
  <c r="S14" i="3"/>
  <c r="T14" i="3"/>
  <c r="U14" i="3"/>
  <c r="AD14" i="3"/>
  <c r="AC14" i="3"/>
  <c r="AI14" i="3"/>
  <c r="AE14" i="3"/>
  <c r="AF14" i="3"/>
  <c r="AB14" i="3"/>
  <c r="AF10" i="3"/>
  <c r="AG10" i="3"/>
  <c r="L10" i="3"/>
  <c r="AH10" i="3"/>
  <c r="Q10" i="3"/>
  <c r="AI10" i="3"/>
  <c r="P10" i="3"/>
  <c r="R10" i="3"/>
  <c r="AB10" i="3"/>
  <c r="S10" i="3"/>
  <c r="T10" i="3"/>
  <c r="U10" i="3"/>
  <c r="L42" i="3"/>
  <c r="P42" i="3"/>
  <c r="Q42" i="3"/>
  <c r="R42" i="3"/>
  <c r="S42" i="3"/>
  <c r="T42" i="3"/>
  <c r="U42" i="3"/>
  <c r="P21" i="3"/>
  <c r="Q21" i="3"/>
  <c r="S21" i="3"/>
  <c r="T21" i="3"/>
  <c r="AH21" i="3"/>
  <c r="U21" i="3"/>
  <c r="AB21" i="3"/>
  <c r="AD21" i="3"/>
  <c r="AE21" i="3"/>
  <c r="AG21" i="3"/>
  <c r="L21" i="3"/>
  <c r="AI21" i="3"/>
  <c r="R21" i="3"/>
  <c r="AF21" i="3"/>
  <c r="AD6" i="3"/>
  <c r="AE6" i="3"/>
  <c r="AI6" i="3"/>
  <c r="AG6" i="3"/>
  <c r="L6" i="3"/>
  <c r="P6" i="3"/>
  <c r="S6" i="3"/>
  <c r="T6" i="3"/>
  <c r="U6" i="3"/>
  <c r="Q6" i="3"/>
  <c r="R6" i="3"/>
  <c r="AB6" i="3"/>
  <c r="AC6" i="3"/>
  <c r="R28" i="3"/>
  <c r="T28" i="3"/>
  <c r="U28" i="3"/>
  <c r="AC28" i="3"/>
  <c r="AD28" i="3"/>
  <c r="AF28" i="3"/>
  <c r="AG28" i="3"/>
  <c r="AH28" i="3"/>
  <c r="AI28" i="3"/>
  <c r="AE28" i="3"/>
  <c r="L28" i="3"/>
  <c r="P28" i="3"/>
  <c r="S28" i="3"/>
  <c r="Q70" i="3"/>
  <c r="AC70" i="3"/>
  <c r="AG70" i="3"/>
  <c r="R70" i="3"/>
  <c r="S70" i="3"/>
  <c r="T70" i="3"/>
  <c r="U70" i="3"/>
  <c r="AB70" i="3"/>
  <c r="AD70" i="3"/>
  <c r="AE70" i="3"/>
  <c r="AF70" i="3"/>
  <c r="L70" i="3"/>
  <c r="AH70" i="3"/>
  <c r="P70" i="3"/>
  <c r="AI70" i="3"/>
  <c r="AE69" i="3"/>
  <c r="AH69" i="3"/>
  <c r="L69" i="3"/>
  <c r="AI69" i="3"/>
  <c r="P69" i="3"/>
  <c r="Q69" i="3"/>
  <c r="R69" i="3"/>
  <c r="S69" i="3"/>
  <c r="T69" i="3"/>
  <c r="U69" i="3"/>
  <c r="AB69" i="3"/>
  <c r="AC69" i="3"/>
  <c r="AF69" i="3"/>
  <c r="AG69" i="3"/>
  <c r="P82" i="3"/>
  <c r="Q82" i="3"/>
  <c r="R82" i="3"/>
  <c r="S82" i="3"/>
  <c r="T82" i="3"/>
  <c r="U82" i="3"/>
  <c r="AB82" i="3"/>
  <c r="AC82" i="3"/>
  <c r="AD82" i="3"/>
  <c r="AH82" i="3"/>
  <c r="AE82" i="3"/>
  <c r="AF82" i="3"/>
  <c r="AG82" i="3"/>
  <c r="AI82" i="3"/>
  <c r="L82" i="3"/>
  <c r="L80" i="3"/>
  <c r="AH80" i="3"/>
  <c r="AI80" i="3"/>
  <c r="P80" i="3"/>
  <c r="Q80" i="3"/>
  <c r="R80" i="3"/>
  <c r="S80" i="3"/>
  <c r="T80" i="3"/>
  <c r="U80" i="3"/>
  <c r="AB80" i="3"/>
  <c r="AD80" i="3"/>
  <c r="AC80" i="3"/>
  <c r="AE80" i="3"/>
  <c r="AF80" i="3"/>
  <c r="AG80" i="3"/>
  <c r="AC86" i="3"/>
  <c r="AD86" i="3"/>
  <c r="AH86" i="3"/>
  <c r="AE86" i="3"/>
  <c r="AG86" i="3"/>
  <c r="AI86" i="3"/>
  <c r="L86" i="3"/>
  <c r="P86" i="3"/>
  <c r="Q86" i="3"/>
  <c r="R86" i="3"/>
  <c r="S86" i="3"/>
  <c r="T86" i="3"/>
  <c r="U86" i="3"/>
  <c r="AB86" i="3"/>
  <c r="Q87" i="3"/>
  <c r="R87" i="3"/>
  <c r="S87" i="3"/>
  <c r="T87" i="3"/>
  <c r="U87" i="3"/>
  <c r="AB87" i="3"/>
  <c r="AC87" i="3"/>
  <c r="AE87" i="3"/>
  <c r="AF87" i="3"/>
  <c r="AG87" i="3"/>
  <c r="AH87" i="3"/>
  <c r="AI87" i="3"/>
  <c r="L87" i="3"/>
  <c r="P87" i="3"/>
  <c r="V87" i="3" l="1"/>
  <c r="M87" i="3"/>
  <c r="AA87" i="3"/>
  <c r="Z87" i="3"/>
  <c r="Y87" i="3"/>
  <c r="X87" i="3"/>
  <c r="W87" i="3"/>
  <c r="AA86" i="3"/>
  <c r="Z86" i="3"/>
  <c r="Y86" i="3"/>
  <c r="X86" i="3"/>
  <c r="W86" i="3"/>
  <c r="V86" i="3"/>
  <c r="M86" i="3"/>
  <c r="AA80" i="3"/>
  <c r="Z80" i="3"/>
  <c r="Y80" i="3"/>
  <c r="X80" i="3"/>
  <c r="W80" i="3"/>
  <c r="V80" i="3"/>
  <c r="M80" i="3"/>
  <c r="M82" i="3"/>
  <c r="AA82" i="3"/>
  <c r="Z82" i="3"/>
  <c r="Y82" i="3"/>
  <c r="X82" i="3"/>
  <c r="W82" i="3"/>
  <c r="V82" i="3"/>
  <c r="AA69" i="3"/>
  <c r="Z69" i="3"/>
  <c r="Y69" i="3"/>
  <c r="X69" i="3"/>
  <c r="W69" i="3"/>
  <c r="V69" i="3"/>
  <c r="M69" i="3"/>
  <c r="V70" i="3"/>
  <c r="M70" i="3"/>
  <c r="AA70" i="3"/>
  <c r="Z70" i="3"/>
  <c r="Y70" i="3"/>
  <c r="X70" i="3"/>
  <c r="W70" i="3"/>
  <c r="Y28" i="3"/>
  <c r="V28" i="3"/>
  <c r="M28" i="3"/>
  <c r="AA28" i="3"/>
  <c r="Z28" i="3"/>
  <c r="X28" i="3"/>
  <c r="X6" i="3"/>
  <c r="W6" i="3"/>
  <c r="AA6" i="3"/>
  <c r="Z6" i="3"/>
  <c r="Y6" i="3"/>
  <c r="V6" i="3"/>
  <c r="M6" i="3"/>
  <c r="X21" i="3"/>
  <c r="M21" i="3"/>
  <c r="AA21" i="3"/>
  <c r="Z21" i="3"/>
  <c r="Y21" i="3"/>
  <c r="W21" i="3"/>
  <c r="V21" i="3"/>
  <c r="AA42" i="3"/>
  <c r="Z42" i="3"/>
  <c r="Y42" i="3"/>
  <c r="X42" i="3"/>
  <c r="W42" i="3"/>
  <c r="V42" i="3"/>
  <c r="M42" i="3"/>
  <c r="AA10" i="3"/>
  <c r="Z10" i="3"/>
  <c r="Y10" i="3"/>
  <c r="X10" i="3"/>
  <c r="V10" i="3"/>
  <c r="W10" i="3"/>
  <c r="M10" i="3"/>
  <c r="AA14" i="3"/>
  <c r="Z14" i="3"/>
  <c r="Y14" i="3"/>
  <c r="X14" i="3"/>
  <c r="V14" i="3"/>
  <c r="W14" i="3"/>
  <c r="M14" i="3"/>
  <c r="X16" i="3"/>
  <c r="AA16" i="3"/>
  <c r="Y16" i="3"/>
  <c r="V16" i="3"/>
  <c r="Z16" i="3"/>
  <c r="W16" i="3"/>
  <c r="M16" i="3"/>
  <c r="X30" i="3"/>
  <c r="V30" i="3"/>
  <c r="M30" i="3"/>
  <c r="AA30" i="3"/>
  <c r="Z30" i="3"/>
  <c r="Y30" i="3"/>
  <c r="W30" i="3"/>
  <c r="Z31" i="3"/>
  <c r="AA31" i="3"/>
  <c r="Y31" i="3"/>
  <c r="X31" i="3"/>
  <c r="W31" i="3"/>
  <c r="V31" i="3"/>
  <c r="M31" i="3"/>
  <c r="X49" i="3"/>
  <c r="V49" i="3"/>
  <c r="M49" i="3"/>
  <c r="AA49" i="3"/>
  <c r="Z49" i="3"/>
  <c r="Y49" i="3"/>
  <c r="W49" i="3"/>
  <c r="Z12" i="3"/>
  <c r="AA12" i="3"/>
  <c r="X12" i="3"/>
  <c r="M12" i="3"/>
  <c r="Y12" i="3"/>
  <c r="W12" i="3"/>
  <c r="V12" i="3"/>
  <c r="X17" i="3"/>
  <c r="W17" i="3"/>
  <c r="Y17" i="3"/>
  <c r="AA17" i="3"/>
  <c r="Z17" i="3"/>
  <c r="V17" i="3"/>
  <c r="M17" i="3"/>
  <c r="Z22" i="3"/>
  <c r="AA22" i="3"/>
  <c r="Y22" i="3"/>
  <c r="X22" i="3"/>
  <c r="W22" i="3"/>
  <c r="V22" i="3"/>
  <c r="M22" i="3"/>
  <c r="V23" i="3"/>
  <c r="Z23" i="3"/>
  <c r="Y23" i="3"/>
  <c r="AA23" i="3"/>
  <c r="X23" i="3"/>
  <c r="W23" i="3"/>
  <c r="M23" i="3"/>
  <c r="Z43" i="3"/>
  <c r="Y43" i="3"/>
  <c r="X43" i="3"/>
  <c r="AA43" i="3"/>
  <c r="W43" i="3"/>
  <c r="V43" i="3"/>
  <c r="M43" i="3"/>
  <c r="X51" i="3"/>
  <c r="V51" i="3"/>
  <c r="M51" i="3"/>
  <c r="AA51" i="3"/>
  <c r="Z51" i="3"/>
  <c r="Y51" i="3"/>
  <c r="W51" i="3"/>
  <c r="Y20" i="3"/>
  <c r="AA20" i="3"/>
  <c r="Z20" i="3"/>
  <c r="AA7" i="3"/>
  <c r="X7" i="3"/>
  <c r="Z7" i="3"/>
  <c r="Y7" i="3"/>
  <c r="W7" i="3"/>
  <c r="V7" i="3"/>
  <c r="M7" i="3"/>
  <c r="V50" i="3"/>
  <c r="AA50" i="3"/>
  <c r="Z50" i="3"/>
  <c r="Y50" i="3"/>
  <c r="X50" i="3"/>
  <c r="W50" i="3"/>
  <c r="M50" i="3"/>
  <c r="Y57" i="3"/>
  <c r="X57" i="3"/>
  <c r="V57" i="3"/>
  <c r="M57" i="3"/>
  <c r="AA57" i="3"/>
  <c r="Z57" i="3"/>
  <c r="W57" i="3"/>
  <c r="M63" i="3"/>
  <c r="AA63" i="3"/>
  <c r="Z63" i="3"/>
  <c r="Y63" i="3"/>
  <c r="X63" i="3"/>
  <c r="W63" i="3"/>
  <c r="V63" i="3"/>
  <c r="Y32" i="3"/>
  <c r="W32" i="3"/>
  <c r="V32" i="3"/>
  <c r="M32" i="3"/>
  <c r="AA32" i="3"/>
  <c r="Z32" i="3"/>
  <c r="X32" i="3"/>
  <c r="Y33" i="3"/>
  <c r="AA33" i="3"/>
  <c r="Z33" i="3"/>
  <c r="X33" i="3"/>
  <c r="W33" i="3"/>
  <c r="V33" i="3"/>
  <c r="M33" i="3"/>
  <c r="X36" i="3"/>
  <c r="AA36" i="3"/>
  <c r="Z36" i="3"/>
  <c r="Y36" i="3"/>
  <c r="W36" i="3"/>
  <c r="V36" i="3"/>
  <c r="M36" i="3"/>
  <c r="Y40" i="3"/>
  <c r="W40" i="3"/>
  <c r="V40" i="3"/>
  <c r="M40" i="3"/>
  <c r="AA40" i="3"/>
  <c r="Z40" i="3"/>
  <c r="X40" i="3"/>
  <c r="AA26" i="3"/>
  <c r="X26" i="3"/>
  <c r="W26" i="3"/>
  <c r="Z26" i="3"/>
  <c r="Y26" i="3"/>
  <c r="V26" i="3"/>
  <c r="M26" i="3"/>
  <c r="AA39" i="3"/>
  <c r="Y39" i="3"/>
  <c r="X39" i="3"/>
  <c r="W39" i="3"/>
  <c r="Z39" i="3"/>
  <c r="V39" i="3"/>
  <c r="M39" i="3"/>
  <c r="Z54" i="3"/>
  <c r="Y54" i="3"/>
  <c r="W54" i="3"/>
  <c r="V54" i="3"/>
  <c r="AA54" i="3"/>
  <c r="X54" i="3"/>
  <c r="M54" i="3"/>
  <c r="W59" i="3"/>
  <c r="V59" i="3"/>
  <c r="M59" i="3"/>
  <c r="AA59" i="3"/>
  <c r="Z59" i="3"/>
  <c r="Y59" i="3"/>
  <c r="X59" i="3"/>
  <c r="X38" i="3"/>
  <c r="AA38" i="3"/>
  <c r="Y38" i="3"/>
  <c r="W38" i="3"/>
  <c r="Z38" i="3"/>
  <c r="V38" i="3"/>
  <c r="M38" i="3"/>
  <c r="X8" i="3"/>
  <c r="V8" i="3"/>
  <c r="W8" i="3"/>
  <c r="M8" i="3"/>
  <c r="M76" i="3"/>
  <c r="AA76" i="3"/>
  <c r="Z76" i="3"/>
  <c r="Y76" i="3"/>
  <c r="X76" i="3"/>
  <c r="W76" i="3"/>
  <c r="V76" i="3"/>
  <c r="Y61" i="3"/>
  <c r="X61" i="3"/>
  <c r="W61" i="3"/>
  <c r="V61" i="3"/>
  <c r="M61" i="3"/>
  <c r="X18" i="3"/>
  <c r="AA18" i="3"/>
  <c r="V18" i="3"/>
  <c r="M18" i="3"/>
  <c r="W18" i="3"/>
  <c r="X45" i="3"/>
  <c r="V45" i="3"/>
  <c r="M45" i="3"/>
  <c r="Y45" i="3"/>
  <c r="W45" i="3"/>
  <c r="X64" i="3"/>
  <c r="W64" i="3"/>
  <c r="M64" i="3"/>
  <c r="AA64" i="3"/>
  <c r="Z64" i="3"/>
  <c r="V13" i="3"/>
  <c r="M13" i="3"/>
  <c r="M48" i="3"/>
  <c r="V48" i="3"/>
  <c r="X5" i="3"/>
  <c r="W5" i="3"/>
  <c r="M5" i="3"/>
  <c r="V5" i="3"/>
  <c r="W9" i="3"/>
  <c r="V9" i="3"/>
  <c r="W27" i="3"/>
  <c r="AA27" i="3"/>
  <c r="Z27" i="3"/>
  <c r="M27" i="3"/>
  <c r="W46" i="3"/>
  <c r="AA46" i="3"/>
  <c r="Z46" i="3"/>
  <c r="Y47" i="3"/>
  <c r="W47" i="3"/>
  <c r="V47" i="3"/>
  <c r="M47" i="3"/>
  <c r="Y71" i="3"/>
  <c r="X71" i="3"/>
  <c r="V71" i="3"/>
  <c r="M71" i="3"/>
  <c r="AA71" i="3"/>
  <c r="W71" i="3"/>
  <c r="AA78" i="3"/>
  <c r="Z78" i="3"/>
  <c r="Y78" i="3"/>
  <c r="X78" i="3"/>
  <c r="W78" i="3"/>
  <c r="V78" i="3"/>
  <c r="M78" i="3"/>
  <c r="X15" i="3"/>
  <c r="AA15" i="3"/>
  <c r="AA74" i="3"/>
  <c r="Z74" i="3"/>
  <c r="Y74" i="3"/>
  <c r="X74" i="3"/>
  <c r="W74" i="3"/>
  <c r="V74" i="3"/>
  <c r="M74" i="3"/>
  <c r="W24" i="3"/>
  <c r="V25" i="3"/>
  <c r="X55" i="3"/>
  <c r="W55" i="3"/>
  <c r="V55" i="3"/>
  <c r="M55" i="3"/>
  <c r="AA68" i="3"/>
  <c r="W68" i="3"/>
  <c r="V68" i="3"/>
  <c r="M68" i="3"/>
  <c r="AA56" i="3"/>
  <c r="W56" i="3"/>
  <c r="V56" i="3"/>
  <c r="M56" i="3"/>
  <c r="AA60" i="3"/>
  <c r="Z60" i="3"/>
  <c r="V60" i="3"/>
  <c r="M60" i="3"/>
  <c r="V37" i="3"/>
  <c r="V41" i="3"/>
  <c r="AA83" i="3"/>
  <c r="Z83" i="3"/>
  <c r="Y83" i="3"/>
  <c r="X83" i="3"/>
  <c r="W83" i="3"/>
  <c r="V83" i="3"/>
  <c r="M83" i="3"/>
  <c r="Z77" i="3"/>
  <c r="Y77" i="3"/>
  <c r="W77" i="3"/>
  <c r="V77" i="3"/>
  <c r="M77" i="3"/>
  <c r="M85" i="3"/>
  <c r="AA85" i="3"/>
  <c r="Z85" i="3"/>
  <c r="M35" i="3"/>
  <c r="AA52" i="3"/>
  <c r="Z52" i="3"/>
  <c r="M52" i="3"/>
  <c r="AA58" i="3"/>
  <c r="Z58" i="3"/>
  <c r="V58" i="3"/>
  <c r="M58" i="3"/>
  <c r="AA79" i="3"/>
  <c r="Z79" i="3"/>
  <c r="Y79" i="3"/>
  <c r="X79" i="3"/>
  <c r="W79" i="3"/>
  <c r="V79" i="3"/>
  <c r="M79" i="3"/>
  <c r="AA29" i="3"/>
  <c r="M53" i="3"/>
  <c r="Z66" i="3"/>
  <c r="Y66" i="3"/>
  <c r="M66" i="3"/>
  <c r="AA72" i="3"/>
  <c r="Y72" i="3"/>
  <c r="X72" i="3"/>
  <c r="W72" i="3"/>
  <c r="V72" i="3"/>
  <c r="M72" i="3"/>
  <c r="AA81" i="3"/>
  <c r="Z81" i="3"/>
  <c r="Y81" i="3"/>
  <c r="X81" i="3"/>
  <c r="W81" i="3"/>
  <c r="V81" i="3"/>
  <c r="M81" i="3"/>
  <c r="Z84" i="3"/>
  <c r="Y84" i="3"/>
  <c r="X84" i="3"/>
  <c r="W84" i="3"/>
  <c r="V84" i="3"/>
  <c r="M84" i="3"/>
  <c r="X73" i="3"/>
  <c r="W73" i="3"/>
  <c r="M73" i="3"/>
  <c r="X75" i="3"/>
  <c r="W75" i="3"/>
  <c r="M75" i="3"/>
  <c r="M65" i="3"/>
  <c r="Y56" i="3"/>
  <c r="Z5" i="3"/>
  <c r="M29" i="3"/>
  <c r="AA45" i="3"/>
  <c r="V46" i="3"/>
  <c r="Z47" i="3"/>
  <c r="W48" i="3"/>
  <c r="Z56" i="3"/>
  <c r="Z61" i="3"/>
  <c r="Z71" i="3"/>
  <c r="M11" i="3"/>
  <c r="Y9" i="3"/>
  <c r="Z9" i="3"/>
  <c r="Y13" i="3"/>
  <c r="Z18" i="3"/>
  <c r="V19" i="3"/>
  <c r="M20" i="3"/>
  <c r="V27" i="3"/>
  <c r="W28" i="3"/>
  <c r="X46" i="3"/>
  <c r="AA47" i="3"/>
  <c r="X48" i="3"/>
  <c r="V52" i="3"/>
  <c r="W58" i="3"/>
  <c r="AA61" i="3"/>
  <c r="V64" i="3"/>
  <c r="V66" i="3"/>
  <c r="X9" i="3"/>
  <c r="AA37" i="3"/>
  <c r="Z8" i="3"/>
  <c r="AA9" i="3"/>
  <c r="W11" i="3"/>
  <c r="Z13" i="3"/>
  <c r="W19" i="3"/>
  <c r="V20" i="3"/>
  <c r="X27" i="3"/>
  <c r="V29" i="3"/>
  <c r="Y46" i="3"/>
  <c r="Y48" i="3"/>
  <c r="W52" i="3"/>
  <c r="X58" i="3"/>
  <c r="Y64" i="3"/>
  <c r="W66" i="3"/>
  <c r="X77" i="3"/>
  <c r="W13" i="3"/>
  <c r="X47" i="3"/>
  <c r="M19" i="3"/>
  <c r="AA5" i="3"/>
  <c r="AA8" i="3"/>
  <c r="X11" i="3"/>
  <c r="AA13" i="3"/>
  <c r="X19" i="3"/>
  <c r="W20" i="3"/>
  <c r="M25" i="3"/>
  <c r="Y27" i="3"/>
  <c r="W29" i="3"/>
  <c r="Z48" i="3"/>
  <c r="X52" i="3"/>
  <c r="Y58" i="3"/>
  <c r="X66" i="3"/>
  <c r="AA77" i="3"/>
  <c r="X13" i="3"/>
  <c r="V11" i="3"/>
  <c r="Y11" i="3"/>
  <c r="Y19" i="3"/>
  <c r="X20" i="3"/>
  <c r="X29" i="3"/>
  <c r="AA48" i="3"/>
  <c r="Y52" i="3"/>
  <c r="W60" i="3"/>
  <c r="AA66" i="3"/>
  <c r="X68" i="3"/>
  <c r="AA84" i="3"/>
  <c r="Z45" i="3"/>
  <c r="AA53" i="3"/>
  <c r="Y18" i="3"/>
  <c r="Z11" i="3"/>
  <c r="Z19" i="3"/>
  <c r="W25" i="3"/>
  <c r="Y29" i="3"/>
  <c r="M41" i="3"/>
  <c r="X60" i="3"/>
  <c r="Y68" i="3"/>
  <c r="Y8" i="3"/>
  <c r="AA19" i="3"/>
  <c r="M24" i="3"/>
  <c r="X25" i="3"/>
  <c r="Z29" i="3"/>
  <c r="W41" i="3"/>
  <c r="Y55" i="3"/>
  <c r="Y60" i="3"/>
  <c r="Z68" i="3"/>
  <c r="Z72" i="3"/>
  <c r="V75" i="3"/>
  <c r="AA11" i="3"/>
  <c r="V24" i="3"/>
  <c r="Y25" i="3"/>
  <c r="X41" i="3"/>
  <c r="M44" i="3"/>
  <c r="Z55" i="3"/>
  <c r="Y75" i="3"/>
  <c r="M15" i="3"/>
  <c r="X24" i="3"/>
  <c r="Z25" i="3"/>
  <c r="M34" i="3"/>
  <c r="Y41" i="3"/>
  <c r="V44" i="3"/>
  <c r="AA55" i="3"/>
  <c r="V65" i="3"/>
  <c r="V85" i="3"/>
  <c r="V15" i="3"/>
  <c r="Y24" i="3"/>
  <c r="AA25" i="3"/>
  <c r="V34" i="3"/>
  <c r="V35" i="3"/>
  <c r="Z41" i="3"/>
  <c r="W44" i="3"/>
  <c r="Z24" i="3"/>
  <c r="Z34" i="3"/>
  <c r="W35" i="3"/>
  <c r="M37" i="3"/>
  <c r="AA41" i="3"/>
  <c r="X44" i="3"/>
  <c r="M9" i="3"/>
  <c r="Y15" i="3"/>
  <c r="AA24" i="3"/>
  <c r="X35" i="3"/>
  <c r="W37" i="3"/>
  <c r="Y44" i="3"/>
  <c r="V73" i="3"/>
  <c r="Y35" i="3"/>
  <c r="X37" i="3"/>
  <c r="Z44" i="3"/>
  <c r="M67" i="3"/>
  <c r="Y73" i="3"/>
  <c r="Y5" i="3"/>
  <c r="M46" i="3"/>
  <c r="W15" i="3"/>
  <c r="Z15" i="3"/>
  <c r="Z35" i="3"/>
  <c r="Y37" i="3"/>
  <c r="AA44" i="3"/>
  <c r="AA35" i="3"/>
  <c r="Z37" i="3"/>
  <c r="V53" i="3"/>
  <c r="X56" i="3"/>
  <c r="W53" i="3"/>
  <c r="V62" i="3"/>
  <c r="W65" i="3"/>
  <c r="Z73" i="3"/>
  <c r="Z75" i="3"/>
  <c r="W85" i="3"/>
  <c r="W34" i="3"/>
  <c r="X53" i="3"/>
  <c r="W62" i="3"/>
  <c r="X65" i="3"/>
  <c r="V67" i="3"/>
  <c r="AA73" i="3"/>
  <c r="AA75" i="3"/>
  <c r="X85" i="3"/>
  <c r="X34" i="3"/>
  <c r="Y53" i="3"/>
  <c r="X62" i="3"/>
  <c r="Y65" i="3"/>
  <c r="W67" i="3"/>
  <c r="Y85" i="3"/>
  <c r="Y34" i="3"/>
  <c r="Z53" i="3"/>
  <c r="Y62" i="3"/>
  <c r="Z65" i="3"/>
  <c r="X67" i="3"/>
  <c r="Z62" i="3"/>
  <c r="AA65" i="3"/>
  <c r="Y67" i="3"/>
  <c r="AA34" i="3"/>
  <c r="AA62" i="3"/>
  <c r="Z67" i="3"/>
  <c r="AA67" i="3"/>
  <c r="M62" i="3"/>
  <c r="D23" i="4"/>
  <c r="C23" i="4"/>
  <c r="C14" i="4"/>
  <c r="C32" i="4"/>
  <c r="D32" i="4"/>
  <c r="AO72" i="3"/>
  <c r="AJ65" i="3"/>
  <c r="AB11" i="3"/>
  <c r="AO37" i="3"/>
  <c r="AH6" i="3"/>
  <c r="AJ20" i="3"/>
  <c r="AO78" i="3"/>
  <c r="AN65" i="3"/>
  <c r="AH55" i="3"/>
  <c r="AG24" i="3"/>
  <c r="AN21" i="3"/>
  <c r="AD77" i="3"/>
  <c r="AL70" i="3"/>
  <c r="AO85" i="3"/>
  <c r="AK57" i="3"/>
  <c r="AK49" i="3"/>
  <c r="AL74" i="3"/>
  <c r="AP79" i="3"/>
  <c r="AK86" i="3"/>
  <c r="AK82" i="3"/>
  <c r="AP70" i="3"/>
  <c r="AK28" i="3"/>
  <c r="AK42" i="3"/>
  <c r="AJ10" i="3"/>
  <c r="AO17" i="3"/>
  <c r="AN43" i="3"/>
  <c r="AM20" i="3"/>
  <c r="AK63" i="3"/>
  <c r="AK33" i="3"/>
  <c r="AO76" i="3"/>
  <c r="AM48" i="3"/>
  <c r="AK9" i="3"/>
  <c r="AM27" i="3"/>
  <c r="AL78" i="3"/>
  <c r="AK55" i="3"/>
  <c r="AO60" i="3"/>
  <c r="AQ41" i="3"/>
  <c r="AL77" i="3"/>
  <c r="AP52" i="3"/>
  <c r="AJ29" i="3"/>
  <c r="AQ44" i="3"/>
  <c r="AP75" i="3"/>
  <c r="AJ34" i="3"/>
  <c r="AJ24" i="3"/>
  <c r="AP33" i="3"/>
  <c r="AL6" i="3"/>
  <c r="AQ48" i="3"/>
  <c r="AM39" i="3"/>
  <c r="AB42" i="3"/>
  <c r="AM72" i="3"/>
  <c r="AO46" i="3"/>
  <c r="AF11" i="3"/>
  <c r="AJ38" i="3"/>
  <c r="AJ64" i="3"/>
  <c r="AM22" i="3"/>
  <c r="AE27" i="3"/>
  <c r="AO26" i="3"/>
  <c r="AH9" i="3"/>
  <c r="AE51" i="3"/>
  <c r="AE16" i="3"/>
  <c r="AG25" i="3"/>
  <c r="AP47" i="3"/>
  <c r="AF67" i="3"/>
  <c r="AG44" i="3"/>
  <c r="AC52" i="3"/>
  <c r="AB65" i="3"/>
  <c r="AF52" i="3"/>
  <c r="AH32" i="3"/>
  <c r="AF38" i="3"/>
  <c r="AP63" i="3"/>
  <c r="AI35" i="3"/>
  <c r="AO87" i="3"/>
  <c r="AE81" i="3"/>
  <c r="AN10" i="3"/>
  <c r="AL43" i="3"/>
  <c r="AP50" i="3"/>
  <c r="AP36" i="3"/>
  <c r="AQ38" i="3"/>
  <c r="AK48" i="3"/>
  <c r="AL27" i="3"/>
  <c r="AN60" i="3"/>
  <c r="AO52" i="3"/>
  <c r="AP44" i="3"/>
  <c r="AO75" i="3"/>
  <c r="AL34" i="3"/>
  <c r="AO33" i="3"/>
  <c r="AL48" i="3"/>
  <c r="AI42" i="3"/>
  <c r="AF75" i="3"/>
  <c r="AG42" i="3"/>
  <c r="AL22" i="3"/>
  <c r="AE43" i="3"/>
  <c r="AC51" i="3"/>
  <c r="AD16" i="3"/>
  <c r="AB55" i="3"/>
  <c r="AL55" i="3"/>
  <c r="AE67" i="3"/>
  <c r="AP82" i="3"/>
  <c r="AF39" i="3"/>
  <c r="AC44" i="3"/>
  <c r="AL79" i="3"/>
  <c r="AO70" i="3"/>
  <c r="AO42" i="3"/>
  <c r="AK17" i="3"/>
  <c r="AK20" i="3"/>
  <c r="AQ54" i="3"/>
  <c r="AM76" i="3"/>
  <c r="AP9" i="3"/>
  <c r="AJ78" i="3"/>
  <c r="AJ60" i="3"/>
  <c r="AM52" i="3"/>
  <c r="AO44" i="3"/>
  <c r="AL75" i="3"/>
  <c r="AQ46" i="3"/>
  <c r="AE24" i="3"/>
  <c r="AJ39" i="3"/>
  <c r="AP8" i="3"/>
  <c r="AC11" i="3"/>
  <c r="AP46" i="3"/>
  <c r="AO24" i="3"/>
  <c r="AB51" i="3"/>
  <c r="AP56" i="3"/>
  <c r="AI67" i="3"/>
  <c r="AP85" i="3"/>
  <c r="AM30" i="3"/>
  <c r="AP61" i="3"/>
  <c r="AL85" i="3"/>
  <c r="AM33" i="3"/>
  <c r="AF50" i="3"/>
  <c r="AO5" i="3"/>
  <c r="AO50" i="3"/>
  <c r="AJ50" i="3"/>
  <c r="AM44" i="3"/>
  <c r="AM57" i="3"/>
  <c r="AO64" i="3"/>
  <c r="AN37" i="3"/>
  <c r="AN51" i="3"/>
  <c r="AJ30" i="3"/>
  <c r="AK54" i="3"/>
  <c r="AP83" i="3"/>
  <c r="AH7" i="3"/>
  <c r="AK64" i="3"/>
  <c r="AP5" i="3"/>
  <c r="AO80" i="3"/>
  <c r="AJ86" i="3"/>
  <c r="AM82" i="3"/>
  <c r="AQ70" i="3"/>
  <c r="AQ42" i="3"/>
  <c r="AN17" i="3"/>
  <c r="AO20" i="3"/>
  <c r="AJ63" i="3"/>
  <c r="AN76" i="3"/>
  <c r="AJ9" i="3"/>
  <c r="AK78" i="3"/>
  <c r="AQ85" i="3"/>
  <c r="AM29" i="3"/>
  <c r="AL84" i="3"/>
  <c r="AN46" i="3"/>
  <c r="AK8" i="3"/>
  <c r="AK39" i="3"/>
  <c r="AK72" i="3"/>
  <c r="AD11" i="3"/>
  <c r="AN64" i="3"/>
  <c r="AD27" i="3"/>
  <c r="AG9" i="3"/>
  <c r="AF25" i="3"/>
  <c r="AD67" i="3"/>
  <c r="AP66" i="3"/>
  <c r="AD65" i="3"/>
  <c r="AE39" i="3"/>
  <c r="AH64" i="3"/>
  <c r="AL65" i="3"/>
  <c r="AM10" i="3"/>
  <c r="AK43" i="3"/>
  <c r="AN50" i="3"/>
  <c r="AQ36" i="3"/>
  <c r="AN48" i="3"/>
  <c r="AK27" i="3"/>
  <c r="AL25" i="3"/>
  <c r="AM85" i="3"/>
  <c r="AN29" i="3"/>
  <c r="AQ84" i="3"/>
  <c r="AK34" i="3"/>
  <c r="AN33" i="3"/>
  <c r="AJ57" i="3"/>
  <c r="AH42" i="3"/>
  <c r="AD75" i="3"/>
  <c r="AQ64" i="3"/>
  <c r="AC27" i="3"/>
  <c r="AP37" i="3"/>
  <c r="AJ66" i="3"/>
  <c r="AN66" i="3"/>
  <c r="AJ17" i="3"/>
  <c r="AL54" i="3"/>
  <c r="AQ78" i="3"/>
  <c r="AN44" i="3"/>
  <c r="AQ14" i="3"/>
  <c r="AP49" i="3"/>
  <c r="AB73" i="3"/>
  <c r="AN86" i="3"/>
  <c r="AK10" i="3"/>
  <c r="AQ8" i="3"/>
  <c r="AM60" i="3"/>
  <c r="AP41" i="3"/>
  <c r="AI75" i="3"/>
  <c r="AJ40" i="3"/>
  <c r="AJ82" i="3"/>
  <c r="AO45" i="3"/>
  <c r="AL60" i="3"/>
  <c r="AN84" i="3"/>
  <c r="AG75" i="3"/>
  <c r="AM58" i="3"/>
  <c r="AD84" i="3"/>
  <c r="AN70" i="3"/>
  <c r="AK50" i="3"/>
  <c r="AJ27" i="3"/>
  <c r="AH75" i="3"/>
  <c r="AK85" i="3"/>
  <c r="AP74" i="3"/>
  <c r="AG55" i="3"/>
  <c r="AJ70" i="3"/>
  <c r="AO14" i="3"/>
  <c r="AK31" i="3"/>
  <c r="AP12" i="3"/>
  <c r="AQ23" i="3"/>
  <c r="AJ51" i="3"/>
  <c r="AM50" i="3"/>
  <c r="AK36" i="3"/>
  <c r="AN59" i="3"/>
  <c r="AJ61" i="3"/>
  <c r="AL11" i="3"/>
  <c r="AO47" i="3"/>
  <c r="AN25" i="3"/>
  <c r="AK68" i="3"/>
  <c r="AO19" i="3"/>
  <c r="AK83" i="3"/>
  <c r="AJ53" i="3"/>
  <c r="AJ44" i="3"/>
  <c r="AK84" i="3"/>
  <c r="AP65" i="3"/>
  <c r="AM56" i="3"/>
  <c r="AL16" i="3"/>
  <c r="AL41" i="3"/>
  <c r="AJ6" i="3"/>
  <c r="AG15" i="3"/>
  <c r="AL14" i="3"/>
  <c r="AE55" i="3"/>
  <c r="AI15" i="3"/>
  <c r="AC75" i="3"/>
  <c r="AH17" i="3"/>
  <c r="AD50" i="3"/>
  <c r="AO6" i="3"/>
  <c r="AH43" i="3"/>
  <c r="AF7" i="3"/>
  <c r="AM8" i="3"/>
  <c r="AN40" i="3"/>
  <c r="AJ58" i="3"/>
  <c r="AF19" i="3"/>
  <c r="AK37" i="3"/>
  <c r="AM34" i="3"/>
  <c r="AO13" i="3"/>
  <c r="AP13" i="3"/>
  <c r="AF83" i="3"/>
  <c r="AL42" i="3"/>
  <c r="AP80" i="3"/>
  <c r="AB84" i="3"/>
  <c r="AL20" i="3"/>
  <c r="AQ55" i="3"/>
  <c r="AK5" i="3"/>
  <c r="AB68" i="3"/>
  <c r="AD85" i="3"/>
  <c r="AM87" i="3"/>
  <c r="AP69" i="3"/>
  <c r="AK21" i="3"/>
  <c r="AK14" i="3"/>
  <c r="AN31" i="3"/>
  <c r="AO12" i="3"/>
  <c r="AP23" i="3"/>
  <c r="AQ51" i="3"/>
  <c r="AN57" i="3"/>
  <c r="AK32" i="3"/>
  <c r="AJ36" i="3"/>
  <c r="AL59" i="3"/>
  <c r="AN61" i="3"/>
  <c r="AM64" i="3"/>
  <c r="AL5" i="3"/>
  <c r="AK11" i="3"/>
  <c r="AK71" i="3"/>
  <c r="AM25" i="3"/>
  <c r="AJ68" i="3"/>
  <c r="AQ19" i="3"/>
  <c r="AQ35" i="3"/>
  <c r="AJ73" i="3"/>
  <c r="AO65" i="3"/>
  <c r="AI27" i="3"/>
  <c r="AJ16" i="3"/>
  <c r="AK41" i="3"/>
  <c r="AO8" i="3"/>
  <c r="AF15" i="3"/>
  <c r="AO23" i="3"/>
  <c r="AD55" i="3"/>
  <c r="AQ18" i="3"/>
  <c r="AB75" i="3"/>
  <c r="AG17" i="3"/>
  <c r="AC50" i="3"/>
  <c r="AQ10" i="3"/>
  <c r="AG43" i="3"/>
  <c r="AB7" i="3"/>
  <c r="AL8" i="3"/>
  <c r="AM40" i="3"/>
  <c r="AC7" i="3"/>
  <c r="AD19" i="3"/>
  <c r="AJ37" i="3"/>
  <c r="AL35" i="3"/>
  <c r="AQ20" i="3"/>
  <c r="AB20" i="3"/>
  <c r="AD83" i="3"/>
  <c r="AC65" i="3"/>
  <c r="AN80" i="3"/>
  <c r="AH84" i="3"/>
  <c r="AJ21" i="3"/>
  <c r="AF58" i="3"/>
  <c r="AH14" i="3"/>
  <c r="AF68" i="3"/>
  <c r="AP87" i="3"/>
  <c r="AN41" i="3"/>
  <c r="AN87" i="3"/>
  <c r="AO69" i="3"/>
  <c r="AL21" i="3"/>
  <c r="AJ14" i="3"/>
  <c r="AM31" i="3"/>
  <c r="AN12" i="3"/>
  <c r="AM23" i="3"/>
  <c r="AP51" i="3"/>
  <c r="AQ7" i="3"/>
  <c r="AL57" i="3"/>
  <c r="AP32" i="3"/>
  <c r="AP40" i="3"/>
  <c r="AP59" i="3"/>
  <c r="AM61" i="3"/>
  <c r="AK13" i="3"/>
  <c r="AN5" i="3"/>
  <c r="AJ11" i="3"/>
  <c r="AJ71" i="3"/>
  <c r="AK25" i="3"/>
  <c r="AP68" i="3"/>
  <c r="AL19" i="3"/>
  <c r="AN77" i="3"/>
  <c r="AJ35" i="3"/>
  <c r="AN79" i="3"/>
  <c r="AQ73" i="3"/>
  <c r="AK65" i="3"/>
  <c r="AO15" i="3"/>
  <c r="AK16" i="3"/>
  <c r="AJ41" i="3"/>
  <c r="AB36" i="3"/>
  <c r="AE15" i="3"/>
  <c r="AN23" i="3"/>
  <c r="AC55" i="3"/>
  <c r="AP18" i="3"/>
  <c r="AE8" i="3"/>
  <c r="AF17" i="3"/>
  <c r="AB50" i="3"/>
  <c r="AP10" i="3"/>
  <c r="AN45" i="3"/>
  <c r="AP15" i="3"/>
  <c r="AJ8" i="3"/>
  <c r="AL40" i="3"/>
  <c r="AO7" i="3"/>
  <c r="AC19" i="3"/>
  <c r="AH41" i="3"/>
  <c r="AI40" i="3"/>
  <c r="AO21" i="3"/>
  <c r="AP21" i="3"/>
  <c r="AH83" i="3"/>
  <c r="AG67" i="3"/>
  <c r="AI83" i="3"/>
  <c r="AF84" i="3"/>
  <c r="AL28" i="3"/>
  <c r="AH58" i="3"/>
  <c r="AN19" i="3"/>
  <c r="AN71" i="3"/>
  <c r="AP81" i="3"/>
  <c r="AB60" i="3"/>
  <c r="AF86" i="3"/>
  <c r="AK66" i="3"/>
  <c r="AP6" i="3"/>
  <c r="AP39" i="3"/>
  <c r="AQ45" i="3"/>
  <c r="AM38" i="3"/>
  <c r="AQ22" i="3"/>
  <c r="AQ24" i="3"/>
  <c r="AI51" i="3"/>
  <c r="AI41" i="3"/>
  <c r="AP31" i="3"/>
  <c r="AN54" i="3"/>
  <c r="AH76" i="3"/>
  <c r="AD60" i="3"/>
  <c r="AD87" i="3"/>
  <c r="AF9" i="3"/>
  <c r="AH73" i="3"/>
  <c r="AD69" i="3"/>
  <c r="AN20" i="3"/>
  <c r="AO36" i="3"/>
  <c r="AQ9" i="3"/>
  <c r="AP84" i="3"/>
  <c r="AM46" i="3"/>
  <c r="AI16" i="3"/>
  <c r="AD73" i="3"/>
  <c r="AO51" i="3"/>
  <c r="AJ46" i="3"/>
  <c r="AF24" i="3"/>
  <c r="AO49" i="3"/>
  <c r="AE83" i="3"/>
  <c r="AL87" i="3"/>
  <c r="AM36" i="3"/>
  <c r="AQ68" i="3"/>
  <c r="AL44" i="3"/>
  <c r="AQ39" i="3"/>
  <c r="AQ40" i="3"/>
  <c r="AQ34" i="3"/>
  <c r="AQ87" i="3"/>
  <c r="AN69" i="3"/>
  <c r="AM21" i="3"/>
  <c r="AN16" i="3"/>
  <c r="AK12" i="3"/>
  <c r="AK51" i="3"/>
  <c r="AP7" i="3"/>
  <c r="AP57" i="3"/>
  <c r="AO32" i="3"/>
  <c r="AM26" i="3"/>
  <c r="AL61" i="3"/>
  <c r="AL13" i="3"/>
  <c r="AJ5" i="3"/>
  <c r="AM11" i="3"/>
  <c r="AQ71" i="3"/>
  <c r="AO68" i="3"/>
  <c r="AK19" i="3"/>
  <c r="AM77" i="3"/>
  <c r="AK35" i="3"/>
  <c r="AQ79" i="3"/>
  <c r="AQ66" i="3"/>
  <c r="AJ81" i="3"/>
  <c r="AO73" i="3"/>
  <c r="AN67" i="3"/>
  <c r="AN15" i="3"/>
  <c r="AG23" i="3"/>
  <c r="AO41" i="3"/>
  <c r="AH36" i="3"/>
  <c r="AN8" i="3"/>
  <c r="AL23" i="3"/>
  <c r="AL72" i="3"/>
  <c r="AO18" i="3"/>
  <c r="AD8" i="3"/>
  <c r="AN38" i="3"/>
  <c r="AI50" i="3"/>
  <c r="AO10" i="3"/>
  <c r="AK47" i="3"/>
  <c r="AQ15" i="3"/>
  <c r="AL47" i="3"/>
  <c r="AK40" i="3"/>
  <c r="AN7" i="3"/>
  <c r="AB19" i="3"/>
  <c r="AE41" i="3"/>
  <c r="AF44" i="3"/>
  <c r="AQ28" i="3"/>
  <c r="AB28" i="3"/>
  <c r="AC83" i="3"/>
  <c r="AC73" i="3"/>
  <c r="AB64" i="3"/>
  <c r="AG84" i="3"/>
  <c r="AK30" i="3"/>
  <c r="AD59" i="3"/>
  <c r="AH22" i="3"/>
  <c r="AL71" i="3"/>
  <c r="AJ84" i="3"/>
  <c r="AL69" i="3"/>
  <c r="AQ16" i="3"/>
  <c r="AM17" i="3"/>
  <c r="AQ32" i="3"/>
  <c r="AQ13" i="3"/>
  <c r="AP11" i="3"/>
  <c r="AO55" i="3"/>
  <c r="AM19" i="3"/>
  <c r="AL52" i="3"/>
  <c r="AL66" i="3"/>
  <c r="AM73" i="3"/>
  <c r="AK15" i="3"/>
  <c r="AQ6" i="3"/>
  <c r="AL39" i="3"/>
  <c r="AP72" i="3"/>
  <c r="AI8" i="3"/>
  <c r="AM59" i="3"/>
  <c r="AO59" i="3"/>
  <c r="AM47" i="3"/>
  <c r="AK7" i="3"/>
  <c r="AC41" i="3"/>
  <c r="AQ30" i="3"/>
  <c r="AO35" i="3"/>
  <c r="AK67" i="3"/>
  <c r="AJ32" i="3"/>
  <c r="AQ74" i="3"/>
  <c r="AN81" i="3"/>
  <c r="AL67" i="3"/>
  <c r="AC23" i="3"/>
  <c r="AD36" i="3"/>
  <c r="AF42" i="3"/>
  <c r="AH8" i="3"/>
  <c r="AK59" i="3"/>
  <c r="AC15" i="3"/>
  <c r="AJ47" i="3"/>
  <c r="AC25" i="3"/>
  <c r="AJ75" i="3"/>
  <c r="AN35" i="3"/>
  <c r="AL83" i="3"/>
  <c r="AF73" i="3"/>
  <c r="AI33" i="3"/>
  <c r="AL29" i="3"/>
  <c r="AJ85" i="3"/>
  <c r="AC16" i="3"/>
  <c r="AH67" i="3"/>
  <c r="AN82" i="3"/>
  <c r="AP42" i="3"/>
  <c r="AL46" i="3"/>
  <c r="AP64" i="3"/>
  <c r="AN13" i="3"/>
  <c r="AQ67" i="3"/>
  <c r="AN30" i="3"/>
  <c r="AK45" i="3"/>
  <c r="AL68" i="3"/>
  <c r="AO61" i="3"/>
  <c r="AL56" i="3"/>
  <c r="AB43" i="3"/>
  <c r="AP30" i="3"/>
  <c r="AL53" i="3"/>
  <c r="AK87" i="3"/>
  <c r="AM69" i="3"/>
  <c r="AM28" i="3"/>
  <c r="AQ21" i="3"/>
  <c r="AP16" i="3"/>
  <c r="AL49" i="3"/>
  <c r="AJ12" i="3"/>
  <c r="AM43" i="3"/>
  <c r="AM7" i="3"/>
  <c r="AO57" i="3"/>
  <c r="AN32" i="3"/>
  <c r="AJ26" i="3"/>
  <c r="AL76" i="3"/>
  <c r="AM13" i="3"/>
  <c r="AM5" i="3"/>
  <c r="AQ11" i="3"/>
  <c r="AO71" i="3"/>
  <c r="AN68" i="3"/>
  <c r="AP19" i="3"/>
  <c r="AK77" i="3"/>
  <c r="AN52" i="3"/>
  <c r="AO79" i="3"/>
  <c r="AM66" i="3"/>
  <c r="AQ81" i="3"/>
  <c r="AN73" i="3"/>
  <c r="AP67" i="3"/>
  <c r="AL15" i="3"/>
  <c r="AF23" i="3"/>
  <c r="AN58" i="3"/>
  <c r="AG36" i="3"/>
  <c r="AK24" i="3"/>
  <c r="AK23" i="3"/>
  <c r="AJ72" i="3"/>
  <c r="AE42" i="3"/>
  <c r="AC8" i="3"/>
  <c r="AP38" i="3"/>
  <c r="AQ59" i="3"/>
  <c r="AM15" i="3"/>
  <c r="AK56" i="3"/>
  <c r="AN18" i="3"/>
  <c r="AQ47" i="3"/>
  <c r="AN47" i="3"/>
  <c r="AL7" i="3"/>
  <c r="AE19" i="3"/>
  <c r="AD41" i="3"/>
  <c r="AQ53" i="3"/>
  <c r="AQ29" i="3"/>
  <c r="AQ31" i="3"/>
  <c r="AP34" i="3"/>
  <c r="AQ83" i="3"/>
  <c r="AF65" i="3"/>
  <c r="AD76" i="3"/>
  <c r="AJ31" i="3"/>
  <c r="AF59" i="3"/>
  <c r="AN27" i="3"/>
  <c r="AP71" i="3"/>
  <c r="AH85" i="3"/>
  <c r="AJ87" i="3"/>
  <c r="AJ28" i="3"/>
  <c r="AN49" i="3"/>
  <c r="AQ43" i="3"/>
  <c r="AN26" i="3"/>
  <c r="AK76" i="3"/>
  <c r="AO9" i="3"/>
  <c r="AM71" i="3"/>
  <c r="AJ77" i="3"/>
  <c r="AM79" i="3"/>
  <c r="AO81" i="3"/>
  <c r="AO67" i="3"/>
  <c r="AE23" i="3"/>
  <c r="AF36" i="3"/>
  <c r="AJ23" i="3"/>
  <c r="AP45" i="3"/>
  <c r="AO38" i="3"/>
  <c r="AL18" i="3"/>
  <c r="AJ22" i="3"/>
  <c r="AD51" i="3"/>
  <c r="AK22" i="3"/>
  <c r="AN75" i="3"/>
  <c r="AO34" i="3"/>
  <c r="AN83" i="3"/>
  <c r="AB76" i="3"/>
  <c r="AK29" i="3"/>
  <c r="AK79" i="3"/>
  <c r="AC76" i="3"/>
  <c r="AE40" i="3"/>
  <c r="AO48" i="3"/>
  <c r="AP53" i="3"/>
  <c r="AQ57" i="3"/>
  <c r="AB27" i="3"/>
  <c r="AC67" i="3"/>
  <c r="AO54" i="3"/>
  <c r="AN36" i="3"/>
  <c r="AP58" i="3"/>
  <c r="AC24" i="3"/>
  <c r="AH50" i="3"/>
  <c r="AH16" i="3"/>
  <c r="AO74" i="3"/>
  <c r="AP20" i="3"/>
  <c r="AL58" i="3"/>
  <c r="AI24" i="3"/>
  <c r="AH15" i="3"/>
  <c r="AQ5" i="3"/>
  <c r="AO66" i="3"/>
  <c r="AQ86" i="3"/>
  <c r="AD40" i="3"/>
  <c r="AJ25" i="3"/>
  <c r="AK46" i="3"/>
  <c r="AN56" i="3"/>
  <c r="AL82" i="3"/>
  <c r="AQ61" i="3"/>
  <c r="AO53" i="3"/>
  <c r="AP14" i="3"/>
  <c r="AC43" i="3"/>
  <c r="AP29" i="3"/>
  <c r="AI64" i="3"/>
  <c r="AM51" i="3"/>
  <c r="AP25" i="3"/>
  <c r="AM65" i="3"/>
  <c r="AG50" i="3"/>
  <c r="AM37" i="3"/>
  <c r="AL12" i="3"/>
  <c r="AP86" i="3"/>
  <c r="AM80" i="3"/>
  <c r="AK69" i="3"/>
  <c r="AP28" i="3"/>
  <c r="AO16" i="3"/>
  <c r="AM49" i="3"/>
  <c r="AL17" i="3"/>
  <c r="AP43" i="3"/>
  <c r="AQ63" i="3"/>
  <c r="AM32" i="3"/>
  <c r="AL26" i="3"/>
  <c r="AJ76" i="3"/>
  <c r="AK18" i="3"/>
  <c r="AN9" i="3"/>
  <c r="AO27" i="3"/>
  <c r="AP78" i="3"/>
  <c r="AN74" i="3"/>
  <c r="AM55" i="3"/>
  <c r="AJ19" i="3"/>
  <c r="AQ77" i="3"/>
  <c r="AK52" i="3"/>
  <c r="AK73" i="3"/>
  <c r="AJ15" i="3"/>
  <c r="AN72" i="3"/>
  <c r="AJ7" i="3"/>
  <c r="AP24" i="3"/>
  <c r="AO84" i="3"/>
  <c r="AK75" i="3"/>
  <c r="AN14" i="3"/>
  <c r="AM86" i="3"/>
  <c r="AK80" i="3"/>
  <c r="AJ69" i="3"/>
  <c r="AO28" i="3"/>
  <c r="AM42" i="3"/>
  <c r="AJ49" i="3"/>
  <c r="AQ17" i="3"/>
  <c r="AJ43" i="3"/>
  <c r="AO63" i="3"/>
  <c r="AL32" i="3"/>
  <c r="AK26" i="3"/>
  <c r="AQ76" i="3"/>
  <c r="AM18" i="3"/>
  <c r="AM9" i="3"/>
  <c r="AQ27" i="3"/>
  <c r="AN78" i="3"/>
  <c r="AM74" i="3"/>
  <c r="AJ55" i="3"/>
  <c r="AP77" i="3"/>
  <c r="AJ52" i="3"/>
  <c r="AJ79" i="3"/>
  <c r="AM81" i="3"/>
  <c r="AP73" i="3"/>
  <c r="AJ67" i="3"/>
  <c r="AM24" i="3"/>
  <c r="AJ33" i="3"/>
  <c r="AN6" i="3"/>
  <c r="AJ48" i="3"/>
  <c r="AO39" i="3"/>
  <c r="AD42" i="3"/>
  <c r="AQ72" i="3"/>
  <c r="AL45" i="3"/>
  <c r="AF8" i="3"/>
  <c r="AL38" i="3"/>
  <c r="AJ59" i="3"/>
  <c r="AP22" i="3"/>
  <c r="AG27" i="3"/>
  <c r="AQ26" i="3"/>
  <c r="AC9" i="3"/>
  <c r="AG51" i="3"/>
  <c r="AD7" i="3"/>
  <c r="AB25" i="3"/>
  <c r="AF41" i="3"/>
  <c r="AO82" i="3"/>
  <c r="AN34" i="3"/>
  <c r="AJ42" i="3"/>
  <c r="AP54" i="3"/>
  <c r="AJ83" i="3"/>
  <c r="AM75" i="3"/>
  <c r="AF76" i="3"/>
  <c r="AI34" i="3"/>
  <c r="AN63" i="3"/>
  <c r="AL30" i="3"/>
  <c r="AQ80" i="3"/>
  <c r="AB81" i="3"/>
  <c r="AL86" i="3"/>
  <c r="AQ82" i="3"/>
  <c r="AQ69" i="3"/>
  <c r="AN28" i="3"/>
  <c r="AN42" i="3"/>
  <c r="AP17" i="3"/>
  <c r="AO43" i="3"/>
  <c r="AM63" i="3"/>
  <c r="AL33" i="3"/>
  <c r="AP76" i="3"/>
  <c r="AJ18" i="3"/>
  <c r="AL9" i="3"/>
  <c r="AP27" i="3"/>
  <c r="AM78" i="3"/>
  <c r="AK74" i="3"/>
  <c r="AP55" i="3"/>
  <c r="AQ60" i="3"/>
  <c r="AQ37" i="3"/>
  <c r="AO77" i="3"/>
  <c r="AQ52" i="3"/>
  <c r="AO29" i="3"/>
  <c r="AK81" i="3"/>
  <c r="AQ75" i="3"/>
  <c r="AM67" i="3"/>
  <c r="AL24" i="3"/>
  <c r="AQ33" i="3"/>
  <c r="AM6" i="3"/>
  <c r="AP48" i="3"/>
  <c r="AN39" i="3"/>
  <c r="AC42" i="3"/>
  <c r="AJ45" i="3"/>
  <c r="AG11" i="3"/>
  <c r="AK38" i="3"/>
  <c r="AL64" i="3"/>
  <c r="AN22" i="3"/>
  <c r="AF27" i="3"/>
  <c r="AP26" i="3"/>
  <c r="AB9" i="3"/>
  <c r="AF51" i="3"/>
  <c r="AD9" i="3"/>
  <c r="AH25" i="3"/>
  <c r="AF43" i="3"/>
  <c r="AM35" i="3"/>
  <c r="AH44" i="3"/>
  <c r="AH65" i="3"/>
  <c r="AB32" i="3"/>
  <c r="AM83" i="3"/>
  <c r="AI84" i="3"/>
  <c r="AH35" i="3"/>
  <c r="AL63" i="3"/>
  <c r="AL31" i="3"/>
  <c r="AQ49" i="3"/>
  <c r="AN55" i="3"/>
  <c r="AM53" i="3"/>
  <c r="AL10" i="3"/>
  <c r="AP60" i="3"/>
  <c r="AD24" i="3"/>
  <c r="AD43" i="3"/>
  <c r="AB67" i="3"/>
  <c r="AL73" i="3"/>
  <c r="AM70" i="3"/>
  <c r="AJ54" i="3"/>
  <c r="AQ25" i="3"/>
  <c r="AJ56" i="3"/>
  <c r="AE11" i="3"/>
  <c r="AQ58" i="3"/>
  <c r="AN11" i="3"/>
  <c r="AQ50" i="3"/>
  <c r="AN53" i="3"/>
  <c r="AC17" i="3"/>
  <c r="AF16" i="3"/>
  <c r="AL80" i="3"/>
  <c r="AL50" i="3"/>
  <c r="AQ56" i="3"/>
  <c r="AK58" i="3"/>
  <c r="AD68" i="3"/>
  <c r="AM16" i="3"/>
  <c r="AG19" i="3"/>
  <c r="AL81" i="3"/>
  <c r="AL51" i="3"/>
  <c r="AM68" i="3"/>
  <c r="AM41" i="3"/>
  <c r="AL37" i="3"/>
  <c r="AK70" i="3"/>
  <c r="AO30" i="3"/>
  <c r="AM45" i="3"/>
  <c r="AH24" i="3"/>
  <c r="AO31" i="3"/>
  <c r="AO86" i="3"/>
  <c r="AK53" i="3"/>
  <c r="AO58" i="3"/>
  <c r="AK60" i="3"/>
  <c r="AF55" i="3"/>
  <c r="AK6" i="3"/>
  <c r="AJ74" i="3"/>
  <c r="AB17" i="3"/>
  <c r="AM14" i="3"/>
  <c r="AQ12" i="3"/>
  <c r="AE75" i="3"/>
  <c r="AB12" i="3"/>
  <c r="AE50" i="3"/>
  <c r="AJ80" i="3"/>
  <c r="AC84" i="3"/>
  <c r="AM84" i="3"/>
  <c r="AE38" i="3"/>
  <c r="AP35" i="3"/>
  <c r="AN24" i="3"/>
  <c r="AM12" i="3"/>
  <c r="AK61" i="3"/>
  <c r="AO25" i="3"/>
  <c r="AO83" i="3"/>
  <c r="AI43" i="3"/>
  <c r="AG7" i="3"/>
  <c r="AJ13" i="3"/>
  <c r="AO22" i="3"/>
  <c r="AL36" i="3"/>
  <c r="AO11" i="3"/>
  <c r="AN85" i="3"/>
  <c r="AQ65" i="3"/>
  <c r="AO56" i="3"/>
  <c r="AM54" i="3"/>
  <c r="AO40" i="3"/>
  <c r="AK44" i="3"/>
  <c r="D14" i="4" l="1"/>
  <c r="E14" i="4"/>
  <c r="E23" i="4"/>
  <c r="E32" i="4"/>
  <c r="F23" i="4" l="1"/>
  <c r="F14" i="4"/>
  <c r="F32" i="4"/>
  <c r="H23" i="4" l="1"/>
  <c r="G14" i="4"/>
  <c r="G23" i="4"/>
  <c r="G32" i="4"/>
  <c r="H32" i="4" l="1"/>
  <c r="I23" i="4"/>
  <c r="H14" i="4"/>
  <c r="I14" i="4" l="1"/>
  <c r="J23" i="4"/>
  <c r="J14" i="4"/>
  <c r="K14" i="4" s="1"/>
  <c r="L14" i="4" s="1"/>
  <c r="M14" i="4" s="1"/>
  <c r="N14" i="4" s="1"/>
  <c r="I32" i="4"/>
  <c r="K23" i="4" l="1"/>
  <c r="L23" i="4" s="1"/>
  <c r="M23" i="4" s="1"/>
  <c r="N23" i="4" s="1"/>
  <c r="O23" i="4" s="1"/>
  <c r="P23" i="4" s="1"/>
  <c r="Q23" i="4" s="1"/>
  <c r="R23" i="4" s="1"/>
  <c r="S23" i="4" s="1"/>
  <c r="T23" i="4" s="1"/>
  <c r="U23" i="4" s="1"/>
  <c r="V23" i="4" s="1"/>
  <c r="J32" i="4"/>
  <c r="O14" i="4"/>
  <c r="P14" i="4" s="1"/>
  <c r="Q14" i="4" s="1"/>
  <c r="R14" i="4" s="1"/>
  <c r="S14" i="4" s="1"/>
  <c r="T14" i="4" s="1"/>
  <c r="U14" i="4" s="1"/>
  <c r="V14" i="4" s="1"/>
  <c r="K32" i="4" l="1"/>
  <c r="L32" i="4"/>
  <c r="M32" i="4" s="1"/>
  <c r="N32" i="4" s="1"/>
  <c r="O32" i="4" s="1"/>
  <c r="P32" i="4" s="1"/>
  <c r="Q32" i="4" s="1"/>
  <c r="R32" i="4" s="1"/>
  <c r="S32" i="4" s="1"/>
  <c r="T32" i="4" s="1"/>
  <c r="U32" i="4" s="1"/>
  <c r="V32" i="4" s="1"/>
</calcChain>
</file>

<file path=xl/sharedStrings.xml><?xml version="1.0" encoding="utf-8"?>
<sst xmlns="http://schemas.openxmlformats.org/spreadsheetml/2006/main" count="525" uniqueCount="78">
  <si>
    <t>Underlying</t>
  </si>
  <si>
    <t>SX5E Index</t>
  </si>
  <si>
    <t>Sum of Total Vega 1%</t>
  </si>
  <si>
    <t>Maturity</t>
  </si>
  <si>
    <t>Sum of Total Volga</t>
  </si>
  <si>
    <t>Strike</t>
  </si>
  <si>
    <t>Grand Total</t>
  </si>
  <si>
    <t>(blank)</t>
  </si>
  <si>
    <t>Sum of ImpVol  +10%</t>
  </si>
  <si>
    <t>Sum of Total $Delta</t>
  </si>
  <si>
    <t>Sum of Total $Gamma</t>
  </si>
  <si>
    <t>Sum of PnL: Und +10%</t>
  </si>
  <si>
    <t>Value Date</t>
  </si>
  <si>
    <t>Underlying Stress P&amp;L's</t>
  </si>
  <si>
    <t>Volatility Stress P&amp;L's</t>
  </si>
  <si>
    <t>Underlying Price</t>
  </si>
  <si>
    <t>Div. Yield</t>
  </si>
  <si>
    <t>Security Type</t>
  </si>
  <si>
    <t>Currency</t>
  </si>
  <si>
    <t>Position</t>
  </si>
  <si>
    <t>CallPut</t>
  </si>
  <si>
    <t>Imp. Vol</t>
  </si>
  <si>
    <t>Risk-Free Rate</t>
  </si>
  <si>
    <t>Security Price</t>
  </si>
  <si>
    <t>Total Position Value</t>
  </si>
  <si>
    <t>CounterParty</t>
  </si>
  <si>
    <t>Margin</t>
  </si>
  <si>
    <t>$Delta (ESP)</t>
  </si>
  <si>
    <t>$Gamma</t>
  </si>
  <si>
    <t>Vega 1%</t>
  </si>
  <si>
    <t>Volga</t>
  </si>
  <si>
    <t>1 Day Theta</t>
  </si>
  <si>
    <t>Rho (1%)</t>
  </si>
  <si>
    <t>Total $Delta</t>
  </si>
  <si>
    <t>Total $Gamma</t>
  </si>
  <si>
    <t>Total Vega 1%</t>
  </si>
  <si>
    <t>Total Volga</t>
  </si>
  <si>
    <t>Total 1 Day Theta</t>
  </si>
  <si>
    <t>Total Rho (1%)</t>
  </si>
  <si>
    <t>PnL: Und  -20%</t>
  </si>
  <si>
    <t>PnL: Und -10%</t>
  </si>
  <si>
    <t>PnL: Und -5%</t>
  </si>
  <si>
    <t>PnL: Und -2%</t>
  </si>
  <si>
    <t>PnL: Und +2%</t>
  </si>
  <si>
    <t>PnL: Und +5%</t>
  </si>
  <si>
    <t>PnL: Und +10%</t>
  </si>
  <si>
    <t>PnL: Und +20%</t>
  </si>
  <si>
    <t>ImpVol  -10%</t>
  </si>
  <si>
    <t>ImpVol  -5%</t>
  </si>
  <si>
    <t>ImpVol  -2%</t>
  </si>
  <si>
    <t>ImpVol  -1%</t>
  </si>
  <si>
    <t>ImpVol  +1%</t>
  </si>
  <si>
    <t>ImpVol  +2%</t>
  </si>
  <si>
    <t>ImpVol  +5%</t>
  </si>
  <si>
    <t>ImpVol  +10%</t>
  </si>
  <si>
    <t>SPX Index</t>
  </si>
  <si>
    <t>Future</t>
  </si>
  <si>
    <t>USD</t>
  </si>
  <si>
    <t>Exch</t>
  </si>
  <si>
    <t>Option</t>
  </si>
  <si>
    <t>Put</t>
  </si>
  <si>
    <t>GoldMine Sacks</t>
  </si>
  <si>
    <t>Call</t>
  </si>
  <si>
    <t>JP Horgan</t>
  </si>
  <si>
    <t>Darklays Capital</t>
  </si>
  <si>
    <t>EUR</t>
  </si>
  <si>
    <t>UBS</t>
  </si>
  <si>
    <t>NKY Index</t>
  </si>
  <si>
    <t>JPY</t>
  </si>
  <si>
    <t>Risk-Free Curves</t>
  </si>
  <si>
    <t>Exchange Rates</t>
  </si>
  <si>
    <t>Price</t>
  </si>
  <si>
    <t>Div Yield</t>
  </si>
  <si>
    <t>USD/EUR</t>
  </si>
  <si>
    <t>USD/JPY</t>
  </si>
  <si>
    <t>SPX Implied Volatility Surface</t>
  </si>
  <si>
    <t>SX5E Implied Volatility Surface</t>
  </si>
  <si>
    <t>NKY Implied Volatility Surface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</si>
</sst>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$-409]d\-mmm\-yy;@"/>
    <numFmt numFmtId="165" formatCode="0.0%"/>
    <numFmt numFmtId="166" formatCode="0.0000"/>
    <numFmt numFmtId="167" formatCode="0.0"/>
    <numFmt numFmtId="168" formatCode="_(* #,##0_);_(* \(#,##0\);_(* &quot;-&quot;??_);_(@_)"/>
    <numFmt numFmtId="169" formatCode="0_);[Red]\(0\)"/>
  </numFmts>
  <fonts count="7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</borders>
  <cellStyleXfs count="2">
    <xf numFmtId="0" fontId="0" fillId="0" borderId="0"/>
    <xf numFmtId="43" fontId="1" fillId="0" borderId="0"/>
  </cellStyleXfs>
  <cellXfs count="111">
    <xf numFmtId="0" fontId="0" fillId="0" borderId="0" xfId="0"/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2" xfId="0" applyNumberFormat="1" applyBorder="1" applyAlignment="1">
      <alignment horizontal="center"/>
    </xf>
    <xf numFmtId="0" fontId="2" fillId="2" borderId="3" xfId="0" applyFont="1" applyFill="1" applyBorder="1"/>
    <xf numFmtId="164" fontId="0" fillId="0" borderId="4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0" fontId="0" fillId="0" borderId="4" xfId="0" applyNumberFormat="1" applyBorder="1" applyAlignment="1">
      <alignment horizontal="center"/>
    </xf>
    <xf numFmtId="10" fontId="0" fillId="0" borderId="6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0" fontId="2" fillId="2" borderId="2" xfId="0" applyFont="1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64" fontId="4" fillId="0" borderId="0" xfId="0" applyNumberFormat="1" applyFont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left"/>
    </xf>
    <xf numFmtId="10" fontId="0" fillId="0" borderId="0" xfId="0" applyNumberFormat="1"/>
    <xf numFmtId="10" fontId="4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2" xfId="0" applyBorder="1"/>
    <xf numFmtId="0" fontId="2" fillId="2" borderId="2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" xfId="0" applyFont="1" applyFill="1" applyBorder="1"/>
    <xf numFmtId="0" fontId="2" fillId="2" borderId="5" xfId="0" applyFont="1" applyFill="1" applyBorder="1"/>
    <xf numFmtId="164" fontId="3" fillId="0" borderId="4" xfId="0" applyNumberFormat="1" applyFont="1" applyBorder="1" applyAlignment="1">
      <alignment horizontal="left"/>
    </xf>
    <xf numFmtId="164" fontId="3" fillId="0" borderId="1" xfId="0" applyNumberFormat="1" applyFont="1" applyBorder="1" applyAlignment="1">
      <alignment horizontal="left"/>
    </xf>
    <xf numFmtId="164" fontId="3" fillId="0" borderId="5" xfId="0" applyNumberFormat="1" applyFont="1" applyBorder="1" applyAlignment="1">
      <alignment horizontal="left"/>
    </xf>
    <xf numFmtId="0" fontId="0" fillId="2" borderId="3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5" fontId="0" fillId="0" borderId="0" xfId="0" applyNumberFormat="1"/>
    <xf numFmtId="165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0" fillId="0" borderId="0" xfId="0" applyNumberFormat="1"/>
    <xf numFmtId="167" fontId="0" fillId="0" borderId="0" xfId="0" applyNumberFormat="1"/>
    <xf numFmtId="167" fontId="4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1" applyNumberFormat="1" applyFont="1"/>
    <xf numFmtId="1" fontId="0" fillId="0" borderId="0" xfId="0" applyNumberFormat="1" applyAlignment="1">
      <alignment horizontal="center"/>
    </xf>
    <xf numFmtId="1" fontId="4" fillId="0" borderId="0" xfId="0" applyNumberFormat="1" applyFont="1" applyAlignment="1">
      <alignment horizontal="center"/>
    </xf>
    <xf numFmtId="167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168" fontId="4" fillId="0" borderId="0" xfId="1" applyNumberFormat="1" applyFont="1" applyAlignment="1">
      <alignment horizontal="center"/>
    </xf>
    <xf numFmtId="168" fontId="0" fillId="0" borderId="0" xfId="1" applyNumberFormat="1" applyFont="1" applyAlignment="1">
      <alignment horizontal="center"/>
    </xf>
    <xf numFmtId="1" fontId="0" fillId="0" borderId="0" xfId="1" applyNumberFormat="1" applyFont="1" applyAlignment="1">
      <alignment horizontal="center"/>
    </xf>
    <xf numFmtId="1" fontId="4" fillId="0" borderId="0" xfId="1" applyNumberFormat="1" applyFont="1" applyAlignment="1">
      <alignment horizontal="center"/>
    </xf>
    <xf numFmtId="38" fontId="0" fillId="0" borderId="0" xfId="0" applyNumberForma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16" xfId="0" pivotButton="1" applyBorder="1"/>
    <xf numFmtId="0" fontId="0" fillId="0" borderId="17" xfId="0" applyBorder="1"/>
    <xf numFmtId="0" fontId="0" fillId="0" borderId="18" xfId="0" applyBorder="1"/>
    <xf numFmtId="14" fontId="0" fillId="0" borderId="16" xfId="0" applyNumberFormat="1" applyBorder="1"/>
    <xf numFmtId="14" fontId="0" fillId="0" borderId="19" xfId="0" applyNumberFormat="1" applyBorder="1"/>
    <xf numFmtId="0" fontId="0" fillId="0" borderId="20" xfId="0" applyBorder="1"/>
    <xf numFmtId="0" fontId="0" fillId="0" borderId="16" xfId="0" applyBorder="1"/>
    <xf numFmtId="0" fontId="0" fillId="0" borderId="21" xfId="0" applyBorder="1"/>
    <xf numFmtId="0" fontId="0" fillId="0" borderId="25" xfId="0" pivotButton="1" applyBorder="1"/>
    <xf numFmtId="0" fontId="0" fillId="0" borderId="25" xfId="0" applyBorder="1"/>
    <xf numFmtId="0" fontId="0" fillId="0" borderId="23" xfId="0" applyBorder="1" applyAlignment="1">
      <alignment horizontal="center"/>
    </xf>
    <xf numFmtId="38" fontId="0" fillId="0" borderId="16" xfId="0" applyNumberFormat="1" applyBorder="1"/>
    <xf numFmtId="38" fontId="0" fillId="0" borderId="19" xfId="0" applyNumberFormat="1" applyBorder="1"/>
    <xf numFmtId="38" fontId="0" fillId="0" borderId="20" xfId="0" applyNumberFormat="1" applyBorder="1"/>
    <xf numFmtId="38" fontId="0" fillId="0" borderId="21" xfId="0" applyNumberFormat="1" applyBorder="1"/>
    <xf numFmtId="38" fontId="0" fillId="0" borderId="0" xfId="0" applyNumberFormat="1"/>
    <xf numFmtId="38" fontId="0" fillId="0" borderId="22" xfId="0" applyNumberFormat="1" applyBorder="1"/>
    <xf numFmtId="38" fontId="0" fillId="0" borderId="23" xfId="0" applyNumberFormat="1" applyBorder="1" applyAlignment="1">
      <alignment horizontal="center"/>
    </xf>
    <xf numFmtId="38" fontId="0" fillId="0" borderId="24" xfId="0" applyNumberFormat="1" applyBorder="1" applyAlignment="1">
      <alignment horizontal="center"/>
    </xf>
    <xf numFmtId="38" fontId="0" fillId="0" borderId="25" xfId="0" applyNumberFormat="1" applyBorder="1" applyAlignment="1">
      <alignment horizontal="center"/>
    </xf>
    <xf numFmtId="14" fontId="0" fillId="0" borderId="16" xfId="0" applyNumberForma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1" xfId="0" applyBorder="1" applyAlignment="1">
      <alignment horizontal="center"/>
    </xf>
    <xf numFmtId="169" fontId="0" fillId="0" borderId="21" xfId="0" applyNumberFormat="1" applyBorder="1" applyAlignment="1">
      <alignment horizontal="center"/>
    </xf>
    <xf numFmtId="169" fontId="0" fillId="0" borderId="23" xfId="0" applyNumberFormat="1" applyBorder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9" xfId="0" applyNumberFormat="1" applyBorder="1" applyAlignment="1">
      <alignment horizontal="center"/>
    </xf>
    <xf numFmtId="38" fontId="0" fillId="0" borderId="20" xfId="0" applyNumberFormat="1" applyBorder="1" applyAlignment="1">
      <alignment horizontal="center"/>
    </xf>
    <xf numFmtId="38" fontId="0" fillId="0" borderId="21" xfId="0" applyNumberFormat="1" applyBorder="1" applyAlignment="1">
      <alignment horizontal="center"/>
    </xf>
    <xf numFmtId="38" fontId="0" fillId="0" borderId="22" xfId="0" applyNumberFormat="1" applyBorder="1" applyAlignment="1">
      <alignment horizontal="center"/>
    </xf>
    <xf numFmtId="164" fontId="0" fillId="0" borderId="16" xfId="0" applyNumberFormat="1" applyBorder="1"/>
    <xf numFmtId="164" fontId="0" fillId="0" borderId="19" xfId="0" applyNumberFormat="1" applyBorder="1"/>
    <xf numFmtId="164" fontId="0" fillId="0" borderId="16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0" xfId="0" applyBorder="1"/>
    <xf numFmtId="0" fontId="0" fillId="0" borderId="9" xfId="0" applyBorder="1"/>
    <xf numFmtId="0" fontId="2" fillId="4" borderId="2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35"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shihiro Shirai" refreshedDate="45602.465718749998" createdVersion="8" refreshedVersion="8" recordCount="83" xr:uid="{00000000-000A-0000-FFFF-FFFF00000000}">
  <cacheSource type="worksheet">
    <worksheetSource ref="A4:AQ87" sheet="OptionsData"/>
  </cacheSource>
  <cacheFields count="44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/>
    </cacheField>
    <cacheField name="Div. Yield" numFmtId="165">
      <sharedItems containsSemiMixedTypes="0" containsString="0" containsNumber="1" minValue="5.0000000000000001E-3" maxValue="2.1999999999999999E-2"/>
    </cacheField>
    <cacheField name="Security Type" numFmtId="0">
      <sharedItems/>
    </cacheField>
    <cacheField name="Currency" numFmtId="0">
      <sharedItems/>
    </cacheField>
    <cacheField name="Position" numFmtId="0">
      <sharedItems containsSemiMixedTypes="0" containsString="0" containsNumber="1" containsInteger="1" minValue="-50" maxValue="200"/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/>
    </cacheField>
    <cacheField name="Maturity" numFmtId="164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165">
      <sharedItems containsString="0" containsBlank="1" containsNumber="1" minValue="0" maxValue="0.5752835905302579"/>
    </cacheField>
    <cacheField name="Risk-Free Rate" numFmtId="10">
      <sharedItems containsString="0" containsBlank="1" containsNumber="1" minValue="5.0000000000000001E-3" maxValue="2.5000000000000001E-2"/>
    </cacheField>
    <cacheField name="Security Price" numFmtId="2">
      <sharedItems containsSemiMixedTypes="0" containsString="0" containsNumber="1" minValue="26.825157221083771" maxValue="10012.668785076199"/>
    </cacheField>
    <cacheField name="Total Position Value" numFmtId="2">
      <sharedItems containsSemiMixedTypes="0" containsString="0" containsNumber="1" minValue="-100126.687850762" maxValue="57862.356927246838"/>
    </cacheField>
    <cacheField name="CounterParty" numFmtId="0">
      <sharedItems/>
    </cacheField>
    <cacheField name="Margin" numFmtId="0">
      <sharedItems containsNonDate="0" containsString="0" containsBlank="1"/>
    </cacheField>
    <cacheField name="$Delta (ESP)" numFmtId="1">
      <sharedItems containsSemiMixedTypes="0" containsString="0" containsNumber="1" minValue="-6600.3442889134849" maxValue="10012.668785076199"/>
    </cacheField>
    <cacheField name="$Gamma" numFmtId="1">
      <sharedItems containsSemiMixedTypes="0" containsString="0" containsNumber="1" minValue="0" maxValue="11596.114854726689"/>
    </cacheField>
    <cacheField name="Vega 1%" numFmtId="167">
      <sharedItems containsSemiMixedTypes="0" containsString="0" containsNumber="1" minValue="0" maxValue="31.91491421201853"/>
    </cacheField>
    <cacheField name="Volga" numFmtId="167">
      <sharedItems containsSemiMixedTypes="0" containsString="0" containsNumber="1" minValue="-102.50678772842021" maxValue="2811.2702220084998"/>
    </cacheField>
    <cacheField name="1 Day Theta" numFmtId="167">
      <sharedItems containsSemiMixedTypes="0" containsString="0" containsNumber="1" minValue="-5.1677417728495127" maxValue="0.17437970580814119"/>
    </cacheField>
    <cacheField name="Rho (1%)" numFmtId="2">
      <sharedItems containsSemiMixedTypes="0" containsString="0" containsNumber="1" minValue="-35.893589172409321" maxValue="18.653739106443329"/>
    </cacheField>
    <cacheField name="Total $Delta" numFmtId="168">
      <sharedItems containsSemiMixedTypes="0" containsString="0" containsNumber="1" minValue="-133982.9673705649" maxValue="113181.2112582604"/>
    </cacheField>
    <cacheField name="Total $Gamma" numFmtId="168">
      <sharedItems containsSemiMixedTypes="0" containsString="0" containsNumber="1" minValue="-281046.33999299782" maxValue="309465.24136194499"/>
    </cacheField>
    <cacheField name="Total Vega 1%" numFmtId="1">
      <sharedItems containsSemiMixedTypes="0" containsString="0" containsNumber="1" minValue="-653.65090008513903" maxValue="615.90313018379265"/>
    </cacheField>
    <cacheField name="Total Volga" numFmtId="1">
      <sharedItems containsSemiMixedTypes="0" containsString="0" containsNumber="1" minValue="-56225.404440170008" maxValue="55741.120530211148"/>
    </cacheField>
    <cacheField name="Total 1 Day Theta" numFmtId="1">
      <sharedItems containsSemiMixedTypes="0" containsString="0" containsNumber="1" minValue="-241.68978737601901" maxValue="129.19354432123779"/>
    </cacheField>
    <cacheField name="Total Rho (1%)" numFmtId="1">
      <sharedItems containsSemiMixedTypes="0" containsString="0" containsNumber="1" minValue="-271.73730968219348" maxValue="596.02637249932855"/>
    </cacheField>
    <cacheField name="PnL: Und  -20%" numFmtId="1">
      <sharedItems containsSemiMixedTypes="0" containsString="0" containsNumber="1" minValue="-31300.75534759348" maxValue="36700.960894180069"/>
    </cacheField>
    <cacheField name="PnL: Und -10%" numFmtId="1">
      <sharedItems containsSemiMixedTypes="0" containsString="0" containsNumber="1" minValue="-13478.11318423239" maxValue="13890.15122780443"/>
    </cacheField>
    <cacheField name="PnL: Und -5%" numFmtId="1">
      <sharedItems containsSemiMixedTypes="0" containsString="0" containsNumber="1" minValue="-6191.4555031509508" maxValue="5992.1227831198621"/>
    </cacheField>
    <cacheField name="PnL: Und -2%" numFmtId="1">
      <sharedItems containsSemiMixedTypes="0" containsString="0" containsNumber="1" minValue="-2347.779908069856" maxValue="2566.225542609664"/>
    </cacheField>
    <cacheField name="PnL: Und +2%" numFmtId="1">
      <sharedItems containsSemiMixedTypes="0" containsString="0" containsNumber="1" minValue="-2790.8515554282531" maxValue="2181.1331267288551"/>
    </cacheField>
    <cacheField name="PnL: Und +5%" numFmtId="1">
      <sharedItems containsSemiMixedTypes="0" containsString="0" containsNumber="1" minValue="-7380.4194527066102" maxValue="5152.4577101122759"/>
    </cacheField>
    <cacheField name="PnL: Und +10%" numFmtId="1">
      <sharedItems containsSemiMixedTypes="0" containsString="0" containsNumber="1" minValue="-16013.54852137074" maxValue="9358.3843102093506"/>
    </cacheField>
    <cacheField name="PnL: Und +20%" numFmtId="1">
      <sharedItems containsSemiMixedTypes="0" containsString="0" containsNumber="1" minValue="-36219.881136419601" maxValue="15393.774765995109"/>
    </cacheField>
    <cacheField name="ImpVol  -10%" numFmtId="1">
      <sharedItems containsSemiMixedTypes="0" containsString="0" containsNumber="1" minValue="-5827.1398621008302" maxValue="6548.1493900799251"/>
    </cacheField>
    <cacheField name="ImpVol  -5%" numFmtId="1">
      <sharedItems containsSemiMixedTypes="0" containsString="0" containsNumber="1" minValue="-3003.691001636264" maxValue="3271.311416923345"/>
    </cacheField>
    <cacheField name="ImpVol  -2%" numFmtId="1">
      <sharedItems containsSemiMixedTypes="0" containsString="0" containsNumber="1" minValue="-1220.281804027627" maxValue="1307.804971205451"/>
    </cacheField>
    <cacheField name="ImpVol  -1%" numFmtId="1">
      <sharedItems containsSemiMixedTypes="0" containsString="0" containsNumber="1" minValue="-613.06972698765776" maxValue="653.7778635484301"/>
    </cacheField>
    <cacheField name="ImpVol  +1%" numFmtId="1">
      <sharedItems containsSemiMixedTypes="0" containsString="0" containsNumber="1" minValue="-653.52159727353865" maxValue="618.6451504045408"/>
    </cacheField>
    <cacheField name="ImpVol  +2%" numFmtId="1">
      <sharedItems containsSemiMixedTypes="0" containsString="0" containsNumber="1" minValue="-1306.779914438994" maxValue="1242.599242709161"/>
    </cacheField>
    <cacheField name="ImpVol  +5%" numFmtId="1">
      <sharedItems containsSemiMixedTypes="0" containsString="0" containsNumber="1" minValue="-3264.9051766899452" maxValue="3143.8660996588401"/>
    </cacheField>
    <cacheField name="ImpVol  +10%" numFmtId="1">
      <sharedItems containsSemiMixedTypes="0" containsString="0" containsNumber="1" minValue="-6522.5296362000563" maxValue="6397.8403888588218"/>
    </cacheField>
    <cacheField name="Total Delta" numFmtId="0" formula="'$Delta (ESP)'*Posit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shihiro Shirai" refreshedDate="45602.465719097221" createdVersion="8" refreshedVersion="8" recordCount="83" xr:uid="{00000000-000A-0000-FFFF-FFFF01000000}">
  <cacheSource type="worksheet">
    <worksheetSource ref="A4:AQ87" sheet="OptionsData"/>
  </cacheSource>
  <cacheFields count="43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/>
    </cacheField>
    <cacheField name="Div. Yield" numFmtId="165">
      <sharedItems containsSemiMixedTypes="0" containsString="0" containsNumber="1" minValue="5.0000000000000001E-3" maxValue="2.1999999999999999E-2"/>
    </cacheField>
    <cacheField name="Security Type" numFmtId="0">
      <sharedItems/>
    </cacheField>
    <cacheField name="Currency" numFmtId="0">
      <sharedItems/>
    </cacheField>
    <cacheField name="Position" numFmtId="0">
      <sharedItems containsSemiMixedTypes="0" containsString="0" containsNumber="1" containsInteger="1" minValue="-50" maxValue="200"/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/>
    </cacheField>
    <cacheField name="Maturity" numFmtId="164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165">
      <sharedItems containsString="0" containsBlank="1" containsNumber="1" minValue="0" maxValue="0.5752835905302579"/>
    </cacheField>
    <cacheField name="Risk-Free Rate" numFmtId="10">
      <sharedItems containsString="0" containsBlank="1" containsNumber="1" minValue="5.0000000000000001E-3" maxValue="2.5000000000000001E-2"/>
    </cacheField>
    <cacheField name="Security Price" numFmtId="2">
      <sharedItems containsSemiMixedTypes="0" containsString="0" containsNumber="1" minValue="26.825157221083771" maxValue="10012.668785076199"/>
    </cacheField>
    <cacheField name="Total Position Value" numFmtId="2">
      <sharedItems containsSemiMixedTypes="0" containsString="0" containsNumber="1" minValue="-100126.687850762" maxValue="57862.356927246838"/>
    </cacheField>
    <cacheField name="CounterParty" numFmtId="0">
      <sharedItems/>
    </cacheField>
    <cacheField name="Margin" numFmtId="0">
      <sharedItems containsNonDate="0" containsString="0" containsBlank="1"/>
    </cacheField>
    <cacheField name="$Delta (ESP)" numFmtId="1">
      <sharedItems containsSemiMixedTypes="0" containsString="0" containsNumber="1" minValue="-6600.3442889134849" maxValue="10012.668785076199"/>
    </cacheField>
    <cacheField name="$Gamma" numFmtId="1">
      <sharedItems containsSemiMixedTypes="0" containsString="0" containsNumber="1" minValue="0" maxValue="11596.114854726689"/>
    </cacheField>
    <cacheField name="Vega 1%" numFmtId="167">
      <sharedItems containsSemiMixedTypes="0" containsString="0" containsNumber="1" minValue="0" maxValue="31.91491421201853"/>
    </cacheField>
    <cacheField name="Volga" numFmtId="167">
      <sharedItems containsSemiMixedTypes="0" containsString="0" containsNumber="1" minValue="-102.50678772842021" maxValue="2811.2702220084998"/>
    </cacheField>
    <cacheField name="1 Day Theta" numFmtId="167">
      <sharedItems containsSemiMixedTypes="0" containsString="0" containsNumber="1" minValue="-5.1677417728495127" maxValue="0.17437970580814119"/>
    </cacheField>
    <cacheField name="Rho (1%)" numFmtId="2">
      <sharedItems containsSemiMixedTypes="0" containsString="0" containsNumber="1" minValue="-35.893589172409321" maxValue="18.653739106443329"/>
    </cacheField>
    <cacheField name="Total $Delta" numFmtId="168">
      <sharedItems containsSemiMixedTypes="0" containsString="0" containsNumber="1" minValue="-133982.9673705649" maxValue="113181.2112582604"/>
    </cacheField>
    <cacheField name="Total $Gamma" numFmtId="168">
      <sharedItems containsSemiMixedTypes="0" containsString="0" containsNumber="1" minValue="-281046.33999299782" maxValue="309465.24136194499"/>
    </cacheField>
    <cacheField name="Total Vega 1%" numFmtId="1">
      <sharedItems containsSemiMixedTypes="0" containsString="0" containsNumber="1" minValue="-653.65090008513903" maxValue="615.90313018379265"/>
    </cacheField>
    <cacheField name="Total Volga" numFmtId="1">
      <sharedItems containsSemiMixedTypes="0" containsString="0" containsNumber="1" minValue="-56225.404440170008" maxValue="55741.120530211148"/>
    </cacheField>
    <cacheField name="Total 1 Day Theta" numFmtId="1">
      <sharedItems containsSemiMixedTypes="0" containsString="0" containsNumber="1" minValue="-241.68978737601901" maxValue="129.19354432123779"/>
    </cacheField>
    <cacheField name="Total Rho (1%)" numFmtId="1">
      <sharedItems containsSemiMixedTypes="0" containsString="0" containsNumber="1" minValue="-271.73730968219348" maxValue="596.02637249932855"/>
    </cacheField>
    <cacheField name="PnL: Und  -20%" numFmtId="1">
      <sharedItems containsSemiMixedTypes="0" containsString="0" containsNumber="1" minValue="-31300.75534759348" maxValue="36700.960894180069"/>
    </cacheField>
    <cacheField name="PnL: Und -10%" numFmtId="1">
      <sharedItems containsSemiMixedTypes="0" containsString="0" containsNumber="1" minValue="-13478.11318423239" maxValue="13890.15122780443"/>
    </cacheField>
    <cacheField name="PnL: Und -5%" numFmtId="1">
      <sharedItems containsSemiMixedTypes="0" containsString="0" containsNumber="1" minValue="-6191.4555031509508" maxValue="5992.1227831198621"/>
    </cacheField>
    <cacheField name="PnL: Und -2%" numFmtId="1">
      <sharedItems containsSemiMixedTypes="0" containsString="0" containsNumber="1" minValue="-2347.779908069856" maxValue="2566.225542609664"/>
    </cacheField>
    <cacheField name="PnL: Und +2%" numFmtId="1">
      <sharedItems containsSemiMixedTypes="0" containsString="0" containsNumber="1" minValue="-2790.8515554282531" maxValue="2181.1331267288551"/>
    </cacheField>
    <cacheField name="PnL: Und +5%" numFmtId="1">
      <sharedItems containsSemiMixedTypes="0" containsString="0" containsNumber="1" minValue="-7380.4194527066102" maxValue="5152.4577101122759"/>
    </cacheField>
    <cacheField name="PnL: Und +10%" numFmtId="1">
      <sharedItems containsSemiMixedTypes="0" containsString="0" containsNumber="1" minValue="-16013.54852137074" maxValue="9358.3843102093506"/>
    </cacheField>
    <cacheField name="PnL: Und +20%" numFmtId="1">
      <sharedItems containsSemiMixedTypes="0" containsString="0" containsNumber="1" minValue="-36219.881136419601" maxValue="15393.774765995109"/>
    </cacheField>
    <cacheField name="ImpVol  -10%" numFmtId="1">
      <sharedItems containsSemiMixedTypes="0" containsString="0" containsNumber="1" minValue="-5827.1398621008302" maxValue="6548.1493900799251"/>
    </cacheField>
    <cacheField name="ImpVol  -5%" numFmtId="1">
      <sharedItems containsSemiMixedTypes="0" containsString="0" containsNumber="1" minValue="-3003.691001636264" maxValue="3271.311416923345"/>
    </cacheField>
    <cacheField name="ImpVol  -2%" numFmtId="1">
      <sharedItems containsSemiMixedTypes="0" containsString="0" containsNumber="1" minValue="-1220.281804027627" maxValue="1307.804971205451"/>
    </cacheField>
    <cacheField name="ImpVol  -1%" numFmtId="1">
      <sharedItems containsSemiMixedTypes="0" containsString="0" containsNumber="1" minValue="-613.06972698765776" maxValue="653.7778635484301"/>
    </cacheField>
    <cacheField name="ImpVol  +1%" numFmtId="1">
      <sharedItems containsSemiMixedTypes="0" containsString="0" containsNumber="1" minValue="-653.52159727353865" maxValue="618.6451504045408"/>
    </cacheField>
    <cacheField name="ImpVol  +2%" numFmtId="1">
      <sharedItems containsSemiMixedTypes="0" containsString="0" containsNumber="1" minValue="-1306.779914438994" maxValue="1242.599242709161"/>
    </cacheField>
    <cacheField name="ImpVol  +5%" numFmtId="1">
      <sharedItems containsSemiMixedTypes="0" containsString="0" containsNumber="1" minValue="-3264.9051766899452" maxValue="3143.8660996588401"/>
    </cacheField>
    <cacheField name="ImpVol  +10%" numFmtId="1">
      <sharedItems containsSemiMixedTypes="0" containsString="0" containsNumber="1" minValue="-6522.5296362000563" maxValue="6397.84038885882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83">
  <r>
    <x v="0"/>
    <n v="1100"/>
    <n v="0.02"/>
    <s v="Future"/>
    <s v="USD"/>
    <n v="25"/>
    <x v="0"/>
    <m/>
    <x v="0"/>
    <n v="0"/>
    <m/>
    <n v="1095.908996192194"/>
    <n v="27397.72490480484"/>
    <s v="Exch"/>
    <m/>
    <n v="1095.908996192194"/>
    <n v="0"/>
    <n v="0"/>
    <n v="0"/>
    <n v="0.06004980801053116"/>
    <n v="2.04169347235806"/>
    <n v="27397.72490480484"/>
    <n v="0"/>
    <n v="0"/>
    <n v="0"/>
    <n v="1.501245200263279"/>
    <n v="51.0423368089515"/>
    <n v="-5479.544980960966"/>
    <n v="-2739.772490480485"/>
    <n v="-1369.886245240241"/>
    <n v="-547.9544980960952"/>
    <n v="547.9544980960952"/>
    <n v="1369.886245240241"/>
    <n v="2739.772490480487"/>
    <n v="5479.544980960969"/>
    <n v="0"/>
    <n v="0"/>
    <n v="0"/>
    <n v="0"/>
    <n v="0"/>
    <n v="0"/>
    <n v="0"/>
    <n v="0"/>
  </r>
  <r>
    <x v="0"/>
    <n v="1100"/>
    <n v="0.02"/>
    <s v="Option"/>
    <s v="USD"/>
    <n v="200"/>
    <x v="1"/>
    <s v="Put"/>
    <x v="0"/>
    <n v="0.5325258170485654"/>
    <n v="0.011"/>
    <n v="33.09939147539134"/>
    <n v="6619.878295078269"/>
    <s v="Exch"/>
    <m/>
    <n v="-227.5380701042439"/>
    <n v="682.4660394628205"/>
    <n v="1.354153062934406"/>
    <n v="121.1586845440492"/>
    <n v="-0.534849384089666"/>
    <n v="-0.4855711612990464"/>
    <n v="-45507.61402084878"/>
    <n v="136493.2078925641"/>
    <n v="270.8306125868813"/>
    <n v="24231.73690880983"/>
    <n v="-106.9698768179332"/>
    <n v="-97.11423225980928"/>
    <n v="16176.79289262247"/>
    <n v="6125.478761343703"/>
    <n v="2642.787008386876"/>
    <n v="966.4139176153185"/>
    <n v="-857.196622923783"/>
    <n v="-1959.450815020625"/>
    <n v="-3382.688142442936"/>
    <n v="-5110.629609552717"/>
    <n v="-2563.856827790943"/>
    <n v="-1321.172913516568"/>
    <n v="-536.6502981361805"/>
    <n v="-269.598753840728"/>
    <n v="272.0225053165336"/>
    <n v="546.3522413901956"/>
    <n v="1382.114596725404"/>
    <n v="2812.032049908163"/>
  </r>
  <r>
    <x v="0"/>
    <n v="1100"/>
    <n v="0.02"/>
    <s v="Option"/>
    <s v="USD"/>
    <n v="-50"/>
    <x v="2"/>
    <s v="Put"/>
    <x v="0"/>
    <n v="0.4707931821692227"/>
    <n v="0.011"/>
    <n v="44.90861420603579"/>
    <n v="-2245.43071030179"/>
    <s v="Exch"/>
    <m/>
    <n v="-316.2850594743671"/>
    <n v="920.9464283341795"/>
    <n v="1.61551344509547"/>
    <n v="67.76664176852623"/>
    <n v="-0.5656900432575139"/>
    <n v="-0.672908761925134"/>
    <n v="15814.25297371835"/>
    <n v="-46047.32141670898"/>
    <n v="-80.77567225477351"/>
    <n v="-3388.332088426311"/>
    <n v="28.2845021628757"/>
    <n v="33.6454380962567"/>
    <n v="-5357.9581345447"/>
    <n v="-2094.854023358704"/>
    <n v="-912.7971359862272"/>
    <n v="-335.1590679333299"/>
    <n v="298.3291691245682"/>
    <n v="682.8763344935439"/>
    <n v="1179.231253684982"/>
    <n v="1774.033292378755"/>
    <n v="786.3588997098589"/>
    <n v="399.1440852313644"/>
    <n v="160.8436383434906"/>
    <n v="80.60257330387799"/>
    <n v="-80.94154369867681"/>
    <n v="-162.201168430451"/>
    <n v="-407.7013723889678"/>
    <n v="-821.6623738128931"/>
  </r>
  <r>
    <x v="0"/>
    <n v="1100"/>
    <n v="0.02"/>
    <s v="Option"/>
    <s v="USD"/>
    <n v="25"/>
    <x v="3"/>
    <s v="Put"/>
    <x v="0"/>
    <n v="0.4092008007118651"/>
    <n v="0.011"/>
    <n v="78.1073245832298"/>
    <n v="1952.683114580745"/>
    <s v="GoldMine Sacks"/>
    <m/>
    <n v="-513.5306918316134"/>
    <n v="1233.846388844411"/>
    <n v="1.881237438816394"/>
    <n v="-3.543955931682728"/>
    <n v="-0.576340735876568"/>
    <n v="-1.102229729211215"/>
    <n v="-12838.26729579033"/>
    <n v="30846.15972111029"/>
    <n v="47.03093597040986"/>
    <n v="-88.59889829206821"/>
    <n v="-14.4085183969142"/>
    <n v="-27.55574323028037"/>
    <n v="3781.141604588538"/>
    <n v="1598.865505889609"/>
    <n v="720.396043236255"/>
    <n v="269.2106863984293"/>
    <n v="-244.5571997166923"/>
    <n v="-567.0774191771272"/>
    <n v="-996.3354308569692"/>
    <n v="-1530.561096916069"/>
    <n v="-470.7143982779485"/>
    <n v="-235.2607162577186"/>
    <n v="-94.07929115177467"/>
    <n v="-47.0353283828274"/>
    <n v="47.02646856554225"/>
    <n v="94.04385275494178"/>
    <n v="235.0392649166977"/>
    <n v="469.8291737894309"/>
  </r>
  <r>
    <x v="0"/>
    <n v="1100"/>
    <n v="0.02"/>
    <s v="Option"/>
    <s v="USD"/>
    <n v="-25"/>
    <x v="4"/>
    <s v="Put"/>
    <x v="0"/>
    <n v="0.4459860202131875"/>
    <n v="0.011"/>
    <n v="53.50724334772207"/>
    <n v="-1337.681083693052"/>
    <s v="Exch"/>
    <m/>
    <n v="-374.0122568755106"/>
    <n v="1044.493639050311"/>
    <n v="1.73569370755214"/>
    <n v="34.45450458698229"/>
    <n v="-0.5767972677817605"/>
    <n v="-0.7964746853473922"/>
    <n v="9350.306421887766"/>
    <n v="-26112.34097625777"/>
    <n v="-43.39234268880351"/>
    <n v="-861.3626146745572"/>
    <n v="14.41993169454401"/>
    <n v="19.9118671336848"/>
    <n v="-3046.394863433512"/>
    <n v="-1219.088485945504"/>
    <n v="-535.9668352082821"/>
    <n v="-197.6633499303929"/>
    <n v="176.7833021131239"/>
    <n v="405.7904150438844"/>
    <n v="703.084797023206"/>
    <n v="1060.748591843219"/>
    <n v="428.261684693824"/>
    <n v="215.735429013256"/>
    <n v="86.60346493189195"/>
    <n v="43.34817985887724"/>
    <n v="-43.43436072914955"/>
    <n v="-86.94872468048658"/>
    <n v="-217.9170193411039"/>
    <n v="-437.3420845960339"/>
  </r>
  <r>
    <x v="0"/>
    <n v="1100"/>
    <n v="0.02"/>
    <s v="Option"/>
    <s v="USD"/>
    <n v="25"/>
    <x v="5"/>
    <s v="Call"/>
    <x v="0"/>
    <n v="0.3793639135461981"/>
    <n v="0.011"/>
    <n v="26.99777579765231"/>
    <n v="674.9443949413078"/>
    <s v="Exch"/>
    <m/>
    <n v="293.1240565617219"/>
    <n v="1101.260433568681"/>
    <n v="1.556654017426271"/>
    <n v="199.6653643700281"/>
    <n v="-0.4261780343552777"/>
    <n v="0.4957969066289515"/>
    <n v="7328.101414043047"/>
    <n v="27531.51083921702"/>
    <n v="38.91635043565677"/>
    <n v="4991.634109250702"/>
    <n v="-10.65445085888194"/>
    <n v="12.39492266572379"/>
    <n v="-644.7685825161076"/>
    <n v="-489.3359520678771"/>
    <n v="-301.2067035105147"/>
    <n v="-135.7657617242609"/>
    <n v="157.7672904110528"/>
    <n v="437.9469910669286"/>
    <n v="1025.716423049307"/>
    <n v="2643.161893371674"/>
    <n v="-357.1810748035489"/>
    <n v="-187.5592700871664"/>
    <n v="-76.78740630092804"/>
    <n v="-38.66101910866462"/>
    <n v="39.16041214256296"/>
    <n v="78.78773694845762"/>
    <n v="200.1828130175369"/>
    <n v="409.4542762537003"/>
  </r>
  <r>
    <x v="0"/>
    <n v="1100"/>
    <n v="0.02"/>
    <s v="Option"/>
    <s v="USD"/>
    <n v="25"/>
    <x v="3"/>
    <s v="Call"/>
    <x v="0"/>
    <n v="0.4092008007118651"/>
    <n v="0.011"/>
    <n v="76.26825909707736"/>
    <n v="1906.706477426934"/>
    <s v="Exch"/>
    <m/>
    <n v="582.3783043605804"/>
    <n v="1233.846388844411"/>
    <n v="1.881237438816394"/>
    <n v="-3.543955931682728"/>
    <n v="-0.5493737461631925"/>
    <n v="0.9428899473402247"/>
    <n v="14559.45760901451"/>
    <n v="30846.15972111029"/>
    <n v="47.03093597040986"/>
    <n v="-88.59889829206821"/>
    <n v="-13.73434365407981"/>
    <n v="23.57224868350562"/>
    <n v="-1698.403376372433"/>
    <n v="-1140.90698459088"/>
    <n v="-649.4902020039874"/>
    <n v="-278.7438116976688"/>
    <n v="303.3972983794001"/>
    <n v="802.808826063108"/>
    <n v="1743.437059623517"/>
    <n v="3948.983884044898"/>
    <n v="-470.7143982779513"/>
    <n v="-235.2607162577186"/>
    <n v="-94.07929115177751"/>
    <n v="-47.03532838283024"/>
    <n v="47.02646856554082"/>
    <n v="94.04385275493894"/>
    <n v="235.0392649166963"/>
    <n v="469.8291737894237"/>
  </r>
  <r>
    <x v="0"/>
    <n v="1100"/>
    <n v="0.02"/>
    <s v="Option"/>
    <s v="USD"/>
    <n v="-50"/>
    <x v="4"/>
    <s v="Put"/>
    <x v="0"/>
    <n v="0.4459860202131875"/>
    <n v="0.011"/>
    <n v="53.50724334772207"/>
    <n v="-2675.362167386103"/>
    <s v="Exch"/>
    <m/>
    <n v="-374.0122568755106"/>
    <n v="1044.493639050311"/>
    <n v="1.73569370755214"/>
    <n v="34.45450458698229"/>
    <n v="-0.5767972677817605"/>
    <n v="-0.7964746853473922"/>
    <n v="18700.61284377553"/>
    <n v="-52224.68195251554"/>
    <n v="-86.78468537760702"/>
    <n v="-1722.725229349114"/>
    <n v="28.83986338908803"/>
    <n v="39.82373426736961"/>
    <n v="-6092.789726867025"/>
    <n v="-2438.176971891008"/>
    <n v="-1071.933670416564"/>
    <n v="-395.3266998607859"/>
    <n v="353.5666042262477"/>
    <n v="811.5808300877688"/>
    <n v="1406.169594046412"/>
    <n v="2121.497183686438"/>
    <n v="856.5233693876479"/>
    <n v="431.4708580265119"/>
    <n v="173.2069298637839"/>
    <n v="86.69635971775449"/>
    <n v="-86.86872145829909"/>
    <n v="-173.8974493609732"/>
    <n v="-435.8340386822078"/>
    <n v="-874.6841691920679"/>
  </r>
  <r>
    <x v="0"/>
    <n v="1100"/>
    <n v="0.02"/>
    <s v="Option"/>
    <s v="USD"/>
    <n v="-50"/>
    <x v="4"/>
    <s v="Put"/>
    <x v="0"/>
    <n v="0.4459860202131875"/>
    <n v="0.011"/>
    <n v="53.50724334772207"/>
    <n v="-2675.362167386103"/>
    <s v="GoldMine Sacks"/>
    <m/>
    <n v="-374.0122568755106"/>
    <n v="1044.493639050311"/>
    <n v="1.73569370755214"/>
    <n v="34.45450458698229"/>
    <n v="-0.5767972677817605"/>
    <n v="-0.7964746853473922"/>
    <n v="18700.61284377553"/>
    <n v="-52224.68195251554"/>
    <n v="-86.78468537760702"/>
    <n v="-1722.725229349114"/>
    <n v="28.83986338908803"/>
    <n v="39.82373426736961"/>
    <n v="-6092.789726867025"/>
    <n v="-2438.176971891008"/>
    <n v="-1071.933670416564"/>
    <n v="-395.3266998607859"/>
    <n v="353.5666042262477"/>
    <n v="811.5808300877688"/>
    <n v="1406.169594046412"/>
    <n v="2121.497183686438"/>
    <n v="856.5233693876479"/>
    <n v="431.4708580265119"/>
    <n v="173.2069298637839"/>
    <n v="86.69635971775449"/>
    <n v="-86.86872145829909"/>
    <n v="-173.8974493609732"/>
    <n v="-435.8340386822078"/>
    <n v="-874.6841691920679"/>
  </r>
  <r>
    <x v="0"/>
    <n v="1100"/>
    <n v="0.02"/>
    <s v="Option"/>
    <s v="USD"/>
    <n v="-50"/>
    <x v="3"/>
    <s v="Call"/>
    <x v="0"/>
    <n v="0.4092008007118651"/>
    <n v="0.011"/>
    <n v="76.26825909707736"/>
    <n v="-3813.412954853868"/>
    <s v="GoldMine Sacks"/>
    <m/>
    <n v="582.3783043605804"/>
    <n v="1233.846388844411"/>
    <n v="1.881237438816394"/>
    <n v="-3.543955931682728"/>
    <n v="-0.5493737461631925"/>
    <n v="0.9428899473402247"/>
    <n v="-29118.91521802902"/>
    <n v="-61692.31944222057"/>
    <n v="-94.06187194081971"/>
    <n v="177.1977965841364"/>
    <n v="27.46868730815962"/>
    <n v="-47.14449736701123"/>
    <n v="3396.806752744865"/>
    <n v="2281.813969181761"/>
    <n v="1298.980404007975"/>
    <n v="557.4876233953376"/>
    <n v="-606.7945967588003"/>
    <n v="-1605.617652126216"/>
    <n v="-3486.874119247034"/>
    <n v="-7897.967768089797"/>
    <n v="941.4287965559026"/>
    <n v="470.5214325154373"/>
    <n v="188.158582303555"/>
    <n v="94.07065676566049"/>
    <n v="-94.05293713108165"/>
    <n v="-188.0877055098779"/>
    <n v="-470.0785298333926"/>
    <n v="-939.6583475788475"/>
  </r>
  <r>
    <x v="0"/>
    <n v="1100"/>
    <n v="0.02"/>
    <s v="Option"/>
    <s v="USD"/>
    <n v="30"/>
    <x v="5"/>
    <s v="Call"/>
    <x v="0"/>
    <n v="0.3793639135461981"/>
    <n v="0.011"/>
    <n v="26.99777579765231"/>
    <n v="809.9332739295693"/>
    <s v="Exch"/>
    <m/>
    <n v="293.1240565617219"/>
    <n v="1101.260433568681"/>
    <n v="1.556654017426271"/>
    <n v="199.6653643700281"/>
    <n v="-0.4261780343552777"/>
    <n v="0.4957969066289515"/>
    <n v="8793.721696851657"/>
    <n v="33037.81300706042"/>
    <n v="46.69962052278812"/>
    <n v="5989.960931100843"/>
    <n v="-12.78534103065833"/>
    <n v="14.87390719886855"/>
    <n v="-773.7222990193292"/>
    <n v="-587.2031424814526"/>
    <n v="-361.4480442126177"/>
    <n v="-162.918914069113"/>
    <n v="189.3207484932634"/>
    <n v="525.5363892803143"/>
    <n v="1230.859707659169"/>
    <n v="3171.794272046008"/>
    <n v="-428.6172897642587"/>
    <n v="-225.0711241045997"/>
    <n v="-92.14488756111365"/>
    <n v="-46.39322293039754"/>
    <n v="46.99249457107555"/>
    <n v="94.54528433814914"/>
    <n v="240.2193756210443"/>
    <n v="491.3451315044404"/>
  </r>
  <r>
    <x v="0"/>
    <n v="1100"/>
    <n v="0.02"/>
    <s v="Option"/>
    <s v="USD"/>
    <n v="25"/>
    <x v="1"/>
    <s v="Put"/>
    <x v="0"/>
    <n v="0.5325258170485654"/>
    <n v="0.011"/>
    <n v="33.09939147539134"/>
    <n v="827.4847868847836"/>
    <s v="Exch"/>
    <m/>
    <n v="-227.5380701042439"/>
    <n v="682.4660394628205"/>
    <n v="1.354153062934406"/>
    <n v="121.1586845440492"/>
    <n v="-0.534849384089666"/>
    <n v="-0.4855711612990464"/>
    <n v="-5688.451752606097"/>
    <n v="17061.65098657051"/>
    <n v="33.85382657336016"/>
    <n v="3028.967113601229"/>
    <n v="-13.37123460224165"/>
    <n v="-12.13927903247616"/>
    <n v="2022.099111577808"/>
    <n v="765.6848451679629"/>
    <n v="330.3483760483595"/>
    <n v="120.8017397019148"/>
    <n v="-107.1495778654729"/>
    <n v="-244.9313518775782"/>
    <n v="-422.836017805367"/>
    <n v="-638.8287011940896"/>
    <n v="-320.4821034738678"/>
    <n v="-165.146614189571"/>
    <n v="-67.08128726702256"/>
    <n v="-33.699844230091"/>
    <n v="34.0028131645667"/>
    <n v="68.29403017377444"/>
    <n v="172.7643245906755"/>
    <n v="351.5040062385203"/>
  </r>
  <r>
    <x v="0"/>
    <n v="1100"/>
    <n v="0.02"/>
    <s v="Option"/>
    <s v="USD"/>
    <n v="-20"/>
    <x v="2"/>
    <s v="Call"/>
    <x v="0"/>
    <n v="0.4707931821692227"/>
    <n v="0.011"/>
    <n v="141.8668742709344"/>
    <n v="-2837.337485418689"/>
    <s v="JP Horgan"/>
    <m/>
    <n v="779.6239367178266"/>
    <n v="920.9464283341795"/>
    <n v="1.61551344509547"/>
    <n v="67.76664176852623"/>
    <n v="-0.5357455998973945"/>
    <n v="1.188150143736676"/>
    <n v="-15592.47873435653"/>
    <n v="-18418.92856668359"/>
    <n v="-32.3102689019094"/>
    <n v="-1355.332835370525"/>
    <n v="10.71491199794789"/>
    <n v="-23.76300287473352"/>
    <n v="2240.452730950893"/>
    <n v="1353.876383040908"/>
    <n v="730.7901417976996"/>
    <n v="304.2999713035442"/>
    <n v="-319.0319308270523"/>
    <n v="-822.7584623947746"/>
    <n v="-1720.125490910395"/>
    <n v="-3674.022667817271"/>
    <n v="314.5435598839413"/>
    <n v="159.6576340925458"/>
    <n v="64.33745533739511"/>
    <n v="32.24102932154892"/>
    <n v="-32.37661747947186"/>
    <n v="-64.88046737218156"/>
    <n v="-163.0805489555883"/>
    <n v="-328.6649495251595"/>
  </r>
  <r>
    <x v="0"/>
    <n v="1100"/>
    <n v="0.02"/>
    <s v="Option"/>
    <s v="USD"/>
    <n v="-50"/>
    <x v="3"/>
    <s v="Put"/>
    <x v="1"/>
    <n v="0.3589640083507061"/>
    <n v="0.015"/>
    <n v="104.1323116307589"/>
    <n v="-5206.615581537946"/>
    <s v="Exch"/>
    <m/>
    <n v="-497.7890200400734"/>
    <n v="912.627222179585"/>
    <n v="2.854161742617267"/>
    <n v="-11.0904761000233"/>
    <n v="-0.324722428803233"/>
    <n v="-2.622068266730474"/>
    <n v="24889.45100200367"/>
    <n v="-45631.36110897925"/>
    <n v="-142.7080871308634"/>
    <n v="554.5238050011648"/>
    <n v="16.23612144016165"/>
    <n v="131.1034133365237"/>
    <n v="-6869.145090382327"/>
    <n v="-2961.206435890736"/>
    <n v="-1360.96327795872"/>
    <n v="-516.210428426254"/>
    <n v="479.7226399085986"/>
    <n v="1133.48187174974"/>
    <n v="2059.360377860037"/>
    <n v="3388.936317300343"/>
    <n v="1429.59084194371"/>
    <n v="714.200934882345"/>
    <n v="285.5249946907492"/>
    <n v="142.7355529969901"/>
    <n v="-142.6801010304587"/>
    <n v="-285.3031918020207"/>
    <n v="-712.8148872143839"/>
    <n v="-1424.049962154152"/>
  </r>
  <r>
    <x v="0"/>
    <n v="1100"/>
    <n v="0.02"/>
    <s v="Option"/>
    <s v="USD"/>
    <n v="20"/>
    <x v="4"/>
    <s v="Call"/>
    <x v="1"/>
    <n v="0.3956302003368482"/>
    <n v="0.015"/>
    <n v="144.4322829528683"/>
    <n v="2888.645659057365"/>
    <s v="Exch"/>
    <m/>
    <n v="698.1873200267871"/>
    <n v="780.9680351023568"/>
    <n v="2.691887774755671"/>
    <n v="23.96444496808888"/>
    <n v="-0.3194033928428537"/>
    <n v="2.412247969719263"/>
    <n v="13963.74640053574"/>
    <n v="15619.36070204714"/>
    <n v="53.83775549511342"/>
    <n v="479.2888993617776"/>
    <n v="-6.388067856857075"/>
    <n v="48.24495939438527"/>
    <n v="-2093.085520564954"/>
    <n v="-1228.989917616033"/>
    <n v="-657.6564962816462"/>
    <n v="-272.9297190865964"/>
    <n v="285.4224363563003"/>
    <n v="735.6445370980668"/>
    <n v="1539.608720018275"/>
    <n v="3312.749558392532"/>
    <n v="-534.6993502705072"/>
    <n v="-268.4502653653135"/>
    <n v="-107.5713661272607"/>
    <n v="-53.81277894445702"/>
    <n v="53.86075197398441"/>
    <n v="107.7637891979225"/>
    <n v="269.6764790555335"/>
    <n v="539.9615636123553"/>
  </r>
  <r>
    <x v="0"/>
    <n v="1100"/>
    <n v="0.02"/>
    <s v="Option"/>
    <s v="USD"/>
    <n v="25"/>
    <x v="6"/>
    <s v="Put"/>
    <x v="1"/>
    <n v="0.518386665391483"/>
    <n v="0.015"/>
    <n v="59.06995917705859"/>
    <n v="1476.748979426465"/>
    <s v="GoldMine Sacks"/>
    <m/>
    <n v="-248.8614391100053"/>
    <n v="481.7792967182531"/>
    <n v="2.175886363276067"/>
    <n v="125.8470973836074"/>
    <n v="-0.3556829358286932"/>
    <n v="-1.341399789798442"/>
    <n v="-6221.535977750132"/>
    <n v="12044.48241795633"/>
    <n v="54.39715908190168"/>
    <n v="3146.177434590184"/>
    <n v="-8.892073395717331"/>
    <n v="-33.53499474496105"/>
    <n v="1832.122504903275"/>
    <n v="755.733072092569"/>
    <n v="342.8092182162459"/>
    <n v="129.3512761005914"/>
    <n v="-119.7141744000071"/>
    <n v="-282.5279973918512"/>
    <n v="-513.9253822403596"/>
    <n v="-855.3358481108446"/>
    <n v="-524.5250856996591"/>
    <n v="-267.6285253054559"/>
    <n v="-108.1392499003506"/>
    <n v="-54.23667335487536"/>
    <n v="54.55139075112498"/>
    <n v="109.399316417278"/>
    <n v="275.5565960790534"/>
    <n v="557.0063207553333"/>
  </r>
  <r>
    <x v="0"/>
    <n v="1100"/>
    <n v="0.02"/>
    <s v="Option"/>
    <s v="USD"/>
    <n v="25"/>
    <x v="6"/>
    <s v="Put"/>
    <x v="1"/>
    <n v="0.518386665391483"/>
    <n v="0.015"/>
    <n v="59.06995917705859"/>
    <n v="1476.748979426465"/>
    <s v="Exch"/>
    <m/>
    <n v="-248.8614391100053"/>
    <n v="481.7792967182531"/>
    <n v="2.175886363276067"/>
    <n v="125.8470973836074"/>
    <n v="-0.3556829358286932"/>
    <n v="-1.341399789798442"/>
    <n v="-6221.535977750132"/>
    <n v="12044.48241795633"/>
    <n v="54.39715908190168"/>
    <n v="3146.177434590184"/>
    <n v="-8.892073395717331"/>
    <n v="-33.53499474496105"/>
    <n v="1832.122504903275"/>
    <n v="755.733072092569"/>
    <n v="342.8092182162459"/>
    <n v="129.3512761005914"/>
    <n v="-119.7141744000071"/>
    <n v="-282.5279973918512"/>
    <n v="-513.9253822403596"/>
    <n v="-855.3358481108446"/>
    <n v="-524.5250856996591"/>
    <n v="-267.6285253054559"/>
    <n v="-108.1392499003506"/>
    <n v="-54.23667335487536"/>
    <n v="54.55139075112498"/>
    <n v="109.399316417278"/>
    <n v="275.5565960790534"/>
    <n v="557.0063207553333"/>
  </r>
  <r>
    <x v="0"/>
    <n v="1100"/>
    <n v="0.02"/>
    <s v="Option"/>
    <s v="USD"/>
    <n v="50"/>
    <x v="7"/>
    <s v="Call"/>
    <x v="1"/>
    <n v="0.3296944428996121"/>
    <n v="0.015"/>
    <n v="26.82515722108377"/>
    <n v="1341.257861054189"/>
    <s v="Exch"/>
    <m/>
    <n v="238.2837512717056"/>
    <n v="739.0195870086279"/>
    <n v="2.122764576103181"/>
    <n v="497.8183380890421"/>
    <n v="-0.2157163549014337"/>
    <n v="0.9211483960013389"/>
    <n v="11914.18756358528"/>
    <n v="36950.97935043139"/>
    <n v="106.1382288051591"/>
    <n v="24890.9169044521"/>
    <n v="-10.78581774507169"/>
    <n v="46.05741980006695"/>
    <n v="-1216.45645345771"/>
    <n v="-858.1249723752251"/>
    <n v="-507.5993783379943"/>
    <n v="-223.7649783538032"/>
    <n v="253.3089511763606"/>
    <n v="691.7009400468658"/>
    <n v="1586.877589423244"/>
    <n v="4019.25766443899"/>
    <n v="-902.1957067247811"/>
    <n v="-495.6196696109373"/>
    <n v="-207.0590609869086"/>
    <n v="-104.8643437614757"/>
    <n v="107.3545194143918"/>
    <n v="217.032766679354"/>
    <n v="558.5228083572033"/>
    <n v="1161.776101261526"/>
  </r>
  <r>
    <x v="0"/>
    <n v="1100"/>
    <n v="0.02"/>
    <s v="Option"/>
    <s v="USD"/>
    <n v="50"/>
    <x v="8"/>
    <s v="Call"/>
    <x v="1"/>
    <n v="0.3283072551948273"/>
    <n v="0.015"/>
    <n v="32.22391565597562"/>
    <n v="1611.195782798781"/>
    <s v="Exch"/>
    <m/>
    <n v="275.7217042898087"/>
    <n v="804.3954834359067"/>
    <n v="2.30082908756249"/>
    <n v="411.4997796801517"/>
    <n v="-0.2324392489055518"/>
    <n v="1.060716394322725"/>
    <n v="13786.08521449043"/>
    <n v="40219.77417179534"/>
    <n v="115.0414543781245"/>
    <n v="20574.98898400758"/>
    <n v="-11.62196244527759"/>
    <n v="53.03581971613623"/>
    <n v="-1449.394859138013"/>
    <n v="-1009.969549424164"/>
    <n v="-592.6092273698487"/>
    <n v="-259.8660413947698"/>
    <n v="292.0214183990808"/>
    <n v="792.9135704904397"/>
    <n v="1801.876876368739"/>
    <n v="4480.487862416514"/>
    <n v="-1014.667844685599"/>
    <n v="-545.8430657847075"/>
    <n v="-225.750155181963"/>
    <n v="-113.9860875823075"/>
    <n v="116.0447255792079"/>
    <n v="233.99838837842"/>
    <n v="597.9961105730424"/>
    <n v="1232.014604139953"/>
  </r>
  <r>
    <x v="0"/>
    <n v="1100"/>
    <n v="0.02"/>
    <s v="Option"/>
    <s v="USD"/>
    <n v="-30"/>
    <x v="5"/>
    <s v="Call"/>
    <x v="1"/>
    <n v="0.3293235249564326"/>
    <n v="0.015"/>
    <n v="47.13379188436858"/>
    <n v="-1414.013756531057"/>
    <s v="Exch"/>
    <m/>
    <n v="366.6604611015215"/>
    <n v="915.1851157003123"/>
    <n v="2.625826089760213"/>
    <n v="215.7513989987382"/>
    <n v="-0.2649730487494419"/>
    <n v="1.391910696041844"/>
    <n v="-10999.81383304565"/>
    <n v="-27455.55347100937"/>
    <n v="-78.77478269280641"/>
    <n v="-6472.541969962146"/>
    <n v="7.949191462483257"/>
    <n v="-41.75732088125533"/>
    <n v="1241.98477214733"/>
    <n v="838.834599991852"/>
    <n v="482.7349908729559"/>
    <n v="209.0910006026775"/>
    <n v="-231.0399214405555"/>
    <n v="-619.4091397713123"/>
    <n v="-1378.440421021603"/>
    <n v="-3295.603153168805"/>
    <n v="742.544968444862"/>
    <n v="384.4157662065743"/>
    <n v="156.1747550395495"/>
    <n v="78.4413872996123"/>
    <n v="-79.08914013457888"/>
    <n v="-158.7717649642673"/>
    <n v="-400.9134785338273"/>
    <n v="-812.5775965364943"/>
  </r>
  <r>
    <x v="0"/>
    <n v="1100"/>
    <n v="0.02"/>
    <s v="Option"/>
    <s v="USD"/>
    <n v="-30"/>
    <x v="2"/>
    <s v="Put"/>
    <x v="1"/>
    <n v="0.4203843287663162"/>
    <n v="0.015"/>
    <n v="73.27116137152552"/>
    <n v="-2198.134841145766"/>
    <s v="JP Horgan"/>
    <m/>
    <n v="-347.7427902540462"/>
    <n v="701.7163349929115"/>
    <n v="2.570054658892404"/>
    <n v="55.64401506341058"/>
    <n v="-0.3415042495413246"/>
    <n v="-1.83400598105386"/>
    <n v="10432.28370762139"/>
    <n v="-21051.49004978735"/>
    <n v="-77.10163976677212"/>
    <n v="-1669.320451902317"/>
    <n v="10.24512748623974"/>
    <n v="55.0201794316158"/>
    <n v="-3058.696018023709"/>
    <n v="-1271.764461159105"/>
    <n v="-576.5640965823582"/>
    <n v="-217.2167013400821"/>
    <n v="200.377209100613"/>
    <n v="471.3739110269267"/>
    <n v="851.8595272876132"/>
    <n v="1395.469843059885"/>
    <n v="759.5009340264369"/>
    <n v="383.0735432906317"/>
    <n v="153.8486456498669"/>
    <n v="77.01563439968879"/>
    <n v="-77.18267273036247"/>
    <n v="-154.518076935542"/>
    <n v="-387.3140736268624"/>
    <n v="-777.3117900767232"/>
  </r>
  <r>
    <x v="0"/>
    <n v="1100"/>
    <n v="0.02"/>
    <s v="Option"/>
    <s v="USD"/>
    <n v="-50"/>
    <x v="3"/>
    <s v="Call"/>
    <x v="1"/>
    <n v="0.3589640083507061"/>
    <n v="0.015"/>
    <n v="101.7546158702011"/>
    <n v="-5087.730793510053"/>
    <s v="Exch"/>
    <m/>
    <n v="592.6690449100837"/>
    <n v="912.627222179585"/>
    <n v="2.854161742617267"/>
    <n v="-11.0904761000233"/>
    <n v="-0.3098823606159936"/>
    <n v="2.138503951160037"/>
    <n v="-29633.45224550418"/>
    <n v="-45631.36110897925"/>
    <n v="-142.7080871308634"/>
    <n v="554.5238050011648"/>
    <n v="15.49411803079968"/>
    <n v="-106.9251975580019"/>
    <n v="4035.43555911924"/>
    <n v="2491.083888860046"/>
    <n v="1365.181884416671"/>
    <n v="574.2476365238957"/>
    <n v="-610.7354250415653"/>
    <n v="-1592.66329062566"/>
    <n v="-3392.929946890757"/>
    <n v="-7515.644332201231"/>
    <n v="1429.59084194371"/>
    <n v="714.2009348823393"/>
    <n v="285.5249946907435"/>
    <n v="142.7355529969873"/>
    <n v="-142.6801010304644"/>
    <n v="-285.3031918020207"/>
    <n v="-712.8148872143839"/>
    <n v="-1424.049962154154"/>
  </r>
  <r>
    <x v="0"/>
    <n v="1100"/>
    <n v="0.02"/>
    <s v="Option"/>
    <s v="USD"/>
    <n v="-20"/>
    <x v="4"/>
    <s v="Put"/>
    <x v="1"/>
    <n v="0.3956302003368482"/>
    <n v="0.015"/>
    <n v="81.23983307078328"/>
    <n v="-1624.796661415666"/>
    <s v="Exch"/>
    <m/>
    <n v="-392.2707449233698"/>
    <n v="780.9680351023568"/>
    <n v="2.691887774755671"/>
    <n v="23.96444496808888"/>
    <n v="-0.3369381245496539"/>
    <n v="-2.062689915097818"/>
    <n v="7845.414898467396"/>
    <n v="-15619.36070204714"/>
    <n v="-53.83775549511342"/>
    <n v="-479.2888993617776"/>
    <n v="6.738762490993078"/>
    <n v="41.25379830195635"/>
    <n v="-2268.746739235675"/>
    <n v="-951.9262122842804"/>
    <n v="-432.8015686685114"/>
    <n v="-163.2535068934658"/>
    <n v="150.760789623763"/>
    <n v="354.8135278520897"/>
    <n v="641.3074098820425"/>
    <n v="1049.082701408095"/>
    <n v="534.6993502705061"/>
    <n v="268.4502653653124"/>
    <n v="107.5713661272596"/>
    <n v="53.81277894445361"/>
    <n v="-53.86075197398782"/>
    <n v="-107.7637891979214"/>
    <n v="-269.6764790555346"/>
    <n v="-539.9615636123565"/>
  </r>
  <r>
    <x v="0"/>
    <n v="1100"/>
    <n v="0.02"/>
    <s v="Option"/>
    <s v="USD"/>
    <n v="-20"/>
    <x v="4"/>
    <s v="Call"/>
    <x v="1"/>
    <n v="0.3956302003368482"/>
    <n v="0.015"/>
    <n v="144.4322829528683"/>
    <n v="-2888.645659057365"/>
    <s v="Darklays Capital"/>
    <m/>
    <n v="698.1873200267871"/>
    <n v="780.9680351023568"/>
    <n v="2.691887774755671"/>
    <n v="23.96444496808888"/>
    <n v="-0.3194033928428537"/>
    <n v="2.412247969719263"/>
    <n v="-13963.74640053574"/>
    <n v="-15619.36070204714"/>
    <n v="-53.83775549511342"/>
    <n v="-479.2888993617776"/>
    <n v="6.388067856857075"/>
    <n v="-48.24495939438527"/>
    <n v="2093.085520564954"/>
    <n v="1228.989917616033"/>
    <n v="657.6564962816462"/>
    <n v="272.9297190865964"/>
    <n v="-285.4224363563003"/>
    <n v="-735.6445370980668"/>
    <n v="-1539.608720018275"/>
    <n v="-3312.749558392532"/>
    <n v="534.6993502705072"/>
    <n v="268.4502653653135"/>
    <n v="107.5713661272607"/>
    <n v="53.81277894445702"/>
    <n v="-53.86075197398441"/>
    <n v="-107.7637891979225"/>
    <n v="-269.6764790555335"/>
    <n v="-539.9615636123553"/>
  </r>
  <r>
    <x v="0"/>
    <n v="1100"/>
    <n v="0.02"/>
    <s v="Option"/>
    <s v="USD"/>
    <n v="-50"/>
    <x v="3"/>
    <s v="Put"/>
    <x v="2"/>
    <n v="0.3291839462239354"/>
    <n v="0.0175"/>
    <n v="118.5968056767892"/>
    <n v="-5929.840283839462"/>
    <s v="Exch"/>
    <m/>
    <n v="-486.4318249906513"/>
    <n v="787.7625780743069"/>
    <n v="3.55231224846632"/>
    <n v="-19.98072828636891"/>
    <n v="-0.2315184094452756"/>
    <n v="-4.144031716900275"/>
    <n v="24321.59124953256"/>
    <n v="-39388.12890371535"/>
    <n v="-177.615612423316"/>
    <n v="999.0364143184456"/>
    <n v="11.57592047226378"/>
    <n v="207.2015858450138"/>
    <n v="-6525.70431757776"/>
    <n v="-2841.635806580166"/>
    <n v="-1316.754420752937"/>
    <n v="-502.3368671131692"/>
    <n v="470.8366744135873"/>
    <n v="1120.21675289559"/>
    <n v="2060.332364450534"/>
    <n v="3478.405798412035"/>
    <n v="1780.647110797335"/>
    <n v="889.26405955456"/>
    <n v="355.4270209432161"/>
    <n v="177.6650631639541"/>
    <n v="-177.5651601471736"/>
    <n v="-355.0274163807302"/>
    <n v="-886.7668617252008"/>
    <n v="-1770.663191997198"/>
  </r>
  <r>
    <x v="0"/>
    <n v="1100"/>
    <n v="0.02"/>
    <s v="Option"/>
    <s v="USD"/>
    <n v="-50"/>
    <x v="5"/>
    <s v="Call"/>
    <x v="2"/>
    <n v="0.2993610228223439"/>
    <n v="0.0175"/>
    <n v="59.28957240883699"/>
    <n v="-2964.47862044185"/>
    <s v="JP Horgan"/>
    <m/>
    <n v="397.9413408150983"/>
    <n v="824.3930631583627"/>
    <n v="3.38070069307853"/>
    <n v="226.1593052042279"/>
    <n v="-0.1968417271132874"/>
    <n v="2.319532660316858"/>
    <n v="-19897.06704075492"/>
    <n v="-41219.65315791813"/>
    <n v="-169.0350346539265"/>
    <n v="-11307.9652602114"/>
    <n v="9.842086355664371"/>
    <n v="-115.9766330158429"/>
    <n v="2463.090691505085"/>
    <n v="1588.449839863782"/>
    <n v="892.8069765487095"/>
    <n v="381.5037560406864"/>
    <n v="-414.4613240812589"/>
    <n v="-1098.198219947363"/>
    <n v="-2401.652078964844"/>
    <n v="-5589.222615734007"/>
    <n v="1606.119245635236"/>
    <n v="828.1731873976696"/>
    <n v="335.6422224950109"/>
    <n v="168.4494862761881"/>
    <n v="-169.5814376060753"/>
    <n v="-340.1839323436064"/>
    <n v="-857.1797235392239"/>
    <n v="-1731.782237215904"/>
  </r>
  <r>
    <x v="0"/>
    <n v="1100"/>
    <n v="0.02"/>
    <s v="Option"/>
    <s v="USD"/>
    <n v="-20"/>
    <x v="2"/>
    <s v="Put"/>
    <x v="2"/>
    <n v="0.3907641131259142"/>
    <n v="0.0175"/>
    <n v="90.60869720669444"/>
    <n v="-1812.173944133889"/>
    <s v="Exch"/>
    <m/>
    <n v="-354.8782990306853"/>
    <n v="605.3373617794392"/>
    <n v="3.240330374215386"/>
    <n v="46.30208490589875"/>
    <n v="-0.2513273856582791"/>
    <n v="-3.051280796146437"/>
    <n v="7097.565980613706"/>
    <n v="-12106.74723558878"/>
    <n v="-64.80660748430772"/>
    <n v="-926.0416981179749"/>
    <n v="5.026547713165581"/>
    <n v="61.02561592292874"/>
    <n v="-1973.630937165968"/>
    <n v="-840.16339896624"/>
    <n v="-386.3350047288577"/>
    <n v="-146.8707489605129"/>
    <n v="137.1858325647918"/>
    <n v="325.8204049094945"/>
    <n v="598.3534145228987"/>
    <n v="1011.443515789493"/>
    <n v="640.9714935427087"/>
    <n v="322.6074181763943"/>
    <n v="129.4120709640549"/>
    <n v="64.75835920942131"/>
    <n v="-64.85104836421783"/>
    <n v="-129.7838498337558"/>
    <n v="-324.9764069141054"/>
    <n v="-651.1348163646767"/>
  </r>
  <r>
    <x v="0"/>
    <n v="1100"/>
    <n v="0.02"/>
    <s v="Option"/>
    <s v="USD"/>
    <n v="-50"/>
    <x v="9"/>
    <s v="Put"/>
    <x v="2"/>
    <n v="0.3454428185513545"/>
    <n v="0.0175"/>
    <n v="106.820935282054"/>
    <n v="-5341.0467641027"/>
    <s v="Exch"/>
    <m/>
    <n v="-438.1477697440739"/>
    <n v="734.9349672013475"/>
    <n v="3.477780911260011"/>
    <n v="-10.3924133744422"/>
    <n v="-0.2381543484878807"/>
    <n v="-3.732662363192657"/>
    <n v="21907.38848720369"/>
    <n v="-36746.74836006737"/>
    <n v="-173.8890455630005"/>
    <n v="519.6206687221102"/>
    <n v="11.90771742439403"/>
    <n v="186.6331181596328"/>
    <n v="-5981.371818301588"/>
    <n v="-2578.221801623144"/>
    <n v="-1189.921888519748"/>
    <n v="-453.024346974945"/>
    <n v="423.6337661492797"/>
    <n v="1006.45512309998"/>
    <n v="1847.594600745825"/>
    <n v="3112.5749136998"/>
    <n v="1739.955877563457"/>
    <n v="869.9252164150153"/>
    <n v="347.8718060559032"/>
    <n v="173.9137740233616"/>
    <n v="-173.861855194869"/>
    <n v="-347.6646513106203"/>
    <n v="-868.6537320057056"/>
    <n v="-1735.230331154554"/>
  </r>
  <r>
    <x v="0"/>
    <n v="1100"/>
    <n v="0.02"/>
    <s v="Option"/>
    <s v="USD"/>
    <n v="-50"/>
    <x v="9"/>
    <s v="Call"/>
    <x v="2"/>
    <n v="0.3454428185513545"/>
    <n v="0.0175"/>
    <n v="137.5682215129017"/>
    <n v="-6878.411075645085"/>
    <s v="Darklays Capital"/>
    <m/>
    <n v="646.8864762986551"/>
    <n v="734.9349672013475"/>
    <n v="3.477780911260011"/>
    <n v="-10.3924133744422"/>
    <n v="-0.2292484221203556"/>
    <n v="3.488481197162695"/>
    <n v="-32344.32381493276"/>
    <n v="-36746.74836006737"/>
    <n v="-173.8890455630005"/>
    <n v="519.6206687221102"/>
    <n v="11.46242110601778"/>
    <n v="-174.4240598581347"/>
    <n v="4868.970642125707"/>
    <n v="2846.9494285905"/>
    <n v="1522.663726587089"/>
    <n v="632.0098990677849"/>
    <n v="-661.4004798934332"/>
    <n v="-1706.130492006838"/>
    <n v="-3577.576629467819"/>
    <n v="-7737.767546727491"/>
    <n v="1739.95587756346"/>
    <n v="869.9252164150153"/>
    <n v="347.8718060559117"/>
    <n v="173.9137740233673"/>
    <n v="-173.8618551948605"/>
    <n v="-347.6646513106147"/>
    <n v="-868.6537320056999"/>
    <n v="-1735.230331154548"/>
  </r>
  <r>
    <x v="1"/>
    <n v="2905"/>
    <n v="0.022"/>
    <s v="Future"/>
    <s v="EUR"/>
    <n v="20"/>
    <x v="0"/>
    <m/>
    <x v="0"/>
    <n v="0"/>
    <m/>
    <n v="2893.117846362342"/>
    <n v="57862.35692724684"/>
    <s v="Exch"/>
    <m/>
    <n v="2893.117846362342"/>
    <n v="0"/>
    <n v="0"/>
    <n v="0"/>
    <n v="0.1743797058081412"/>
    <n v="5.389918179524364"/>
    <n v="57862.35692724684"/>
    <n v="0"/>
    <n v="0"/>
    <n v="0"/>
    <n v="3.487594116162823"/>
    <n v="107.7983635904873"/>
    <n v="-11572.47138544936"/>
    <n v="-5786.235692724676"/>
    <n v="-2893.117846362338"/>
    <n v="-1157.247138544935"/>
    <n v="1157.247138544935"/>
    <n v="2893.117846362347"/>
    <n v="5786.235692724695"/>
    <n v="11572.47138544937"/>
    <n v="0"/>
    <n v="0"/>
    <n v="0"/>
    <n v="0"/>
    <n v="0"/>
    <n v="0"/>
    <n v="0"/>
    <n v="0"/>
  </r>
  <r>
    <x v="1"/>
    <n v="2905"/>
    <n v="0.022"/>
    <s v="Option"/>
    <s v="EUR"/>
    <n v="-20"/>
    <x v="10"/>
    <s v="Call"/>
    <x v="0"/>
    <n v="0.397567985636796"/>
    <n v="0.022"/>
    <n v="160.4105578748736"/>
    <n v="-3208.211157497472"/>
    <s v="GoldMine Sacks"/>
    <m/>
    <n v="1347.236298191099"/>
    <n v="3350.539462329616"/>
    <n v="4.963318974727593"/>
    <n v="27.72604604255801"/>
    <n v="-1.441255482293677"/>
    <n v="2.211072612095981"/>
    <n v="-26944.72596382198"/>
    <n v="-67010.78924659231"/>
    <n v="-99.26637949455186"/>
    <n v="-554.5209208511602"/>
    <n v="28.82510964587355"/>
    <n v="-44.22145224191962"/>
    <n v="2927.695736583274"/>
    <n v="2032.869872665194"/>
    <n v="1179.522197987976"/>
    <n v="512.0314114686335"/>
    <n v="-565.5807567316606"/>
    <n v="-1512.273612013964"/>
    <n v="-3336.998095872209"/>
    <n v="-7756.86913022002"/>
    <n v="988.5859659770995"/>
    <n v="495.4973300766414"/>
    <n v="198.4134650955411"/>
    <n v="99.23762947783416"/>
    <n v="-99.29312746881351"/>
    <n v="-198.6360091977076"/>
    <n v="-496.9127470145531"/>
    <n v="-994.6197647724603"/>
  </r>
  <r>
    <x v="1"/>
    <n v="2905"/>
    <n v="0.022"/>
    <s v="Option"/>
    <s v="EUR"/>
    <n v="-30"/>
    <x v="11"/>
    <s v="Call"/>
    <x v="0"/>
    <n v="0.4264333531544322"/>
    <n v="0.022"/>
    <n v="255.1220257112864"/>
    <n v="-7653.660771338591"/>
    <s v="Exch"/>
    <m/>
    <n v="1740.204193519769"/>
    <n v="3033.328224226396"/>
    <n v="4.81966236490352"/>
    <n v="21.27112885541131"/>
    <n v="-1.495846887407531"/>
    <n v="2.766728422218543"/>
    <n v="-52206.12580559307"/>
    <n v="-90999.84672679189"/>
    <n v="-144.5898709471056"/>
    <n v="-638.1338656623392"/>
    <n v="44.87540662222595"/>
    <n v="-83.00185266655629"/>
    <n v="6585.614985335131"/>
    <n v="4257.927679540016"/>
    <n v="2374.85287302186"/>
    <n v="1007.16799494327"/>
    <n v="-1079.916015790714"/>
    <n v="-2827.827835725684"/>
    <n v="-6045.634749165251"/>
    <n v="-13359.46480375516"/>
    <n v="1441.189870083915"/>
    <n v="721.9849284729207"/>
    <n v="289.042155095583"/>
    <n v="144.556746131741"/>
    <n v="-144.6206096378251"/>
    <n v="-289.2982118398072"/>
    <n v="-723.6119940768708"/>
    <n v="-1448.100336108505"/>
  </r>
  <r>
    <x v="1"/>
    <n v="2905"/>
    <n v="0.022"/>
    <s v="Option"/>
    <s v="EUR"/>
    <n v="-20"/>
    <x v="10"/>
    <s v="Put"/>
    <x v="0"/>
    <n v="0.397567985636796"/>
    <n v="0.022"/>
    <n v="247.0547068020765"/>
    <n v="-4941.094136041529"/>
    <s v="Exch"/>
    <m/>
    <n v="-1545.881548171243"/>
    <n v="3350.539462329616"/>
    <n v="4.963318974727593"/>
    <n v="27.72604604255801"/>
    <n v="-1.436033095235051"/>
    <n v="-3.340264803785911"/>
    <n v="30917.63096342487"/>
    <n v="-67010.78924659231"/>
    <n v="-99.26637949455186"/>
    <n v="-554.5209208511602"/>
    <n v="28.72066190470102"/>
    <n v="66.80529607571822"/>
    <n v="-8644.775648866089"/>
    <n v="-3753.365820059475"/>
    <n v="-1713.595648374362"/>
    <n v="-645.2157270763018"/>
    <n v="591.6663818132702"/>
    <n v="1380.844234348383"/>
    <n v="2449.237596852481"/>
    <n v="3815.602255229351"/>
    <n v="988.585965977104"/>
    <n v="495.4973300766369"/>
    <n v="198.4134650955411"/>
    <n v="99.23762947783416"/>
    <n v="-99.29312746881806"/>
    <n v="-198.6360091977031"/>
    <n v="-496.9127470145486"/>
    <n v="-994.6197647724603"/>
  </r>
  <r>
    <x v="1"/>
    <n v="2905"/>
    <n v="0.022"/>
    <s v="Option"/>
    <s v="EUR"/>
    <n v="-25"/>
    <x v="12"/>
    <s v="Put"/>
    <x v="0"/>
    <n v="0.5013932770789301"/>
    <n v="0.022"/>
    <n v="100.1375408559664"/>
    <n v="-2503.438521399161"/>
    <s v="Exch"/>
    <m/>
    <n v="-700.3747097197472"/>
    <n v="2087.726889121861"/>
    <n v="3.900301994937946"/>
    <n v="262.9725057499982"/>
    <n v="-1.431894605870224"/>
    <n v="-1.491365288743796"/>
    <n v="17509.36774299368"/>
    <n v="-52193.17222804653"/>
    <n v="-97.50754987344864"/>
    <n v="-6574.312643749956"/>
    <n v="35.79736514675561"/>
    <n v="37.28413221859489"/>
    <n v="-6115.086433490606"/>
    <n v="-2344.89092809969"/>
    <n v="-1015.120463146039"/>
    <n v="-371.653737522027"/>
    <n v="329.8981227591241"/>
    <n v="754.1193001636941"/>
    <n v="1300.840423119547"/>
    <n v="1958.590979004732"/>
    <n v="934.8755696608663"/>
    <n v="478.4857192418002"/>
    <n v="193.6495937856506"/>
    <n v="97.17261070999825"/>
    <n v="-97.83024571663645"/>
    <n v="-196.2825810187155"/>
    <n v="-495.0495600311541"/>
    <n v="-1002.704041037279"/>
  </r>
  <r>
    <x v="1"/>
    <n v="2905"/>
    <n v="0.022"/>
    <s v="Option"/>
    <s v="EUR"/>
    <n v="-50"/>
    <x v="13"/>
    <s v="Call"/>
    <x v="0"/>
    <n v="0.3887081478333821"/>
    <n v="0.022"/>
    <n v="124.3908207226003"/>
    <n v="-6219.541036130016"/>
    <s v="GoldMine Sacks"/>
    <m/>
    <n v="1146.659231721513"/>
    <n v="3322.874459647646"/>
    <n v="4.812642718635019"/>
    <n v="140.1261236857652"/>
    <n v="-1.368027057362403"/>
    <n v="1.904500053367837"/>
    <n v="-57332.96158607565"/>
    <n v="-166143.7229823823"/>
    <n v="-240.632135931751"/>
    <n v="-7006.306184288262"/>
    <n v="68.40135286812016"/>
    <n v="-95.22500266839185"/>
    <n v="5788.216150180805"/>
    <n v="4152.22032990657"/>
    <n v="2458.318665169549"/>
    <n v="1080.532296818438"/>
    <n v="-1213.289010458169"/>
    <n v="-3282.899436908138"/>
    <n v="-7379.36679344221"/>
    <n v="-17692.62207650464"/>
    <n v="2358.906887675869"/>
    <n v="1193.065355131722"/>
    <n v="479.7838691563925"/>
    <n v="240.2721703862596"/>
    <n v="-240.9732516721022"/>
    <n v="-482.5936147436948"/>
    <n v="-1210.866718132553"/>
    <n v="-2433.747030524552"/>
  </r>
  <r>
    <x v="1"/>
    <n v="2905"/>
    <n v="0.022"/>
    <s v="Option"/>
    <s v="EUR"/>
    <n v="25"/>
    <x v="14"/>
    <s v="Put"/>
    <x v="0"/>
    <n v="0.5342736088202618"/>
    <n v="0.022"/>
    <n v="86.78469857985476"/>
    <n v="2169.617464496369"/>
    <s v="Exch"/>
    <m/>
    <n v="-595.8927939058174"/>
    <n v="1787.273075893082"/>
    <n v="3.55795686914623"/>
    <n v="322.3097933027373"/>
    <n v="-1.392506241827222"/>
    <n v="-1.271837520247279"/>
    <n v="-14897.31984764543"/>
    <n v="44681.82689732705"/>
    <n v="88.94892172865573"/>
    <n v="8057.744832568432"/>
    <n v="-34.81265604568055"/>
    <n v="-31.79593800618198"/>
    <n v="5299.320915809787"/>
    <n v="2005.542428916405"/>
    <n v="865.1704141876166"/>
    <n v="316.3657389055288"/>
    <n v="-280.6125266457258"/>
    <n v="-641.4642834326103"/>
    <n v="-1107.479102628028"/>
    <n v="-1673.605358021472"/>
    <n v="-841.5168011573357"/>
    <n v="-433.784145703504"/>
    <n v="-176.2319358617532"/>
    <n v="-88.53933811197976"/>
    <n v="89.34530194964623"/>
    <n v="179.4580647106898"/>
    <n v="454.0472422921994"/>
    <n v="924.0130907724449"/>
  </r>
  <r>
    <x v="1"/>
    <n v="2905"/>
    <n v="0.022"/>
    <s v="Option"/>
    <s v="EUR"/>
    <n v="-20"/>
    <x v="10"/>
    <s v="Put"/>
    <x v="0"/>
    <n v="0.397567985636796"/>
    <n v="0.022"/>
    <n v="247.0547068020765"/>
    <n v="-4941.094136041529"/>
    <s v="Exch"/>
    <m/>
    <n v="-1545.881548171243"/>
    <n v="3350.539462329616"/>
    <n v="4.963318974727593"/>
    <n v="27.72604604255801"/>
    <n v="-1.436033095235051"/>
    <n v="-3.340264803785911"/>
    <n v="30917.63096342487"/>
    <n v="-67010.78924659231"/>
    <n v="-99.26637949455186"/>
    <n v="-554.5209208511602"/>
    <n v="28.72066190470102"/>
    <n v="66.80529607571822"/>
    <n v="-8644.775648866089"/>
    <n v="-3753.365820059475"/>
    <n v="-1713.595648374362"/>
    <n v="-645.2157270763018"/>
    <n v="591.6663818132702"/>
    <n v="1380.844234348383"/>
    <n v="2449.237596852481"/>
    <n v="3815.602255229351"/>
    <n v="988.585965977104"/>
    <n v="495.4973300766369"/>
    <n v="198.4134650955411"/>
    <n v="99.23762947783416"/>
    <n v="-99.29312746881806"/>
    <n v="-198.6360091977031"/>
    <n v="-496.9127470145486"/>
    <n v="-994.6197647724603"/>
  </r>
  <r>
    <x v="1"/>
    <n v="2905"/>
    <n v="0.022"/>
    <s v="Option"/>
    <s v="EUR"/>
    <n v="-10"/>
    <x v="12"/>
    <s v="Put"/>
    <x v="0"/>
    <n v="0.5013932770789301"/>
    <n v="0.022"/>
    <n v="100.1375408559664"/>
    <n v="-1001.375408559664"/>
    <s v="UBS"/>
    <m/>
    <n v="-700.3747097197472"/>
    <n v="2087.726889121861"/>
    <n v="3.900301994937946"/>
    <n v="262.9725057499982"/>
    <n v="-1.431894605870224"/>
    <n v="-1.491365288743796"/>
    <n v="7003.747097197473"/>
    <n v="-20877.26889121861"/>
    <n v="-39.00301994937946"/>
    <n v="-2629.725057499982"/>
    <n v="14.31894605870225"/>
    <n v="14.91365288743796"/>
    <n v="-2446.034573396242"/>
    <n v="-937.956371239876"/>
    <n v="-406.0481852584155"/>
    <n v="-148.6614950088108"/>
    <n v="131.9592491036497"/>
    <n v="301.6477200654776"/>
    <n v="520.3361692478188"/>
    <n v="783.436391601893"/>
    <n v="373.9502278643465"/>
    <n v="191.3942876967201"/>
    <n v="77.45983751426024"/>
    <n v="38.8690442839993"/>
    <n v="-39.13209828665458"/>
    <n v="-78.51303240748621"/>
    <n v="-198.0198240124616"/>
    <n v="-401.0816164149117"/>
  </r>
  <r>
    <x v="1"/>
    <n v="2905"/>
    <n v="0.022"/>
    <s v="Option"/>
    <s v="EUR"/>
    <n v="-10"/>
    <x v="13"/>
    <s v="Call"/>
    <x v="0"/>
    <n v="0.3887081478333821"/>
    <n v="0.022"/>
    <n v="124.3908207226003"/>
    <n v="-1243.908207226003"/>
    <s v="Exch"/>
    <m/>
    <n v="1146.659231721513"/>
    <n v="3322.874459647646"/>
    <n v="4.812642718635019"/>
    <n v="140.1261236857652"/>
    <n v="-1.368027057362403"/>
    <n v="1.904500053367837"/>
    <n v="-11466.59231721513"/>
    <n v="-33228.74459647646"/>
    <n v="-48.12642718635019"/>
    <n v="-1401.261236857652"/>
    <n v="13.68027057362403"/>
    <n v="-19.04500053367837"/>
    <n v="1157.643230036161"/>
    <n v="830.4440659813139"/>
    <n v="491.6637330339097"/>
    <n v="216.1064593636877"/>
    <n v="-242.6578020916338"/>
    <n v="-656.5798873816277"/>
    <n v="-1475.873358688442"/>
    <n v="-3538.524415300927"/>
    <n v="471.7813775351738"/>
    <n v="238.6130710263444"/>
    <n v="95.9567738312785"/>
    <n v="48.05443407725193"/>
    <n v="-48.19465033442043"/>
    <n v="-96.51872294873897"/>
    <n v="-242.1733436265106"/>
    <n v="-486.7494061049103"/>
  </r>
  <r>
    <x v="1"/>
    <n v="2905"/>
    <n v="0.022"/>
    <s v="Option"/>
    <s v="EUR"/>
    <n v="-25"/>
    <x v="15"/>
    <s v="Call"/>
    <x v="0"/>
    <n v="0.3828791483403539"/>
    <n v="0.022"/>
    <n v="95.4229944414742"/>
    <n v="-2385.574861036855"/>
    <s v="Exch"/>
    <m/>
    <n v="956.7608780897367"/>
    <n v="3172.655327826358"/>
    <n v="4.526167822076914"/>
    <n v="312.3234763084095"/>
    <n v="-1.268495007166719"/>
    <n v="1.604684276385804"/>
    <n v="-23919.02195224342"/>
    <n v="-79316.38319565896"/>
    <n v="-113.1541955519229"/>
    <n v="-7808.086907710236"/>
    <n v="31.71237517916797"/>
    <n v="-40.1171069096451"/>
    <n v="2252.889754884714"/>
    <n v="1664.01385652879"/>
    <n v="1004.5382151198"/>
    <n v="447.0401466285523"/>
    <n v="-510.4181935768338"/>
    <n v="-1398.211663278124"/>
    <n v="-3205.111506757788"/>
    <n v="-7948.844105276828"/>
    <n v="1080.032949162896"/>
    <n v="554.6499576058494"/>
    <n v="224.6658885780477"/>
    <n v="112.753916147625"/>
    <n v="-113.535165356069"/>
    <n v="-227.7961815804559"/>
    <n v="-574.4486324935963"/>
    <n v="-1162.731183604714"/>
  </r>
  <r>
    <x v="1"/>
    <n v="2905"/>
    <n v="0.022"/>
    <s v="Option"/>
    <s v="EUR"/>
    <n v="50"/>
    <x v="16"/>
    <s v="Call"/>
    <x v="0"/>
    <n v="0.3794932506655077"/>
    <n v="0.022"/>
    <n v="72.42337082003996"/>
    <n v="3621.168541001998"/>
    <s v="JP Horgan"/>
    <m/>
    <n v="783.1394412149294"/>
    <n v="2923.756245762359"/>
    <n v="4.134197907196702"/>
    <n v="515.3108823106396"/>
    <n v="-1.149237845949494"/>
    <n v="1.32407377498226"/>
    <n v="39156.97206074647"/>
    <n v="146187.8122881179"/>
    <n v="206.7098953598351"/>
    <n v="25765.54411553198"/>
    <n v="-57.46189229747471"/>
    <n v="66.203688749113"/>
    <n v="-3457.4236377011"/>
    <n v="-2620.366578810422"/>
    <n v="-1611.309050841166"/>
    <n v="-725.7898544862996"/>
    <n v="842.6133966294572"/>
    <n v="2337.339958110567"/>
    <n v="5467.874472527023"/>
    <n v="14060.28208993614"/>
    <n v="-1901.725843781048"/>
    <n v="-997.2747588383982"/>
    <n v="-408.0228104827597"/>
    <n v="-205.3917696803182"/>
    <n v="207.9695255443653"/>
    <n v="418.3482680195937"/>
    <n v="1062.444706886879"/>
    <n v="2171.730571154205"/>
  </r>
  <r>
    <x v="1"/>
    <n v="2905"/>
    <n v="0.022"/>
    <s v="Option"/>
    <s v="EUR"/>
    <n v="-20"/>
    <x v="13"/>
    <s v="Put"/>
    <x v="0"/>
    <n v="0.3887081478333821"/>
    <n v="0.022"/>
    <n v="297.6791185770062"/>
    <n v="-5953.582371540124"/>
    <s v="Exch"/>
    <m/>
    <n v="-1746.458614640829"/>
    <n v="3322.874459647646"/>
    <n v="4.812642718635019"/>
    <n v="140.1261236857652"/>
    <n v="-1.357582283245151"/>
    <n v="-3.808256598871584"/>
    <n v="34929.17229281658"/>
    <n v="-66457.48919295291"/>
    <n v="-96.25285437270038"/>
    <n v="-2802.522473715305"/>
    <n v="27.15164566490302"/>
    <n v="76.16513197743168"/>
    <n v="-9257.184925377042"/>
    <n v="-4125.347560762038"/>
    <n v="-1909.790380294512"/>
    <n v="-725.0342198175622"/>
    <n v="671.9315343616699"/>
    <n v="1579.958071599094"/>
    <n v="2834.488975347808"/>
    <n v="4495.42255484751"/>
    <n v="943.5627550703475"/>
    <n v="477.2261420526911"/>
    <n v="191.913547662557"/>
    <n v="96.10886815451067"/>
    <n v="-96.38930066883859"/>
    <n v="-193.0374458974757"/>
    <n v="-484.3466872530144"/>
    <n v="-973.498812209823"/>
  </r>
  <r>
    <x v="1"/>
    <n v="2905"/>
    <n v="0.022"/>
    <s v="Option"/>
    <s v="EUR"/>
    <n v="50"/>
    <x v="14"/>
    <s v="Put"/>
    <x v="0"/>
    <n v="0.5342736088202618"/>
    <n v="0.022"/>
    <n v="86.78469857985476"/>
    <n v="4339.234928992738"/>
    <s v="Exch"/>
    <m/>
    <n v="-595.8927939058174"/>
    <n v="1787.273075893082"/>
    <n v="3.55795686914623"/>
    <n v="322.3097933027373"/>
    <n v="-1.392506241827222"/>
    <n v="-1.271837520247279"/>
    <n v="-29794.63969529087"/>
    <n v="89363.65379465409"/>
    <n v="177.8978434573115"/>
    <n v="16115.48966513686"/>
    <n v="-69.6253120913611"/>
    <n v="-63.59187601236397"/>
    <n v="10598.64183161957"/>
    <n v="4011.08485783281"/>
    <n v="1730.340828375233"/>
    <n v="632.7314778110576"/>
    <n v="-561.2250532914516"/>
    <n v="-1282.928566865221"/>
    <n v="-2214.958205256056"/>
    <n v="-3347.210716042943"/>
    <n v="-1683.033602314671"/>
    <n v="-867.568291407008"/>
    <n v="-352.4638717235064"/>
    <n v="-177.0786762239595"/>
    <n v="178.6906038992925"/>
    <n v="358.9161294213795"/>
    <n v="908.0944845843987"/>
    <n v="1848.02618154489"/>
  </r>
  <r>
    <x v="1"/>
    <n v="2905"/>
    <n v="0.022"/>
    <s v="Option"/>
    <s v="EUR"/>
    <n v="10"/>
    <x v="14"/>
    <s v="Put"/>
    <x v="1"/>
    <n v="0.4847027368557411"/>
    <n v="0.023"/>
    <n v="164.2089215742436"/>
    <n v="1642.089215742436"/>
    <s v="GoldMine Sacks"/>
    <m/>
    <n v="-723.7574935375408"/>
    <n v="1433.710779532194"/>
    <n v="6.054402337156951"/>
    <n v="292.5399524629112"/>
    <n v="-0.9104952833508367"/>
    <n v="-3.86812767130887"/>
    <n v="-7237.574935375407"/>
    <n v="14337.10779532194"/>
    <n v="60.54402337156951"/>
    <n v="2925.399524629112"/>
    <n v="-9.104952833508367"/>
    <n v="-38.6812767130887"/>
    <n v="2139.0714587839"/>
    <n v="882.1016758418705"/>
    <n v="399.5864513073957"/>
    <n v="150.6051121348457"/>
    <n v="-139.134323611122"/>
    <n v="-327.8584108423433"/>
    <n v="-594.7111656726508"/>
    <n v="-983.7181353194046"/>
    <n v="-586.9028267053488"/>
    <n v="-298.6217177108165"/>
    <n v="-120.4762508657996"/>
    <n v="-60.39447385085509"/>
    <n v="60.68712747054178"/>
    <n v="121.6482309842718"/>
    <n v="306.0067713183912"/>
    <n v="617.3279172256184"/>
  </r>
  <r>
    <x v="1"/>
    <n v="2905"/>
    <n v="0.022"/>
    <s v="Option"/>
    <s v="EUR"/>
    <n v="-20"/>
    <x v="16"/>
    <s v="Call"/>
    <x v="1"/>
    <n v="0.3295306493497132"/>
    <n v="0.023"/>
    <n v="126.6242240805104"/>
    <n v="-2532.484481610209"/>
    <s v="Exch"/>
    <m/>
    <n v="979.9489321257162"/>
    <n v="2425.251771291405"/>
    <n v="6.962847768427486"/>
    <n v="545.5377829432925"/>
    <n v="-0.7162377266393526"/>
    <n v="3.717222700799663"/>
    <n v="-19598.97864251432"/>
    <n v="-48505.03542582811"/>
    <n v="-139.2569553685497"/>
    <n v="-10910.75565886585"/>
    <n v="14.32475453278705"/>
    <n v="-74.34445401599326"/>
    <n v="2221.208826525875"/>
    <n v="1497.673269021363"/>
    <n v="861.0187781393415"/>
    <n v="372.7063101551562"/>
    <n v="-411.4828903625062"/>
    <n v="-1102.476504591154"/>
    <n v="-2450.962240111648"/>
    <n v="-5848.868170858705"/>
    <n v="1316.180391677763"/>
    <n v="680.3240123691262"/>
    <n v="276.1954606743552"/>
    <n v="138.6948400950246"/>
    <n v="-139.7867661228042"/>
    <n v="-280.5733963338093"/>
    <n v="-708.1406472898743"/>
    <n v="-1434.353117037915"/>
  </r>
  <r>
    <x v="1"/>
    <n v="2905"/>
    <n v="0.022"/>
    <s v="Option"/>
    <s v="EUR"/>
    <n v="-40"/>
    <x v="11"/>
    <s v="Put"/>
    <x v="1"/>
    <n v="0.376695195166576"/>
    <n v="0.023"/>
    <n v="238.7824235708329"/>
    <n v="-9551.296942833314"/>
    <s v="Exch"/>
    <m/>
    <n v="-1156.463072373605"/>
    <n v="2238.347750515018"/>
    <n v="7.346016438039257"/>
    <n v="-0.1270801103155975"/>
    <n v="-0.8519765839111466"/>
    <n v="-6.077918735757962"/>
    <n v="46258.52289494419"/>
    <n v="-89533.91002060073"/>
    <n v="-293.8406575215703"/>
    <n v="5.083204412623901"/>
    <n v="34.07906335644586"/>
    <n v="243.1167494303185"/>
    <n v="-13131.05157006093"/>
    <n v="-5571.406001489277"/>
    <n v="-2543.685863199316"/>
    <n v="-961.4485438163047"/>
    <n v="889.845735981944"/>
    <n v="2096.967875534251"/>
    <n v="3796.035979662088"/>
    <n v="6217.243076822288"/>
    <n v="2935.731890047518"/>
    <n v="1468.913386863887"/>
    <n v="587.6646045089819"/>
    <n v="293.8387416274418"/>
    <n v="-293.8383179632365"/>
    <n v="-587.6639285397869"/>
    <n v="-1468.954480876209"/>
    <n v="-2936.589749763561"/>
  </r>
  <r>
    <x v="1"/>
    <n v="2905"/>
    <n v="0.022"/>
    <s v="Option"/>
    <s v="EUR"/>
    <n v="-50"/>
    <x v="13"/>
    <s v="Call"/>
    <x v="1"/>
    <n v="0.3388202514347161"/>
    <n v="0.023"/>
    <n v="186.9696877524691"/>
    <n v="-9348.484387623455"/>
    <s v="Exch"/>
    <m/>
    <n v="1271.232206462483"/>
    <n v="2539.162794790027"/>
    <n v="7.495388738287394"/>
    <n v="119.8024541414728"/>
    <n v="-0.7903142257478792"/>
    <n v="4.723225766435403"/>
    <n v="-63561.61032312416"/>
    <n v="-126958.1397395013"/>
    <n v="-374.7694369143697"/>
    <n v="-5990.122707073638"/>
    <n v="39.51571128739396"/>
    <n v="-236.1612883217702"/>
    <n v="7875.261156113996"/>
    <n v="5093.950091181012"/>
    <n v="2860.196661302223"/>
    <n v="1220.365569922939"/>
    <n v="-1321.865993919664"/>
    <n v="-3492.413625980453"/>
    <n v="-7592.380145103596"/>
    <n v="-17408.66530811924"/>
    <n v="3702.049309478082"/>
    <n v="1864.710453064163"/>
    <n v="748.2444267539108"/>
    <n v="374.4582134049097"/>
    <n v="-375.0578408331307"/>
    <n v="-750.6503422578135"/>
    <n v="-1880.077827720027"/>
    <n v="-3768.635239151672"/>
  </r>
  <r>
    <x v="1"/>
    <n v="2905"/>
    <n v="0.022"/>
    <s v="Option"/>
    <s v="EUR"/>
    <n v="-25"/>
    <x v="17"/>
    <s v="Put"/>
    <x v="1"/>
    <n v="0.3602094754133237"/>
    <n v="0.023"/>
    <n v="271.5719154245235"/>
    <n v="-6789.297885613087"/>
    <s v="Exch"/>
    <m/>
    <n v="-1300.429496829123"/>
    <n v="2396.586763038721"/>
    <n v="7.52112046305612"/>
    <n v="-29.49706105396795"/>
    <n v="-0.8312674652666082"/>
    <n v="-6.847896562967938"/>
    <n v="32510.73742072807"/>
    <n v="-59914.66907596801"/>
    <n v="-188.028011576403"/>
    <n v="737.4265263491989"/>
    <n v="20.78168663166521"/>
    <n v="171.1974140741984"/>
    <n v="-8994.656658058067"/>
    <n v="-3872.229229639919"/>
    <n v="-1778.616351511874"/>
    <n v="-674.4100110136401"/>
    <n v="626.5005006581134"/>
    <n v="1479.910786164203"/>
    <n v="2687.795134379172"/>
    <n v="4420.831063204335"/>
    <n v="1883.629502430119"/>
    <n v="941.0196869895174"/>
    <n v="376.2008131068342"/>
    <n v="188.0645460895323"/>
    <n v="-187.9908036503764"/>
    <n v="-375.9058459125697"/>
    <n v="-939.1762542578931"/>
    <n v="-1876.257382930561"/>
  </r>
  <r>
    <x v="1"/>
    <n v="2905"/>
    <n v="0.022"/>
    <s v="Option"/>
    <s v="EUR"/>
    <n v="-20"/>
    <x v="18"/>
    <s v="Call"/>
    <x v="1"/>
    <n v="0.3281179982717687"/>
    <n v="0.023"/>
    <n v="104.5547774814396"/>
    <n v="-2091.095549628792"/>
    <s v="JP Horgan"/>
    <m/>
    <n v="852.1957572729348"/>
    <n v="2296.314323367879"/>
    <n v="6.564409173184397"/>
    <n v="805.5039043995279"/>
    <n v="-0.6730736945455348"/>
    <n v="3.256847007858842"/>
    <n v="-17043.9151454587"/>
    <n v="-45926.28646735758"/>
    <n v="-131.2881834636879"/>
    <n v="-16110.07808799056"/>
    <n v="13.4614738909107"/>
    <n v="-65.13694015717684"/>
    <n v="1859.370383744237"/>
    <n v="1275.144699833877"/>
    <n v="740.6807622522865"/>
    <n v="322.7006532193673"/>
    <n v="-359.4164437605377"/>
    <n v="-969.3310346651424"/>
    <n v="-2178.237424652682"/>
    <n v="-5302.473703840125"/>
    <n v="1203.11969304277"/>
    <n v="633.142879116831"/>
    <n v="259.1675444410475"/>
    <n v="130.4599136623779"/>
    <n v="-132.0720127373511"/>
    <n v="-265.6290605598565"/>
    <n v="-674.1078160100597"/>
    <n v="-1375.639826848669"/>
  </r>
  <r>
    <x v="1"/>
    <n v="2905"/>
    <n v="0.022"/>
    <s v="Option"/>
    <s v="EUR"/>
    <n v="-10"/>
    <x v="17"/>
    <s v="Put"/>
    <x v="1"/>
    <n v="0.3602094754133237"/>
    <n v="0.023"/>
    <n v="271.5719154245235"/>
    <n v="-2715.719154245235"/>
    <s v="Exch"/>
    <m/>
    <n v="-1300.429496829123"/>
    <n v="2396.586763038721"/>
    <n v="7.52112046305612"/>
    <n v="-29.49706105396795"/>
    <n v="-0.8312674652666082"/>
    <n v="-6.847896562967938"/>
    <n v="13004.29496829123"/>
    <n v="-23965.86763038721"/>
    <n v="-75.2112046305612"/>
    <n v="294.9706105396796"/>
    <n v="8.312674652666082"/>
    <n v="68.47896562967938"/>
    <n v="-3597.862663223227"/>
    <n v="-1548.891691855968"/>
    <n v="-711.4465406047498"/>
    <n v="-269.764004405456"/>
    <n v="250.6002002632454"/>
    <n v="591.9643144656811"/>
    <n v="1075.118053751669"/>
    <n v="1768.332425281734"/>
    <n v="753.4518009720477"/>
    <n v="376.4078747958069"/>
    <n v="150.4803252427337"/>
    <n v="75.22581843581293"/>
    <n v="-75.19632146015056"/>
    <n v="-150.3623383650279"/>
    <n v="-375.6705017031572"/>
    <n v="-750.5029531722244"/>
  </r>
  <r>
    <x v="1"/>
    <n v="2905"/>
    <n v="0.022"/>
    <s v="Option"/>
    <s v="EUR"/>
    <n v="20"/>
    <x v="19"/>
    <s v="Call"/>
    <x v="1"/>
    <n v="0.3282254286149454"/>
    <n v="0.023"/>
    <n v="86.64886186806029"/>
    <n v="1732.977237361206"/>
    <s v="Exch"/>
    <m/>
    <n v="738.335349399343"/>
    <n v="2139.479063819647"/>
    <n v="6.118071112594522"/>
    <n v="1060.884878352576"/>
    <n v="-0.6280428069116045"/>
    <n v="2.838853466232164"/>
    <n v="14766.70698798686"/>
    <n v="42789.58127639294"/>
    <n v="122.3614222518904"/>
    <n v="21217.69756705152"/>
    <n v="-12.56085613823209"/>
    <n v="56.77706932464328"/>
    <n v="-1557.471099738161"/>
    <n v="-1083.801740434141"/>
    <n v="-635.3716681835124"/>
    <n v="-278.4594197436718"/>
    <n v="312.6691364261774"/>
    <n v="848.4665020134094"/>
    <n v="1926.184439247222"/>
    <n v="4780.374783115808"/>
    <n v="-1083.195797106404"/>
    <n v="-581.487386536312"/>
    <n v="-240.2527071755571"/>
    <n v="-121.2728477985979"/>
    <n v="123.3958172994539"/>
    <n v="248.7589962970878"/>
    <n v="635.2857880958459"/>
    <n v="1307.622487239983"/>
  </r>
  <r>
    <x v="1"/>
    <n v="2905"/>
    <n v="0.022"/>
    <s v="Option"/>
    <s v="EUR"/>
    <n v="-10"/>
    <x v="15"/>
    <s v="Call"/>
    <x v="1"/>
    <n v="0.3329508261400796"/>
    <n v="0.023"/>
    <n v="154.0267813874168"/>
    <n v="-1540.267813874168"/>
    <s v="Darklays Capital"/>
    <m/>
    <n v="1121.773831602829"/>
    <n v="2511.59456699528"/>
    <n v="7.285575905511903"/>
    <n v="305.6043632035626"/>
    <n v="-0.7561784100713145"/>
    <n v="4.215665232445219"/>
    <n v="-11217.73831602829"/>
    <n v="-25115.9456699528"/>
    <n v="-72.85575905511904"/>
    <n v="-3056.043632035626"/>
    <n v="7.561784100713145"/>
    <n v="-42.15665232445219"/>
    <n v="1327.097148623427"/>
    <n v="877.3728985718708"/>
    <n v="498.660420976928"/>
    <n v="214.3337019782382"/>
    <n v="-234.412466700885"/>
    <n v="-623.6956954855987"/>
    <n v="-1371.099680369462"/>
    <n v="-3206.268046532957"/>
    <n v="706.5281648474877"/>
    <n v="359.7486262258292"/>
    <n v="145.0588051792784"/>
    <n v="72.69791456276153"/>
    <n v="-73.00378687716147"/>
    <n v="-146.2855195133261"/>
    <n v="-367.5592681941725"/>
    <n v="-739.9812709572984"/>
  </r>
  <r>
    <x v="1"/>
    <n v="2905"/>
    <n v="0.022"/>
    <s v="Option"/>
    <s v="EUR"/>
    <n v="-20"/>
    <x v="20"/>
    <s v="Put"/>
    <x v="1"/>
    <n v="0.3974159521724983"/>
    <n v="0.023"/>
    <n v="212.5127406744291"/>
    <n v="-4250.254813488582"/>
    <s v="Exch"/>
    <m/>
    <n v="-1025.263878502949"/>
    <n v="2044.625376267445"/>
    <n v="7.079348590603577"/>
    <n v="69.53330042957063"/>
    <n v="-0.8685313097616814"/>
    <n v="-5.39195842326584"/>
    <n v="20505.27757005898"/>
    <n v="-40892.50752534889"/>
    <n v="-141.5869718120715"/>
    <n v="-1390.666008591413"/>
    <n v="17.37062619523363"/>
    <n v="107.8391684653168"/>
    <n v="-5937.624934491387"/>
    <n v="-2489.247159557654"/>
    <n v="-1131.431365931885"/>
    <n v="-426.7209994428913"/>
    <n v="394.0139257502938"/>
    <n v="927.2409947964638"/>
    <n v="1675.827827246014"/>
    <n v="2741.436889373917"/>
    <n v="1405.349925012295"/>
    <n v="705.808479455261"/>
    <n v="282.8727392488827"/>
    <n v="141.5146207617249"/>
    <n v="-141.6538102041613"/>
    <n v="-283.4309746244389"/>
    <n v="-709.3630298980997"/>
    <n v="-1420.561601828626"/>
  </r>
  <r>
    <x v="1"/>
    <n v="2905"/>
    <n v="0.022"/>
    <s v="Option"/>
    <s v="EUR"/>
    <n v="20"/>
    <x v="20"/>
    <s v="Put"/>
    <x v="1"/>
    <n v="0.3974159521724983"/>
    <n v="0.023"/>
    <n v="212.5127406744291"/>
    <n v="4250.254813488582"/>
    <s v="JP Horgan"/>
    <m/>
    <n v="-1025.263878502949"/>
    <n v="2044.625376267445"/>
    <n v="7.079348590603577"/>
    <n v="69.53330042957063"/>
    <n v="-0.8685313097616814"/>
    <n v="-5.39195842326584"/>
    <n v="-20505.27757005898"/>
    <n v="40892.50752534889"/>
    <n v="141.5869718120715"/>
    <n v="1390.666008591413"/>
    <n v="-17.37062619523363"/>
    <n v="-107.8391684653168"/>
    <n v="5937.624934491387"/>
    <n v="2489.247159557654"/>
    <n v="1131.431365931885"/>
    <n v="426.7209994428913"/>
    <n v="-394.0139257502938"/>
    <n v="-927.2409947964638"/>
    <n v="-1675.827827246014"/>
    <n v="-2741.436889373917"/>
    <n v="-1405.349925012295"/>
    <n v="-705.808479455261"/>
    <n v="-282.8727392488827"/>
    <n v="-141.5146207617249"/>
    <n v="141.6538102041613"/>
    <n v="283.4309746244389"/>
    <n v="709.3630298980997"/>
    <n v="1420.561601828626"/>
  </r>
  <r>
    <x v="1"/>
    <n v="2905"/>
    <n v="0.022"/>
    <s v="Option"/>
    <s v="EUR"/>
    <n v="-20"/>
    <x v="18"/>
    <s v="Put"/>
    <x v="2"/>
    <n v="0.2981574167913477"/>
    <n v="0.025"/>
    <n v="558.6301129843507"/>
    <n v="-11172.60225968701"/>
    <s v="Exch"/>
    <m/>
    <n v="-1912.137057507716"/>
    <n v="2104.381514098579"/>
    <n v="8.595026797083527"/>
    <n v="854.8876246885187"/>
    <n v="-0.4585556659151754"/>
    <n v="-16.9230628115895"/>
    <n v="38242.74115015432"/>
    <n v="-42087.63028197158"/>
    <n v="-171.9005359416705"/>
    <n v="-17097.75249377037"/>
    <n v="9.171113318303508"/>
    <n v="338.46125623179"/>
    <n v="-9157.31086786442"/>
    <n v="-4228.641668231971"/>
    <n v="-2015.653305896863"/>
    <n v="-781.5949202079355"/>
    <n v="747.9434396436727"/>
    <n v="1805.940203706273"/>
    <n v="3398.351682756011"/>
    <n v="5965.149386053326"/>
    <n v="1594.910020850189"/>
    <n v="834.0837041195891"/>
    <n v="340.145748731552"/>
    <n v="171.0170359871972"/>
    <n v="-172.72839144096"/>
    <n v="-347.0101875974569"/>
    <n v="-877.8329350230297"/>
    <n v="-1782.861386094532"/>
  </r>
  <r>
    <x v="1"/>
    <n v="2905"/>
    <n v="0.022"/>
    <s v="Option"/>
    <s v="EUR"/>
    <n v="-20"/>
    <x v="20"/>
    <s v="Put"/>
    <x v="2"/>
    <n v="0.3685823966485539"/>
    <n v="0.025"/>
    <n v="254.9753933461841"/>
    <n v="-5099.507866923682"/>
    <s v="Exch"/>
    <m/>
    <n v="-1026.64948878794"/>
    <n v="1752.705675634067"/>
    <n v="8.849540528009964"/>
    <n v="49.24397483769182"/>
    <n v="-0.626454688396735"/>
    <n v="-8.778252617357014"/>
    <n v="20532.9897757588"/>
    <n v="-35054.11351268135"/>
    <n v="-176.9908105601993"/>
    <n v="-984.8794967538365"/>
    <n v="12.5290937679347"/>
    <n v="175.5650523471403"/>
    <n v="-5679.820859321271"/>
    <n v="-2427.814282130344"/>
    <n v="-1117.394410117436"/>
    <n v="-424.8838631910894"/>
    <n v="396.8441130229985"/>
    <n v="942.2630428653656"/>
    <n v="1729.00945675075"/>
    <n v="2914.934497622974"/>
    <n v="1760.604031142223"/>
    <n v="883.2498315856787"/>
    <n v="353.756583254692"/>
    <n v="176.9381412164512"/>
    <n v="-177.0367811941469"/>
    <n v="-354.1529726140334"/>
    <n v="-885.808668989207"/>
    <n v="-1772.086029942479"/>
  </r>
  <r>
    <x v="1"/>
    <n v="2905"/>
    <n v="0.022"/>
    <s v="Option"/>
    <s v="EUR"/>
    <n v="5"/>
    <x v="12"/>
    <s v="Put"/>
    <x v="2"/>
    <n v="0.4232706668548173"/>
    <n v="0.025"/>
    <n v="224.2834239356215"/>
    <n v="1121.417119678108"/>
    <s v="Darklays Capital"/>
    <m/>
    <n v="-836.7181578756826"/>
    <n v="1403.503121208539"/>
    <n v="8.137831534887068"/>
    <n v="205.9858740596201"/>
    <n v="-0.6666620622088236"/>
    <n v="-7.267134121995233"/>
    <n v="-4183.590789378412"/>
    <n v="7017.515606042696"/>
    <n v="40.68915767443534"/>
    <n v="1029.929370298101"/>
    <n v="-3.333310311044118"/>
    <n v="-36.33567060997616"/>
    <n v="1164.04881248437"/>
    <n v="494.5178855881801"/>
    <n v="227.4735410856812"/>
    <n v="86.52679647539742"/>
    <n v="-80.91260468118605"/>
    <n v="-192.3791403382802"/>
    <n v="-354.0687392346149"/>
    <n v="-601.7150405370893"/>
    <n v="-399.6720314140765"/>
    <n v="-201.929947503308"/>
    <n v="-81.15866242426989"/>
    <n v="-40.6359889695932"/>
    <n v="40.73904955847979"/>
    <n v="81.57171813652099"/>
    <n v="204.5475372820869"/>
    <n v="410.6808712564384"/>
  </r>
  <r>
    <x v="2"/>
    <n v="10022"/>
    <n v="0.005"/>
    <s v="Future"/>
    <s v="JPY"/>
    <n v="-10"/>
    <x v="0"/>
    <m/>
    <x v="0"/>
    <m/>
    <m/>
    <n v="10012.6687850762"/>
    <n v="-100126.687850762"/>
    <s v="Exch"/>
    <m/>
    <n v="10012.6687850762"/>
    <n v="0"/>
    <n v="0"/>
    <n v="0"/>
    <n v="0.1371598463709068"/>
    <n v="18.65373910644333"/>
    <n v="-100126.687850762"/>
    <n v="0"/>
    <n v="0"/>
    <n v="0"/>
    <n v="-1.371598463709068"/>
    <n v="-186.5373910644333"/>
    <n v="20025.33757015239"/>
    <n v="10012.66878507618"/>
    <n v="5006.334392538101"/>
    <n v="2002.533757015244"/>
    <n v="-2002.533757015244"/>
    <n v="-5006.334392538101"/>
    <n v="-10012.6687850762"/>
    <n v="-20025.33757015241"/>
    <n v="0"/>
    <n v="0"/>
    <n v="0"/>
    <n v="0"/>
    <n v="0"/>
    <n v="0"/>
    <n v="0"/>
    <n v="0"/>
  </r>
  <r>
    <x v="2"/>
    <n v="10022"/>
    <n v="0.005"/>
    <s v="Option"/>
    <s v="JPY"/>
    <n v="-20"/>
    <x v="21"/>
    <s v="Call"/>
    <x v="0"/>
    <n v="0.41"/>
    <n v="0.005"/>
    <n v="705.9686045689959"/>
    <n v="-14119.37209137992"/>
    <s v="Exch"/>
    <m/>
    <n v="5359.318694822598"/>
    <n v="11241.85359971991"/>
    <n v="17.17385634850363"/>
    <n v="-32.79500787645761"/>
    <n v="-5.167741772849513"/>
    <n v="8.669254962664244"/>
    <n v="-107186.373896452"/>
    <n v="-224837.0719943982"/>
    <n v="-343.4771269700725"/>
    <n v="655.9001575291522"/>
    <n v="103.3548354569903"/>
    <n v="-173.3850992532849"/>
    <n v="12556.39135008457"/>
    <n v="8417.835248713673"/>
    <n v="4786.72154257014"/>
    <n v="2052.980434087731"/>
    <n v="-2232.681244342602"/>
    <n v="-5904.335562165288"/>
    <n v="-12810.83881709659"/>
    <n v="-28975.90490913568"/>
    <n v="3437.785869409017"/>
    <n v="1718.172419494167"/>
    <n v="687.0833170594778"/>
    <n v="343.509657401446"/>
    <n v="-343.4440674618963"/>
    <n v="-686.8209582152485"/>
    <n v="-1716.532716707334"/>
    <n v="-3431.227629501009"/>
  </r>
  <r>
    <x v="2"/>
    <n v="10022"/>
    <n v="0.005"/>
    <s v="Option"/>
    <s v="JPY"/>
    <n v="-10"/>
    <x v="22"/>
    <s v="Put"/>
    <x v="0"/>
    <n v="0.4721677408355954"/>
    <n v="0.005"/>
    <n v="406.8112677462832"/>
    <n v="-4068.112677462832"/>
    <s v="Exch"/>
    <m/>
    <n v="-2865.111030883936"/>
    <n v="8355.786247465265"/>
    <n v="14.70041778877892"/>
    <n v="634.4273079854775"/>
    <n v="-5.098150078692246"/>
    <n v="-6.095636063201507"/>
    <n v="28651.11030883936"/>
    <n v="-83557.86247465265"/>
    <n v="-147.0041778877892"/>
    <n v="-6344.273079854775"/>
    <n v="50.98150078692246"/>
    <n v="60.95636063201507"/>
    <n v="-9723.950016828003"/>
    <n v="-3797.824318097209"/>
    <n v="-1654.203369816582"/>
    <n v="-607.2776682281028"/>
    <n v="540.4449870625331"/>
    <n v="1236.954751191979"/>
    <n v="2135.818135689542"/>
    <n v="3212.976170935025"/>
    <n v="1430.044441635146"/>
    <n v="726.1633404563509"/>
    <n v="292.6836465526185"/>
    <n v="146.6801166518007"/>
    <n v="-147.3147976556902"/>
    <n v="-295.2254190626263"/>
    <n v="-742.1838857813691"/>
    <n v="-1496.111979166249"/>
  </r>
  <r>
    <x v="2"/>
    <n v="10022"/>
    <n v="0.005"/>
    <s v="Option"/>
    <s v="JPY"/>
    <n v="-20"/>
    <x v="21"/>
    <s v="Put"/>
    <x v="0"/>
    <n v="0.41"/>
    <n v="0.005"/>
    <n v="705.9686045689959"/>
    <n v="-14119.37209137992"/>
    <s v="GoldMine Sacks"/>
    <m/>
    <n v="-4653.350090253602"/>
    <n v="11241.85359971991"/>
    <n v="17.17385634850363"/>
    <n v="-32.79500787645761"/>
    <n v="-5.167741772849513"/>
    <n v="-9.984484143779088"/>
    <n v="93067.00180507204"/>
    <n v="-224837.0719943982"/>
    <n v="-343.4771269700725"/>
    <n v="655.9001575291522"/>
    <n v="103.3548354569903"/>
    <n v="199.6896828755818"/>
    <n v="-27494.2837902202"/>
    <n v="-11607.50232143871"/>
    <n v="-5225.947242506045"/>
    <n v="-1952.087079942776"/>
    <n v="1772.386269687868"/>
    <n v="4108.333222910906"/>
    <n v="7214.498753055814"/>
    <n v="11074.77023116913"/>
    <n v="3437.785869409017"/>
    <n v="1718.172419494167"/>
    <n v="687.0833170594778"/>
    <n v="343.509657401446"/>
    <n v="-343.4440674618963"/>
    <n v="-686.8209582152485"/>
    <n v="-1716.532716707334"/>
    <n v="-3431.227629501009"/>
  </r>
  <r>
    <x v="2"/>
    <n v="10022"/>
    <n v="0.005"/>
    <s v="Option"/>
    <s v="JPY"/>
    <n v="-20"/>
    <x v="23"/>
    <s v="Call"/>
    <x v="0"/>
    <n v="0.3975378258395253"/>
    <n v="0.005"/>
    <n v="554.7651532071441"/>
    <n v="-11095.30306414288"/>
    <s v="Exch"/>
    <m/>
    <n v="4660.588513206668"/>
    <n v="11596.11485472669"/>
    <n v="17.17659241382335"/>
    <n v="96.70368222190872"/>
    <n v="-5.01324253876731"/>
    <n v="7.64920516383473"/>
    <n v="-93211.77026413336"/>
    <n v="-231922.2970945338"/>
    <n v="-343.531848276467"/>
    <n v="-1934.073644438174"/>
    <n v="100.2648507753462"/>
    <n v="-152.9841032766946"/>
    <n v="10125.81779138988"/>
    <n v="7031.629497988492"/>
    <n v="4080.164852845392"/>
    <n v="1771.264878594302"/>
    <n v="-1956.597460522644"/>
    <n v="-5231.804733653153"/>
    <n v="-11545.13870187739"/>
    <n v="-26838.97674967906"/>
    <n v="3421.10609636049"/>
    <n v="1714.749563868445"/>
    <n v="686.6476890962622"/>
    <n v="343.4315816354137"/>
    <n v="-343.6251487772824"/>
    <n v="-687.4238796975624"/>
    <n v="-1719.686098112161"/>
    <n v="-3442.14764435319"/>
  </r>
  <r>
    <x v="2"/>
    <n v="10022"/>
    <n v="0.005"/>
    <s v="Option"/>
    <s v="JPY"/>
    <n v="-20"/>
    <x v="23"/>
    <s v="Put"/>
    <x v="0"/>
    <n v="0.3975378258395253"/>
    <n v="0.005"/>
    <n v="855.4849001945649"/>
    <n v="-17109.6980038913"/>
    <s v="Exch"/>
    <m/>
    <n v="-5352.080271869532"/>
    <n v="11596.11485472669"/>
    <n v="17.17659241382335"/>
    <n v="96.70368222190872"/>
    <n v="-5.00912309017844"/>
    <n v="-11.56477895069476"/>
    <n v="107041.6054373907"/>
    <n v="-231922.2970945338"/>
    <n v="-343.531848276467"/>
    <n v="-1934.073644438174"/>
    <n v="100.1824618035688"/>
    <n v="231.2955790138952"/>
    <n v="-29924.85734891488"/>
    <n v="-12993.70807216386"/>
    <n v="-5932.503932230829"/>
    <n v="-2233.802635436205"/>
    <n v="2048.470053507845"/>
    <n v="4780.864051423032"/>
    <n v="8480.198868275029"/>
    <n v="13211.69839062571"/>
    <n v="3421.10609636049"/>
    <n v="1714.749563868445"/>
    <n v="686.6476890962804"/>
    <n v="343.4315816354319"/>
    <n v="-343.6251487773006"/>
    <n v="-687.4238796975442"/>
    <n v="-1719.686098112179"/>
    <n v="-3442.147644353208"/>
  </r>
  <r>
    <x v="2"/>
    <n v="10022"/>
    <n v="0.005"/>
    <s v="Option"/>
    <s v="JPY"/>
    <n v="50"/>
    <x v="24"/>
    <s v="Put"/>
    <x v="0"/>
    <n v="0.534139247868658"/>
    <n v="0.005"/>
    <n v="300.5065235356888"/>
    <n v="15025.32617678444"/>
    <s v="Exch"/>
    <m/>
    <n v="-2063.565632880376"/>
    <n v="6189.3048272389"/>
    <n v="12.31806260367585"/>
    <n v="1114.822410604223"/>
    <n v="-4.833795747520379"/>
    <n v="-4.404298811953216"/>
    <n v="-103178.2816440188"/>
    <n v="309465.241361945"/>
    <n v="615.9031301837927"/>
    <n v="55741.12053021115"/>
    <n v="-241.689787376019"/>
    <n v="-220.2149405976608"/>
    <n v="36700.96089418007"/>
    <n v="13890.15122780443"/>
    <n v="5992.122783119862"/>
    <n v="2191.136610975173"/>
    <n v="-1943.510900444937"/>
    <n v="-4442.746004128981"/>
    <n v="-7670.28973687743"/>
    <n v="-11591.00640632664"/>
    <n v="-5827.13986210083"/>
    <n v="-3003.691001636264"/>
    <n v="-1220.281804027627"/>
    <n v="-613.0697269876578"/>
    <n v="618.6451504045408"/>
    <n v="1242.599242709161"/>
    <n v="3143.86609965884"/>
    <n v="6397.840388858822"/>
  </r>
  <r>
    <x v="2"/>
    <n v="10022"/>
    <n v="0.005"/>
    <s v="Option"/>
    <s v="JPY"/>
    <n v="-20"/>
    <x v="22"/>
    <s v="Put"/>
    <x v="0"/>
    <n v="0.4721677408355954"/>
    <n v="0.005"/>
    <n v="406.8112677462832"/>
    <n v="-8136.225354925664"/>
    <s v="GoldMine Sacks"/>
    <m/>
    <n v="-2865.111030883936"/>
    <n v="8355.786247465265"/>
    <n v="14.70041778877892"/>
    <n v="634.4273079854775"/>
    <n v="-5.098150078692246"/>
    <n v="-6.095636063201507"/>
    <n v="57302.22061767872"/>
    <n v="-167115.7249493053"/>
    <n v="-294.0083557755784"/>
    <n v="-12688.54615970955"/>
    <n v="101.9630015738449"/>
    <n v="121.9127212640301"/>
    <n v="-19447.90003365601"/>
    <n v="-7595.648636194419"/>
    <n v="-3308.406739633165"/>
    <n v="-1214.555336456206"/>
    <n v="1080.889974125066"/>
    <n v="2473.909502383958"/>
    <n v="4271.636271379084"/>
    <n v="6425.95234187005"/>
    <n v="2860.088883270291"/>
    <n v="1452.326680912702"/>
    <n v="585.367293105237"/>
    <n v="293.3602333036015"/>
    <n v="-294.6295953113804"/>
    <n v="-590.4508381252526"/>
    <n v="-1484.367771562738"/>
    <n v="-2992.223958332497"/>
  </r>
  <r>
    <x v="2"/>
    <n v="10022"/>
    <n v="0.005"/>
    <s v="Option"/>
    <s v="JPY"/>
    <n v="-20"/>
    <x v="22"/>
    <s v="Put"/>
    <x v="0"/>
    <n v="0.4721677408355954"/>
    <n v="0.005"/>
    <n v="406.8112677462832"/>
    <n v="-8136.225354925664"/>
    <s v="Exch"/>
    <m/>
    <n v="-2865.111030883936"/>
    <n v="8355.786247465265"/>
    <n v="14.70041778877892"/>
    <n v="634.4273079854775"/>
    <n v="-5.098150078692246"/>
    <n v="-6.095636063201507"/>
    <n v="57302.22061767872"/>
    <n v="-167115.7249493053"/>
    <n v="-294.0083557755784"/>
    <n v="-12688.54615970955"/>
    <n v="101.9630015738449"/>
    <n v="121.9127212640301"/>
    <n v="-19447.90003365601"/>
    <n v="-7595.648636194419"/>
    <n v="-3308.406739633165"/>
    <n v="-1214.555336456206"/>
    <n v="1080.889974125066"/>
    <n v="2473.909502383958"/>
    <n v="4271.636271379084"/>
    <n v="6425.95234187005"/>
    <n v="2860.088883270291"/>
    <n v="1452.326680912702"/>
    <n v="585.367293105237"/>
    <n v="293.3602333036015"/>
    <n v="-294.6295953113804"/>
    <n v="-590.4508381252526"/>
    <n v="-1484.367771562738"/>
    <n v="-2992.223958332497"/>
  </r>
  <r>
    <x v="2"/>
    <n v="10022"/>
    <n v="0.005"/>
    <s v="Option"/>
    <s v="JPY"/>
    <n v="-25"/>
    <x v="21"/>
    <s v="Call"/>
    <x v="0"/>
    <n v="0.41"/>
    <n v="0.005"/>
    <n v="705.9686045689959"/>
    <n v="-17649.2151142249"/>
    <s v="Exch"/>
    <m/>
    <n v="5359.318694822598"/>
    <n v="11241.85359971991"/>
    <n v="17.17385634850363"/>
    <n v="-32.79500787645761"/>
    <n v="-5.167741772849513"/>
    <n v="8.669254962664244"/>
    <n v="-133982.9673705649"/>
    <n v="-281046.3399929978"/>
    <n v="-429.3464087125907"/>
    <n v="819.8751969114403"/>
    <n v="129.1935443212378"/>
    <n v="-216.7313740666061"/>
    <n v="15695.48918760571"/>
    <n v="10522.29406089209"/>
    <n v="5983.401928212675"/>
    <n v="2566.225542609664"/>
    <n v="-2790.851555428253"/>
    <n v="-7380.41945270661"/>
    <n v="-16013.54852137074"/>
    <n v="-36219.8811364196"/>
    <n v="4297.232336761272"/>
    <n v="2147.715524367709"/>
    <n v="858.8541463243473"/>
    <n v="429.3870717518075"/>
    <n v="-429.3050843273704"/>
    <n v="-858.5261977690607"/>
    <n v="-2145.665895884167"/>
    <n v="-4289.034536876261"/>
  </r>
  <r>
    <x v="2"/>
    <n v="10022"/>
    <n v="0.005"/>
    <s v="Option"/>
    <s v="JPY"/>
    <n v="10"/>
    <x v="24"/>
    <s v="Put"/>
    <x v="0"/>
    <n v="0.534139247868658"/>
    <n v="0.005"/>
    <n v="300.5065235356888"/>
    <n v="3005.065235356888"/>
    <s v="JP Horgan"/>
    <m/>
    <n v="-2063.565632880376"/>
    <n v="6189.3048272389"/>
    <n v="12.31806260367585"/>
    <n v="1114.822410604223"/>
    <n v="-4.833795747520379"/>
    <n v="-4.404298811953216"/>
    <n v="-20635.65632880376"/>
    <n v="61893.04827238899"/>
    <n v="123.1806260367585"/>
    <n v="11148.22410604223"/>
    <n v="-48.33795747520379"/>
    <n v="-44.04298811953215"/>
    <n v="7340.192178836014"/>
    <n v="2778.030245560885"/>
    <n v="1198.424556623972"/>
    <n v="438.2273221950345"/>
    <n v="-388.7021800889875"/>
    <n v="-888.5492008257961"/>
    <n v="-1534.057947375486"/>
    <n v="-2318.201281265327"/>
    <n v="-1165.427972420166"/>
    <n v="-600.7382003272528"/>
    <n v="-244.0563608055254"/>
    <n v="-122.6139453975316"/>
    <n v="123.7290300809082"/>
    <n v="248.5198485418323"/>
    <n v="628.7732199317679"/>
    <n v="1279.568077771764"/>
  </r>
  <r>
    <x v="2"/>
    <n v="10022"/>
    <n v="0.005"/>
    <s v="Option"/>
    <s v="JPY"/>
    <n v="-25"/>
    <x v="21"/>
    <s v="Put"/>
    <x v="1"/>
    <n v="0.36"/>
    <n v="0.005"/>
    <n v="945.6981147577571"/>
    <n v="-23642.45286894393"/>
    <s v="Exch"/>
    <m/>
    <n v="-4527.248450330417"/>
    <n v="8336.218676837028"/>
    <n v="26.14603600340556"/>
    <n v="-102.5067877284202"/>
    <n v="-2.946973835463809"/>
    <n v="-23.84105489997314"/>
    <n v="113181.2112582604"/>
    <n v="-208405.4669209257"/>
    <n v="-653.650900085139"/>
    <n v="2562.669693210504"/>
    <n v="73.67434588659523"/>
    <n v="596.0263724993285"/>
    <n v="-31300.75534759348"/>
    <n v="-13478.11318423239"/>
    <n v="-6191.455503150951"/>
    <n v="-2347.779908069856"/>
    <n v="2181.133126728855"/>
    <n v="5152.457710112276"/>
    <n v="9358.384310209351"/>
    <n v="15393.77476599511"/>
    <n v="6548.149390079925"/>
    <n v="3271.311416923345"/>
    <n v="1307.804971205451"/>
    <n v="653.7778635484301"/>
    <n v="-653.5215972735386"/>
    <n v="-1306.779914438994"/>
    <n v="-3264.905176689945"/>
    <n v="-6522.529636200056"/>
  </r>
  <r>
    <x v="2"/>
    <n v="10022"/>
    <n v="0.005"/>
    <s v="Option"/>
    <s v="JPY"/>
    <n v="-10"/>
    <x v="22"/>
    <s v="Put"/>
    <x v="1"/>
    <n v="0.4221677408355954"/>
    <n v="0.005"/>
    <n v="667.7534821882723"/>
    <n v="-6677.534821882723"/>
    <s v="Exch"/>
    <m/>
    <n v="-3164.029507293673"/>
    <n v="6386.729111458075"/>
    <n v="23.49079939998884"/>
    <n v="529.4993984362329"/>
    <n v="-3.109424299922761"/>
    <n v="-16.69187658431862"/>
    <n v="31640.29507293673"/>
    <n v="-63867.29111458074"/>
    <n v="-234.9079939998884"/>
    <n v="-5294.993984362329"/>
    <n v="31.09424299922761"/>
    <n v="166.9187658431862"/>
    <n v="-9282.991225168265"/>
    <n v="-3857.891002490719"/>
    <n v="-1748.780896908183"/>
    <n v="-658.8124651651469"/>
    <n v="607.723406326345"/>
    <n v="1429.633574476929"/>
    <n v="2583.719990520281"/>
    <n v="4233.277979568731"/>
    <n v="2312.700967549981"/>
    <n v="1166.832659160827"/>
    <n v="468.6919962046659"/>
    <n v="234.6352972905333"/>
    <n v="-235.1651277980409"/>
    <n v="-470.8152993371277"/>
    <n v="-1180.279546717948"/>
    <n v="-2369.130186628204"/>
  </r>
  <r>
    <x v="2"/>
    <n v="10022"/>
    <n v="0.005"/>
    <s v="Option"/>
    <s v="JPY"/>
    <n v="-15"/>
    <x v="22"/>
    <s v="Put"/>
    <x v="1"/>
    <n v="0.4221677408355954"/>
    <n v="0.005"/>
    <n v="667.7534821882723"/>
    <n v="-10016.30223282408"/>
    <s v="GoldMine Sacks"/>
    <m/>
    <n v="-3164.029507293673"/>
    <n v="6386.729111458075"/>
    <n v="23.49079939998884"/>
    <n v="529.4993984362329"/>
    <n v="-3.109424299922761"/>
    <n v="-16.69187658431862"/>
    <n v="47460.4426094051"/>
    <n v="-95800.93667187112"/>
    <n v="-352.3619909998326"/>
    <n v="-7942.490976543494"/>
    <n v="46.64136449884141"/>
    <n v="250.3781487647793"/>
    <n v="-13924.4868377524"/>
    <n v="-5786.836503736078"/>
    <n v="-2623.171345362275"/>
    <n v="-988.2186977477204"/>
    <n v="911.5851094895174"/>
    <n v="2144.450361715394"/>
    <n v="3875.579985780421"/>
    <n v="6349.916969353098"/>
    <n v="3469.051451324972"/>
    <n v="1750.248988741241"/>
    <n v="703.0379943069988"/>
    <n v="351.9529459358"/>
    <n v="-352.7476916970613"/>
    <n v="-706.2229490056916"/>
    <n v="-1770.419320076921"/>
    <n v="-3553.695279942306"/>
  </r>
  <r>
    <x v="2"/>
    <n v="10022"/>
    <n v="0.005"/>
    <s v="Option"/>
    <s v="JPY"/>
    <n v="-20"/>
    <x v="25"/>
    <s v="Call"/>
    <x v="1"/>
    <n v="0.3295010100547117"/>
    <n v="0.005"/>
    <n v="438.9963930770969"/>
    <n v="-8779.927861541937"/>
    <s v="Exch"/>
    <m/>
    <n v="3399.850726505106"/>
    <n v="8424.163052535167"/>
    <n v="24.18342286649158"/>
    <n v="1907.420276560372"/>
    <n v="-2.499792093260643"/>
    <n v="12.89796819219325"/>
    <n v="-67997.01453010211"/>
    <n v="-168483.2610507033"/>
    <n v="-483.6684573298317"/>
    <n v="-38148.40553120744"/>
    <n v="49.99584186521285"/>
    <n v="-257.9593638438649"/>
    <n v="7702.294843627365"/>
    <n v="5194.570572045291"/>
    <n v="2986.797881093735"/>
    <n v="1292.99766572577"/>
    <n v="-1427.688943171461"/>
    <n v="-3825.50679568024"/>
    <n v="-8505.847718972882"/>
    <n v="-20303.22769311072"/>
    <n v="4569.689596149801"/>
    <n v="2362.545347502664"/>
    <n v="959.2311313346272"/>
    <n v="481.7031294589833"/>
    <n v="-485.5209387975992"/>
    <n v="-974.5380846376429"/>
    <n v="-2459.800417787719"/>
    <n v="-4982.811915276998"/>
  </r>
  <r>
    <x v="2"/>
    <n v="10022"/>
    <n v="0.005"/>
    <s v="Option"/>
    <s v="JPY"/>
    <n v="-10"/>
    <x v="25"/>
    <s v="Put"/>
    <x v="1"/>
    <n v="0.3295010100547117"/>
    <n v="0.005"/>
    <n v="1639.379011671045"/>
    <n v="-16393.79011671045"/>
    <s v="UBS"/>
    <m/>
    <n v="-6600.344288913485"/>
    <n v="8424.163052535167"/>
    <n v="24.18342286649158"/>
    <n v="1907.420276560372"/>
    <n v="-2.483348495745657"/>
    <n v="-35.89358917240932"/>
    <n v="66003.44288913485"/>
    <n v="-84241.63052535166"/>
    <n v="-241.8342286649158"/>
    <n v="-19074.20276560372"/>
    <n v="24.83348495745657"/>
    <n v="358.9358917240932"/>
    <n v="-16149.24260902349"/>
    <n v="-7402.909729395924"/>
    <n v="-3506.698567162439"/>
    <n v="-1353.540170220849"/>
    <n v="1286.194531497977"/>
    <n v="3087.344109869164"/>
    <n v="5747.27115593214"/>
    <n v="9848.776184281811"/>
    <n v="2284.844798074882"/>
    <n v="1181.272673751319"/>
    <n v="479.6155656673182"/>
    <n v="240.8515647294735"/>
    <n v="-242.7604693988178"/>
    <n v="-487.2690423188305"/>
    <n v="-1229.90020889386"/>
    <n v="-2491.405957638508"/>
  </r>
  <r>
    <x v="2"/>
    <n v="10022"/>
    <n v="0.005"/>
    <s v="Option"/>
    <s v="JPY"/>
    <n v="-15"/>
    <x v="23"/>
    <s v="Call"/>
    <x v="1"/>
    <n v="0.3475378258395254"/>
    <n v="0.005"/>
    <n v="784.3135824308338"/>
    <n v="-11764.70373646251"/>
    <s v="Exch"/>
    <m/>
    <n v="4942.976812367967"/>
    <n v="8695.404943843268"/>
    <n v="26.32850183602358"/>
    <n v="26.43412860308827"/>
    <n v="-2.866661728544118"/>
    <n v="18.11582064547957"/>
    <n v="-74144.6521855195"/>
    <n v="-130431.074157649"/>
    <n v="-394.9275275403538"/>
    <n v="-396.511929046324"/>
    <n v="42.99992592816178"/>
    <n v="-271.7373096821935"/>
    <n v="9638.349611846897"/>
    <n v="6090.123821716661"/>
    <n v="3377.295499514707"/>
    <n v="1430.42512247674"/>
    <n v="-1534.710216292983"/>
    <n v="-4027.120819445854"/>
    <n v="-8661.728455551907"/>
    <n v="-19498.4098060038"/>
    <n v="3942.764951947549"/>
    <n v="1973.655504274902"/>
    <n v="789.7469322386587"/>
    <n v="394.9041845495549"/>
    <n v="-394.9439919340693"/>
    <n v="-789.9080421749613"/>
    <n v="-1974.746342702315"/>
    <n v="-3948.4283831317"/>
  </r>
  <r>
    <x v="2"/>
    <n v="10022"/>
    <n v="0.005"/>
    <s v="Option"/>
    <s v="JPY"/>
    <n v="-20"/>
    <x v="21"/>
    <s v="Put"/>
    <x v="1"/>
    <n v="0.36"/>
    <n v="0.005"/>
    <n v="945.6981147577571"/>
    <n v="-18913.96229515514"/>
    <s v="Exch"/>
    <m/>
    <n v="-4527.248450330417"/>
    <n v="8336.218676837028"/>
    <n v="26.14603600340556"/>
    <n v="-102.5067877284202"/>
    <n v="-2.946973835463809"/>
    <n v="-23.84105489997314"/>
    <n v="90544.96900660833"/>
    <n v="-166724.3735367406"/>
    <n v="-522.9207200681112"/>
    <n v="2050.135754568403"/>
    <n v="58.93947670927618"/>
    <n v="476.8210979994628"/>
    <n v="-25040.60427807479"/>
    <n v="-10782.49054738591"/>
    <n v="-4953.164402520761"/>
    <n v="-1878.223926455885"/>
    <n v="1744.906501383084"/>
    <n v="4121.966168089821"/>
    <n v="7486.707448167481"/>
    <n v="12315.01981279609"/>
    <n v="5238.51951206394"/>
    <n v="2617.049133538676"/>
    <n v="1046.243976964361"/>
    <n v="523.0222908387441"/>
    <n v="-522.8172778188309"/>
    <n v="-1045.423931551195"/>
    <n v="-2611.924141351956"/>
    <n v="-5218.023708960045"/>
  </r>
  <r>
    <x v="2"/>
    <n v="10022"/>
    <n v="0.005"/>
    <s v="Option"/>
    <s v="JPY"/>
    <n v="-20"/>
    <x v="26"/>
    <s v="Call"/>
    <x v="1"/>
    <n v="0.3281105732045441"/>
    <n v="0.005"/>
    <n v="362.5000631662388"/>
    <n v="-7250.001263324775"/>
    <s v="JP Horgan"/>
    <m/>
    <n v="2956.454929735491"/>
    <n v="7974.466703857101"/>
    <n v="22.7958678219887"/>
    <n v="2811.2702220085"/>
    <n v="-2.347098792177893"/>
    <n v="11.29969380231538"/>
    <n v="-59129.09859470982"/>
    <n v="-159489.334077142"/>
    <n v="-455.9173564397739"/>
    <n v="-56225.40444017001"/>
    <n v="46.94197584355785"/>
    <n v="-225.9938760463075"/>
    <n v="6447.588746148129"/>
    <n v="4422.610835843129"/>
    <n v="2569.240931612812"/>
    <n v="1119.459065854708"/>
    <n v="-1246.962942583859"/>
    <n v="-3363.282504347144"/>
    <n v="-7558.838218499877"/>
    <n v="-18405.09847552767"/>
    <n v="4176.233409359338"/>
    <n v="2198.286977855287"/>
    <n v="899.9383088741524"/>
    <n v="453.0267079478472"/>
    <n v="-458.6530492197653"/>
    <n v="-922.4893692084879"/>
    <n v="-2341.252678896617"/>
    <n v="-4778.249558541511"/>
  </r>
  <r>
    <x v="2"/>
    <n v="10022"/>
    <n v="0.005"/>
    <s v="Option"/>
    <s v="JPY"/>
    <n v="5"/>
    <x v="24"/>
    <s v="Put"/>
    <x v="1"/>
    <n v="0.4841392478686579"/>
    <n v="0.005"/>
    <n v="571.2981845250474"/>
    <n v="2856.490922625237"/>
    <s v="Exch"/>
    <m/>
    <n v="-2519.871971557293"/>
    <n v="4993.361017618858"/>
    <n v="21.06189838562524"/>
    <n v="1013.820927974215"/>
    <n v="-3.19874369656116"/>
    <n v="-13.46564533745457"/>
    <n v="-12599.35985778646"/>
    <n v="24966.80508809429"/>
    <n v="105.3094919281262"/>
    <n v="5069.104639871073"/>
    <n v="-15.9937184828058"/>
    <n v="-67.32822668727287"/>
    <n v="3723.864527716448"/>
    <n v="1535.653679847574"/>
    <n v="695.6301417262625"/>
    <n v="262.1806086835522"/>
    <n v="-242.2052692895886"/>
    <n v="-570.7230515894298"/>
    <n v="-1035.203806898729"/>
    <n v="-1712.169529001152"/>
    <n v="-1020.958094829523"/>
    <n v="-519.4442181685304"/>
    <n v="-209.5587794450398"/>
    <n v="-105.0503430324306"/>
    <n v="105.5574511705049"/>
    <n v="211.5895869393034"/>
    <n v="532.2414218417043"/>
    <n v="1073.686022690767"/>
  </r>
  <r>
    <x v="2"/>
    <n v="10022"/>
    <n v="0.005"/>
    <s v="Option"/>
    <s v="JPY"/>
    <n v="-20"/>
    <x v="26"/>
    <s v="Call"/>
    <x v="1"/>
    <n v="0.3281105732045441"/>
    <n v="0.005"/>
    <n v="362.5000631662388"/>
    <n v="-7250.001263324775"/>
    <s v="Exch"/>
    <m/>
    <n v="2956.454929735491"/>
    <n v="7974.466703857101"/>
    <n v="22.7958678219887"/>
    <n v="2811.2702220085"/>
    <n v="-2.347098792177893"/>
    <n v="11.29969380231538"/>
    <n v="-59129.09859470982"/>
    <n v="-159489.334077142"/>
    <n v="-455.9173564397739"/>
    <n v="-56225.40444017001"/>
    <n v="46.94197584355785"/>
    <n v="-225.9938760463075"/>
    <n v="6447.588746148129"/>
    <n v="4422.610835843129"/>
    <n v="2569.240931612812"/>
    <n v="1119.459065854708"/>
    <n v="-1246.962942583859"/>
    <n v="-3363.282504347144"/>
    <n v="-7558.838218499877"/>
    <n v="-18405.09847552767"/>
    <n v="4176.233409359338"/>
    <n v="2198.286977855287"/>
    <n v="899.9383088741524"/>
    <n v="453.0267079478472"/>
    <n v="-458.6530492197653"/>
    <n v="-922.4893692084879"/>
    <n v="-2341.252678896617"/>
    <n v="-4778.249558541511"/>
  </r>
  <r>
    <x v="2"/>
    <n v="10022"/>
    <n v="0.005"/>
    <s v="Option"/>
    <s v="JPY"/>
    <n v="-10"/>
    <x v="27"/>
    <s v="Put"/>
    <x v="2"/>
    <n v="0.3475203670257166"/>
    <n v="0.0075"/>
    <n v="972.6727676622968"/>
    <n v="-9726.727676622968"/>
    <s v="Darklays Capital"/>
    <m/>
    <n v="-3985.691342855363"/>
    <n v="6704.035097042088"/>
    <n v="31.91491421201853"/>
    <n v="-74.75806272133087"/>
    <n v="-2.170930857605218"/>
    <n v="-33.96139801724425"/>
    <n v="39856.91342855363"/>
    <n v="-67040.35097042087"/>
    <n v="-319.1491421201853"/>
    <n v="747.5806272133087"/>
    <n v="21.70930857605218"/>
    <n v="339.6139801724425"/>
    <n v="-10899.8660266123"/>
    <n v="-4693.638320882064"/>
    <n v="-2165.462777612456"/>
    <n v="-824.2859472539021"/>
    <n v="770.6655255609439"/>
    <n v="1830.725531545577"/>
    <n v="3360.333476814922"/>
    <n v="5660.627051530464"/>
    <n v="3191.992554252452"/>
    <n v="1596.324546443839"/>
    <n v="638.4264661403313"/>
    <n v="319.1839068779836"/>
    <n v="-319.1092451477198"/>
    <n v="-638.1289789657012"/>
    <n v="-1594.516997140568"/>
    <n v="-3185.56413894436"/>
  </r>
  <r>
    <x v="2"/>
    <n v="10022"/>
    <n v="0.005"/>
    <s v="Option"/>
    <s v="JPY"/>
    <n v="-5"/>
    <x v="28"/>
    <s v="Put"/>
    <x v="2"/>
    <n v="0.5752835905302579"/>
    <n v="0.0075"/>
    <n v="710.9240604862707"/>
    <n v="-3554.620302431354"/>
    <s v="Exch"/>
    <m/>
    <n v="-2064.278620021756"/>
    <n v="2994.653381399031"/>
    <n v="23.59965684444949"/>
    <n v="1147.225085724329"/>
    <n v="-2.686552141653563"/>
    <n v="-19.00823753772621"/>
    <n v="10321.39310010878"/>
    <n v="-14973.26690699516"/>
    <n v="-117.9982842222474"/>
    <n v="-5736.125428621644"/>
    <n v="13.43276070826782"/>
    <n v="95.04118768863107"/>
    <n v="-2782.544258127605"/>
    <n v="-1196.138806056197"/>
    <n v="-555.2427937265384"/>
    <n v="-212.5268333849021"/>
    <n v="200.5459468074446"/>
    <n v="480.2878091970604"/>
    <n v="895.2632014045366"/>
    <n v="1562.65677278965"/>
    <n v="1144.486148603106"/>
    <n v="582.03290806376"/>
    <n v="234.801056564977"/>
    <n v="117.7055273429846"/>
    <n v="-118.279303314705"/>
    <n v="-237.0981230357802"/>
    <n v="-596.4758148290593"/>
    <n v="-1203.511617888212"/>
  </r>
  <r>
    <x v="2"/>
    <n v="10022"/>
    <n v="0.005"/>
    <s v="Option"/>
    <s v="JPY"/>
    <n v="-10"/>
    <x v="27"/>
    <s v="Put"/>
    <x v="2"/>
    <n v="0.3475203670257166"/>
    <n v="0.0075"/>
    <n v="972.6727676622968"/>
    <n v="-9726.727676622968"/>
    <s v="JP Horgan"/>
    <m/>
    <n v="-3985.691342855363"/>
    <n v="6704.035097042088"/>
    <n v="31.91491421201853"/>
    <n v="-74.75806272133087"/>
    <n v="-2.170930857605218"/>
    <n v="-33.96139801724425"/>
    <n v="39856.91342855363"/>
    <n v="-67040.35097042087"/>
    <n v="-319.1491421201853"/>
    <n v="747.5806272133087"/>
    <n v="21.70930857605218"/>
    <n v="339.6139801724425"/>
    <n v="-10899.8660266123"/>
    <n v="-4693.638320882064"/>
    <n v="-2165.462777612456"/>
    <n v="-824.2859472539021"/>
    <n v="770.6655255609439"/>
    <n v="1830.725531545577"/>
    <n v="3360.333476814922"/>
    <n v="5660.627051530464"/>
    <n v="3191.992554252452"/>
    <n v="1596.324546443839"/>
    <n v="638.4264661403313"/>
    <n v="319.1839068779836"/>
    <n v="-319.1092451477198"/>
    <n v="-638.1289789657012"/>
    <n v="-1594.516997140568"/>
    <n v="-3185.56413894436"/>
  </r>
  <r>
    <x v="2"/>
    <n v="10022"/>
    <n v="0.005"/>
    <s v="Option"/>
    <s v="JPY"/>
    <n v="-10"/>
    <x v="29"/>
    <s v="Put"/>
    <x v="2"/>
    <n v="0.4228512253383577"/>
    <n v="0.0075"/>
    <n v="783.326503009203"/>
    <n v="-7833.26503009203"/>
    <s v="Exch"/>
    <m/>
    <n v="-2924.239161183673"/>
    <n v="4906.516391216428"/>
    <n v="28.42091052285759"/>
    <n v="715.8266140903301"/>
    <n v="-2.367438582552025"/>
    <n v="-25.39428537118408"/>
    <n v="29242.39161183673"/>
    <n v="-49065.16391216428"/>
    <n v="-284.2091052285759"/>
    <n v="-7158.266140903301"/>
    <n v="23.67438582552025"/>
    <n v="253.9428537118408"/>
    <n v="-8136.675496456587"/>
    <n v="-3456.688251316186"/>
    <n v="-1590.023770350926"/>
    <n v="-604.8090943284978"/>
    <n v="565.5557437797461"/>
    <n v="1344.651588475331"/>
    <n v="2474.715496617459"/>
    <n v="4205.292475926076"/>
    <n v="2791.876002815629"/>
    <n v="1410.50621687431"/>
    <n v="566.8913463849231"/>
    <n v="283.8395426626676"/>
    <n v="-284.5558410764215"/>
    <n v="-569.7622123681458"/>
    <n v="-1428.700142010543"/>
    <n v="-2868.40770511913"/>
  </r>
  <r>
    <x v="2"/>
    <n v="10022"/>
    <n v="0.005"/>
    <s v="Option"/>
    <s v="JPY"/>
    <n v="-10"/>
    <x v="29"/>
    <s v="Put"/>
    <x v="2"/>
    <n v="0.4228512253383577"/>
    <n v="0.0075"/>
    <n v="783.326503009203"/>
    <n v="-7833.26503009203"/>
    <s v="Exch"/>
    <m/>
    <n v="-2924.239161183673"/>
    <n v="4906.516391216428"/>
    <n v="28.42091052285759"/>
    <n v="715.8266140903301"/>
    <n v="-2.367438582552025"/>
    <n v="-25.39428537118408"/>
    <n v="29242.39161183673"/>
    <n v="-49065.16391216428"/>
    <n v="-284.2091052285759"/>
    <n v="-7158.266140903301"/>
    <n v="23.67438582552025"/>
    <n v="253.9428537118408"/>
    <n v="-8136.675496456587"/>
    <n v="-3456.688251316186"/>
    <n v="-1590.023770350926"/>
    <n v="-604.8090943284978"/>
    <n v="565.5557437797461"/>
    <n v="1344.651588475331"/>
    <n v="2474.715496617459"/>
    <n v="4205.292475926076"/>
    <n v="2791.876002815629"/>
    <n v="1410.50621687431"/>
    <n v="566.8913463849231"/>
    <n v="283.8395426626676"/>
    <n v="-284.5558410764215"/>
    <n v="-569.7622123681458"/>
    <n v="-1428.700142010543"/>
    <n v="-2868.40770511913"/>
  </r>
</pivotCacheRecords>
</file>

<file path=xl/pivotCache/pivotCacheRecords2.xml><?xml version="1.0" encoding="utf-8"?>
<pivotCacheRecords xmlns="http://schemas.openxmlformats.org/spreadsheetml/2006/main" count="83">
  <r>
    <x v="0"/>
    <n v="1100"/>
    <n v="0.02"/>
    <s v="Future"/>
    <s v="USD"/>
    <n v="25"/>
    <x v="0"/>
    <m/>
    <x v="0"/>
    <n v="0"/>
    <m/>
    <n v="1095.908996192194"/>
    <n v="27397.72490480484"/>
    <s v="Exch"/>
    <m/>
    <n v="1095.908996192194"/>
    <n v="0"/>
    <n v="0"/>
    <n v="0"/>
    <n v="0.06004980801053116"/>
    <n v="2.04169347235806"/>
    <n v="27397.72490480484"/>
    <n v="0"/>
    <n v="0"/>
    <n v="0"/>
    <n v="1.501245200263279"/>
    <n v="51.0423368089515"/>
    <n v="-5479.544980960966"/>
    <n v="-2739.772490480485"/>
    <n v="-1369.886245240241"/>
    <n v="-547.9544980960952"/>
    <n v="547.9544980960952"/>
    <n v="1369.886245240241"/>
    <n v="2739.772490480487"/>
    <n v="5479.544980960969"/>
    <n v="0"/>
    <n v="0"/>
    <n v="0"/>
    <n v="0"/>
    <n v="0"/>
    <n v="0"/>
    <n v="0"/>
    <n v="0"/>
  </r>
  <r>
    <x v="0"/>
    <n v="1100"/>
    <n v="0.02"/>
    <s v="Option"/>
    <s v="USD"/>
    <n v="200"/>
    <x v="1"/>
    <s v="Put"/>
    <x v="0"/>
    <n v="0.5325258170485654"/>
    <n v="0.011"/>
    <n v="33.09939147539134"/>
    <n v="6619.878295078269"/>
    <s v="Exch"/>
    <m/>
    <n v="-227.5380701042439"/>
    <n v="682.4660394628205"/>
    <n v="1.354153062934406"/>
    <n v="121.1586845440492"/>
    <n v="-0.534849384089666"/>
    <n v="-0.4855711612990464"/>
    <n v="-45507.61402084878"/>
    <n v="136493.2078925641"/>
    <n v="270.8306125868813"/>
    <n v="24231.73690880983"/>
    <n v="-106.9698768179332"/>
    <n v="-97.11423225980928"/>
    <n v="16176.79289262247"/>
    <n v="6125.478761343703"/>
    <n v="2642.787008386876"/>
    <n v="966.4139176153185"/>
    <n v="-857.196622923783"/>
    <n v="-1959.450815020625"/>
    <n v="-3382.688142442936"/>
    <n v="-5110.629609552717"/>
    <n v="-2563.856827790943"/>
    <n v="-1321.172913516568"/>
    <n v="-536.6502981361805"/>
    <n v="-269.598753840728"/>
    <n v="272.0225053165336"/>
    <n v="546.3522413901956"/>
    <n v="1382.114596725404"/>
    <n v="2812.032049908163"/>
  </r>
  <r>
    <x v="0"/>
    <n v="1100"/>
    <n v="0.02"/>
    <s v="Option"/>
    <s v="USD"/>
    <n v="-50"/>
    <x v="2"/>
    <s v="Put"/>
    <x v="0"/>
    <n v="0.4707931821692227"/>
    <n v="0.011"/>
    <n v="44.90861420603579"/>
    <n v="-2245.43071030179"/>
    <s v="Exch"/>
    <m/>
    <n v="-316.2850594743671"/>
    <n v="920.9464283341795"/>
    <n v="1.61551344509547"/>
    <n v="67.76664176852623"/>
    <n v="-0.5656900432575139"/>
    <n v="-0.672908761925134"/>
    <n v="15814.25297371835"/>
    <n v="-46047.32141670898"/>
    <n v="-80.77567225477351"/>
    <n v="-3388.332088426311"/>
    <n v="28.2845021628757"/>
    <n v="33.6454380962567"/>
    <n v="-5357.9581345447"/>
    <n v="-2094.854023358704"/>
    <n v="-912.7971359862272"/>
    <n v="-335.1590679333299"/>
    <n v="298.3291691245682"/>
    <n v="682.8763344935439"/>
    <n v="1179.231253684982"/>
    <n v="1774.033292378755"/>
    <n v="786.3588997098589"/>
    <n v="399.1440852313644"/>
    <n v="160.8436383434906"/>
    <n v="80.60257330387799"/>
    <n v="-80.94154369867681"/>
    <n v="-162.201168430451"/>
    <n v="-407.7013723889678"/>
    <n v="-821.6623738128931"/>
  </r>
  <r>
    <x v="0"/>
    <n v="1100"/>
    <n v="0.02"/>
    <s v="Option"/>
    <s v="USD"/>
    <n v="25"/>
    <x v="3"/>
    <s v="Put"/>
    <x v="0"/>
    <n v="0.4092008007118651"/>
    <n v="0.011"/>
    <n v="78.1073245832298"/>
    <n v="1952.683114580745"/>
    <s v="GoldMine Sacks"/>
    <m/>
    <n v="-513.5306918316134"/>
    <n v="1233.846388844411"/>
    <n v="1.881237438816394"/>
    <n v="-3.543955931682728"/>
    <n v="-0.576340735876568"/>
    <n v="-1.102229729211215"/>
    <n v="-12838.26729579033"/>
    <n v="30846.15972111029"/>
    <n v="47.03093597040986"/>
    <n v="-88.59889829206821"/>
    <n v="-14.4085183969142"/>
    <n v="-27.55574323028037"/>
    <n v="3781.141604588538"/>
    <n v="1598.865505889609"/>
    <n v="720.396043236255"/>
    <n v="269.2106863984293"/>
    <n v="-244.5571997166923"/>
    <n v="-567.0774191771272"/>
    <n v="-996.3354308569692"/>
    <n v="-1530.561096916069"/>
    <n v="-470.7143982779485"/>
    <n v="-235.2607162577186"/>
    <n v="-94.07929115177467"/>
    <n v="-47.0353283828274"/>
    <n v="47.02646856554225"/>
    <n v="94.04385275494178"/>
    <n v="235.0392649166977"/>
    <n v="469.8291737894309"/>
  </r>
  <r>
    <x v="0"/>
    <n v="1100"/>
    <n v="0.02"/>
    <s v="Option"/>
    <s v="USD"/>
    <n v="-25"/>
    <x v="4"/>
    <s v="Put"/>
    <x v="0"/>
    <n v="0.4459860202131875"/>
    <n v="0.011"/>
    <n v="53.50724334772207"/>
    <n v="-1337.681083693052"/>
    <s v="Exch"/>
    <m/>
    <n v="-374.0122568755106"/>
    <n v="1044.493639050311"/>
    <n v="1.73569370755214"/>
    <n v="34.45450458698229"/>
    <n v="-0.5767972677817605"/>
    <n v="-0.7964746853473922"/>
    <n v="9350.306421887766"/>
    <n v="-26112.34097625777"/>
    <n v="-43.39234268880351"/>
    <n v="-861.3626146745572"/>
    <n v="14.41993169454401"/>
    <n v="19.9118671336848"/>
    <n v="-3046.394863433512"/>
    <n v="-1219.088485945504"/>
    <n v="-535.9668352082821"/>
    <n v="-197.6633499303929"/>
    <n v="176.7833021131239"/>
    <n v="405.7904150438844"/>
    <n v="703.084797023206"/>
    <n v="1060.748591843219"/>
    <n v="428.261684693824"/>
    <n v="215.735429013256"/>
    <n v="86.60346493189195"/>
    <n v="43.34817985887724"/>
    <n v="-43.43436072914955"/>
    <n v="-86.94872468048658"/>
    <n v="-217.9170193411039"/>
    <n v="-437.3420845960339"/>
  </r>
  <r>
    <x v="0"/>
    <n v="1100"/>
    <n v="0.02"/>
    <s v="Option"/>
    <s v="USD"/>
    <n v="25"/>
    <x v="5"/>
    <s v="Call"/>
    <x v="0"/>
    <n v="0.3793639135461981"/>
    <n v="0.011"/>
    <n v="26.99777579765231"/>
    <n v="674.9443949413078"/>
    <s v="Exch"/>
    <m/>
    <n v="293.1240565617219"/>
    <n v="1101.260433568681"/>
    <n v="1.556654017426271"/>
    <n v="199.6653643700281"/>
    <n v="-0.4261780343552777"/>
    <n v="0.4957969066289515"/>
    <n v="7328.101414043047"/>
    <n v="27531.51083921702"/>
    <n v="38.91635043565677"/>
    <n v="4991.634109250702"/>
    <n v="-10.65445085888194"/>
    <n v="12.39492266572379"/>
    <n v="-644.7685825161076"/>
    <n v="-489.3359520678771"/>
    <n v="-301.2067035105147"/>
    <n v="-135.7657617242609"/>
    <n v="157.7672904110528"/>
    <n v="437.9469910669286"/>
    <n v="1025.716423049307"/>
    <n v="2643.161893371674"/>
    <n v="-357.1810748035489"/>
    <n v="-187.5592700871664"/>
    <n v="-76.78740630092804"/>
    <n v="-38.66101910866462"/>
    <n v="39.16041214256296"/>
    <n v="78.78773694845762"/>
    <n v="200.1828130175369"/>
    <n v="409.4542762537003"/>
  </r>
  <r>
    <x v="0"/>
    <n v="1100"/>
    <n v="0.02"/>
    <s v="Option"/>
    <s v="USD"/>
    <n v="25"/>
    <x v="3"/>
    <s v="Call"/>
    <x v="0"/>
    <n v="0.4092008007118651"/>
    <n v="0.011"/>
    <n v="76.26825909707736"/>
    <n v="1906.706477426934"/>
    <s v="Exch"/>
    <m/>
    <n v="582.3783043605804"/>
    <n v="1233.846388844411"/>
    <n v="1.881237438816394"/>
    <n v="-3.543955931682728"/>
    <n v="-0.5493737461631925"/>
    <n v="0.9428899473402247"/>
    <n v="14559.45760901451"/>
    <n v="30846.15972111029"/>
    <n v="47.03093597040986"/>
    <n v="-88.59889829206821"/>
    <n v="-13.73434365407981"/>
    <n v="23.57224868350562"/>
    <n v="-1698.403376372433"/>
    <n v="-1140.90698459088"/>
    <n v="-649.4902020039874"/>
    <n v="-278.7438116976688"/>
    <n v="303.3972983794001"/>
    <n v="802.808826063108"/>
    <n v="1743.437059623517"/>
    <n v="3948.983884044898"/>
    <n v="-470.7143982779513"/>
    <n v="-235.2607162577186"/>
    <n v="-94.07929115177751"/>
    <n v="-47.03532838283024"/>
    <n v="47.02646856554082"/>
    <n v="94.04385275493894"/>
    <n v="235.0392649166963"/>
    <n v="469.8291737894237"/>
  </r>
  <r>
    <x v="0"/>
    <n v="1100"/>
    <n v="0.02"/>
    <s v="Option"/>
    <s v="USD"/>
    <n v="-50"/>
    <x v="4"/>
    <s v="Put"/>
    <x v="0"/>
    <n v="0.4459860202131875"/>
    <n v="0.011"/>
    <n v="53.50724334772207"/>
    <n v="-2675.362167386103"/>
    <s v="Exch"/>
    <m/>
    <n v="-374.0122568755106"/>
    <n v="1044.493639050311"/>
    <n v="1.73569370755214"/>
    <n v="34.45450458698229"/>
    <n v="-0.5767972677817605"/>
    <n v="-0.7964746853473922"/>
    <n v="18700.61284377553"/>
    <n v="-52224.68195251554"/>
    <n v="-86.78468537760702"/>
    <n v="-1722.725229349114"/>
    <n v="28.83986338908803"/>
    <n v="39.82373426736961"/>
    <n v="-6092.789726867025"/>
    <n v="-2438.176971891008"/>
    <n v="-1071.933670416564"/>
    <n v="-395.3266998607859"/>
    <n v="353.5666042262477"/>
    <n v="811.5808300877688"/>
    <n v="1406.169594046412"/>
    <n v="2121.497183686438"/>
    <n v="856.5233693876479"/>
    <n v="431.4708580265119"/>
    <n v="173.2069298637839"/>
    <n v="86.69635971775449"/>
    <n v="-86.86872145829909"/>
    <n v="-173.8974493609732"/>
    <n v="-435.8340386822078"/>
    <n v="-874.6841691920679"/>
  </r>
  <r>
    <x v="0"/>
    <n v="1100"/>
    <n v="0.02"/>
    <s v="Option"/>
    <s v="USD"/>
    <n v="-50"/>
    <x v="4"/>
    <s v="Put"/>
    <x v="0"/>
    <n v="0.4459860202131875"/>
    <n v="0.011"/>
    <n v="53.50724334772207"/>
    <n v="-2675.362167386103"/>
    <s v="GoldMine Sacks"/>
    <m/>
    <n v="-374.0122568755106"/>
    <n v="1044.493639050311"/>
    <n v="1.73569370755214"/>
    <n v="34.45450458698229"/>
    <n v="-0.5767972677817605"/>
    <n v="-0.7964746853473922"/>
    <n v="18700.61284377553"/>
    <n v="-52224.68195251554"/>
    <n v="-86.78468537760702"/>
    <n v="-1722.725229349114"/>
    <n v="28.83986338908803"/>
    <n v="39.82373426736961"/>
    <n v="-6092.789726867025"/>
    <n v="-2438.176971891008"/>
    <n v="-1071.933670416564"/>
    <n v="-395.3266998607859"/>
    <n v="353.5666042262477"/>
    <n v="811.5808300877688"/>
    <n v="1406.169594046412"/>
    <n v="2121.497183686438"/>
    <n v="856.5233693876479"/>
    <n v="431.4708580265119"/>
    <n v="173.2069298637839"/>
    <n v="86.69635971775449"/>
    <n v="-86.86872145829909"/>
    <n v="-173.8974493609732"/>
    <n v="-435.8340386822078"/>
    <n v="-874.6841691920679"/>
  </r>
  <r>
    <x v="0"/>
    <n v="1100"/>
    <n v="0.02"/>
    <s v="Option"/>
    <s v="USD"/>
    <n v="-50"/>
    <x v="3"/>
    <s v="Call"/>
    <x v="0"/>
    <n v="0.4092008007118651"/>
    <n v="0.011"/>
    <n v="76.26825909707736"/>
    <n v="-3813.412954853868"/>
    <s v="GoldMine Sacks"/>
    <m/>
    <n v="582.3783043605804"/>
    <n v="1233.846388844411"/>
    <n v="1.881237438816394"/>
    <n v="-3.543955931682728"/>
    <n v="-0.5493737461631925"/>
    <n v="0.9428899473402247"/>
    <n v="-29118.91521802902"/>
    <n v="-61692.31944222057"/>
    <n v="-94.06187194081971"/>
    <n v="177.1977965841364"/>
    <n v="27.46868730815962"/>
    <n v="-47.14449736701123"/>
    <n v="3396.806752744865"/>
    <n v="2281.813969181761"/>
    <n v="1298.980404007975"/>
    <n v="557.4876233953376"/>
    <n v="-606.7945967588003"/>
    <n v="-1605.617652126216"/>
    <n v="-3486.874119247034"/>
    <n v="-7897.967768089797"/>
    <n v="941.4287965559026"/>
    <n v="470.5214325154373"/>
    <n v="188.158582303555"/>
    <n v="94.07065676566049"/>
    <n v="-94.05293713108165"/>
    <n v="-188.0877055098779"/>
    <n v="-470.0785298333926"/>
    <n v="-939.6583475788475"/>
  </r>
  <r>
    <x v="0"/>
    <n v="1100"/>
    <n v="0.02"/>
    <s v="Option"/>
    <s v="USD"/>
    <n v="30"/>
    <x v="5"/>
    <s v="Call"/>
    <x v="0"/>
    <n v="0.3793639135461981"/>
    <n v="0.011"/>
    <n v="26.99777579765231"/>
    <n v="809.9332739295693"/>
    <s v="Exch"/>
    <m/>
    <n v="293.1240565617219"/>
    <n v="1101.260433568681"/>
    <n v="1.556654017426271"/>
    <n v="199.6653643700281"/>
    <n v="-0.4261780343552777"/>
    <n v="0.4957969066289515"/>
    <n v="8793.721696851657"/>
    <n v="33037.81300706042"/>
    <n v="46.69962052278812"/>
    <n v="5989.960931100843"/>
    <n v="-12.78534103065833"/>
    <n v="14.87390719886855"/>
    <n v="-773.7222990193292"/>
    <n v="-587.2031424814526"/>
    <n v="-361.4480442126177"/>
    <n v="-162.918914069113"/>
    <n v="189.3207484932634"/>
    <n v="525.5363892803143"/>
    <n v="1230.859707659169"/>
    <n v="3171.794272046008"/>
    <n v="-428.6172897642587"/>
    <n v="-225.0711241045997"/>
    <n v="-92.14488756111365"/>
    <n v="-46.39322293039754"/>
    <n v="46.99249457107555"/>
    <n v="94.54528433814914"/>
    <n v="240.2193756210443"/>
    <n v="491.3451315044404"/>
  </r>
  <r>
    <x v="0"/>
    <n v="1100"/>
    <n v="0.02"/>
    <s v="Option"/>
    <s v="USD"/>
    <n v="25"/>
    <x v="1"/>
    <s v="Put"/>
    <x v="0"/>
    <n v="0.5325258170485654"/>
    <n v="0.011"/>
    <n v="33.09939147539134"/>
    <n v="827.4847868847836"/>
    <s v="Exch"/>
    <m/>
    <n v="-227.5380701042439"/>
    <n v="682.4660394628205"/>
    <n v="1.354153062934406"/>
    <n v="121.1586845440492"/>
    <n v="-0.534849384089666"/>
    <n v="-0.4855711612990464"/>
    <n v="-5688.451752606097"/>
    <n v="17061.65098657051"/>
    <n v="33.85382657336016"/>
    <n v="3028.967113601229"/>
    <n v="-13.37123460224165"/>
    <n v="-12.13927903247616"/>
    <n v="2022.099111577808"/>
    <n v="765.6848451679629"/>
    <n v="330.3483760483595"/>
    <n v="120.8017397019148"/>
    <n v="-107.1495778654729"/>
    <n v="-244.9313518775782"/>
    <n v="-422.836017805367"/>
    <n v="-638.8287011940896"/>
    <n v="-320.4821034738678"/>
    <n v="-165.146614189571"/>
    <n v="-67.08128726702256"/>
    <n v="-33.699844230091"/>
    <n v="34.0028131645667"/>
    <n v="68.29403017377444"/>
    <n v="172.7643245906755"/>
    <n v="351.5040062385203"/>
  </r>
  <r>
    <x v="0"/>
    <n v="1100"/>
    <n v="0.02"/>
    <s v="Option"/>
    <s v="USD"/>
    <n v="-20"/>
    <x v="2"/>
    <s v="Call"/>
    <x v="0"/>
    <n v="0.4707931821692227"/>
    <n v="0.011"/>
    <n v="141.8668742709344"/>
    <n v="-2837.337485418689"/>
    <s v="JP Horgan"/>
    <m/>
    <n v="779.6239367178266"/>
    <n v="920.9464283341795"/>
    <n v="1.61551344509547"/>
    <n v="67.76664176852623"/>
    <n v="-0.5357455998973945"/>
    <n v="1.188150143736676"/>
    <n v="-15592.47873435653"/>
    <n v="-18418.92856668359"/>
    <n v="-32.3102689019094"/>
    <n v="-1355.332835370525"/>
    <n v="10.71491199794789"/>
    <n v="-23.76300287473352"/>
    <n v="2240.452730950893"/>
    <n v="1353.876383040908"/>
    <n v="730.7901417976996"/>
    <n v="304.2999713035442"/>
    <n v="-319.0319308270523"/>
    <n v="-822.7584623947746"/>
    <n v="-1720.125490910395"/>
    <n v="-3674.022667817271"/>
    <n v="314.5435598839413"/>
    <n v="159.6576340925458"/>
    <n v="64.33745533739511"/>
    <n v="32.24102932154892"/>
    <n v="-32.37661747947186"/>
    <n v="-64.88046737218156"/>
    <n v="-163.0805489555883"/>
    <n v="-328.6649495251595"/>
  </r>
  <r>
    <x v="0"/>
    <n v="1100"/>
    <n v="0.02"/>
    <s v="Option"/>
    <s v="USD"/>
    <n v="-50"/>
    <x v="3"/>
    <s v="Put"/>
    <x v="1"/>
    <n v="0.3589640083507061"/>
    <n v="0.015"/>
    <n v="104.1323116307589"/>
    <n v="-5206.615581537946"/>
    <s v="Exch"/>
    <m/>
    <n v="-497.7890200400734"/>
    <n v="912.627222179585"/>
    <n v="2.854161742617267"/>
    <n v="-11.0904761000233"/>
    <n v="-0.324722428803233"/>
    <n v="-2.622068266730474"/>
    <n v="24889.45100200367"/>
    <n v="-45631.36110897925"/>
    <n v="-142.7080871308634"/>
    <n v="554.5238050011648"/>
    <n v="16.23612144016165"/>
    <n v="131.1034133365237"/>
    <n v="-6869.145090382327"/>
    <n v="-2961.206435890736"/>
    <n v="-1360.96327795872"/>
    <n v="-516.210428426254"/>
    <n v="479.7226399085986"/>
    <n v="1133.48187174974"/>
    <n v="2059.360377860037"/>
    <n v="3388.936317300343"/>
    <n v="1429.59084194371"/>
    <n v="714.200934882345"/>
    <n v="285.5249946907492"/>
    <n v="142.7355529969901"/>
    <n v="-142.6801010304587"/>
    <n v="-285.3031918020207"/>
    <n v="-712.8148872143839"/>
    <n v="-1424.049962154152"/>
  </r>
  <r>
    <x v="0"/>
    <n v="1100"/>
    <n v="0.02"/>
    <s v="Option"/>
    <s v="USD"/>
    <n v="20"/>
    <x v="4"/>
    <s v="Call"/>
    <x v="1"/>
    <n v="0.3956302003368482"/>
    <n v="0.015"/>
    <n v="144.4322829528683"/>
    <n v="2888.645659057365"/>
    <s v="Exch"/>
    <m/>
    <n v="698.1873200267871"/>
    <n v="780.9680351023568"/>
    <n v="2.691887774755671"/>
    <n v="23.96444496808888"/>
    <n v="-0.3194033928428537"/>
    <n v="2.412247969719263"/>
    <n v="13963.74640053574"/>
    <n v="15619.36070204714"/>
    <n v="53.83775549511342"/>
    <n v="479.2888993617776"/>
    <n v="-6.388067856857075"/>
    <n v="48.24495939438527"/>
    <n v="-2093.085520564954"/>
    <n v="-1228.989917616033"/>
    <n v="-657.6564962816462"/>
    <n v="-272.9297190865964"/>
    <n v="285.4224363563003"/>
    <n v="735.6445370980668"/>
    <n v="1539.608720018275"/>
    <n v="3312.749558392532"/>
    <n v="-534.6993502705072"/>
    <n v="-268.4502653653135"/>
    <n v="-107.5713661272607"/>
    <n v="-53.81277894445702"/>
    <n v="53.86075197398441"/>
    <n v="107.7637891979225"/>
    <n v="269.6764790555335"/>
    <n v="539.9615636123553"/>
  </r>
  <r>
    <x v="0"/>
    <n v="1100"/>
    <n v="0.02"/>
    <s v="Option"/>
    <s v="USD"/>
    <n v="25"/>
    <x v="6"/>
    <s v="Put"/>
    <x v="1"/>
    <n v="0.518386665391483"/>
    <n v="0.015"/>
    <n v="59.06995917705859"/>
    <n v="1476.748979426465"/>
    <s v="GoldMine Sacks"/>
    <m/>
    <n v="-248.8614391100053"/>
    <n v="481.7792967182531"/>
    <n v="2.175886363276067"/>
    <n v="125.8470973836074"/>
    <n v="-0.3556829358286932"/>
    <n v="-1.341399789798442"/>
    <n v="-6221.535977750132"/>
    <n v="12044.48241795633"/>
    <n v="54.39715908190168"/>
    <n v="3146.177434590184"/>
    <n v="-8.892073395717331"/>
    <n v="-33.53499474496105"/>
    <n v="1832.122504903275"/>
    <n v="755.733072092569"/>
    <n v="342.8092182162459"/>
    <n v="129.3512761005914"/>
    <n v="-119.7141744000071"/>
    <n v="-282.5279973918512"/>
    <n v="-513.9253822403596"/>
    <n v="-855.3358481108446"/>
    <n v="-524.5250856996591"/>
    <n v="-267.6285253054559"/>
    <n v="-108.1392499003506"/>
    <n v="-54.23667335487536"/>
    <n v="54.55139075112498"/>
    <n v="109.399316417278"/>
    <n v="275.5565960790534"/>
    <n v="557.0063207553333"/>
  </r>
  <r>
    <x v="0"/>
    <n v="1100"/>
    <n v="0.02"/>
    <s v="Option"/>
    <s v="USD"/>
    <n v="25"/>
    <x v="6"/>
    <s v="Put"/>
    <x v="1"/>
    <n v="0.518386665391483"/>
    <n v="0.015"/>
    <n v="59.06995917705859"/>
    <n v="1476.748979426465"/>
    <s v="Exch"/>
    <m/>
    <n v="-248.8614391100053"/>
    <n v="481.7792967182531"/>
    <n v="2.175886363276067"/>
    <n v="125.8470973836074"/>
    <n v="-0.3556829358286932"/>
    <n v="-1.341399789798442"/>
    <n v="-6221.535977750132"/>
    <n v="12044.48241795633"/>
    <n v="54.39715908190168"/>
    <n v="3146.177434590184"/>
    <n v="-8.892073395717331"/>
    <n v="-33.53499474496105"/>
    <n v="1832.122504903275"/>
    <n v="755.733072092569"/>
    <n v="342.8092182162459"/>
    <n v="129.3512761005914"/>
    <n v="-119.7141744000071"/>
    <n v="-282.5279973918512"/>
    <n v="-513.9253822403596"/>
    <n v="-855.3358481108446"/>
    <n v="-524.5250856996591"/>
    <n v="-267.6285253054559"/>
    <n v="-108.1392499003506"/>
    <n v="-54.23667335487536"/>
    <n v="54.55139075112498"/>
    <n v="109.399316417278"/>
    <n v="275.5565960790534"/>
    <n v="557.0063207553333"/>
  </r>
  <r>
    <x v="0"/>
    <n v="1100"/>
    <n v="0.02"/>
    <s v="Option"/>
    <s v="USD"/>
    <n v="50"/>
    <x v="7"/>
    <s v="Call"/>
    <x v="1"/>
    <n v="0.3296944428996121"/>
    <n v="0.015"/>
    <n v="26.82515722108377"/>
    <n v="1341.257861054189"/>
    <s v="Exch"/>
    <m/>
    <n v="238.2837512717056"/>
    <n v="739.0195870086279"/>
    <n v="2.122764576103181"/>
    <n v="497.8183380890421"/>
    <n v="-0.2157163549014337"/>
    <n v="0.9211483960013389"/>
    <n v="11914.18756358528"/>
    <n v="36950.97935043139"/>
    <n v="106.1382288051591"/>
    <n v="24890.9169044521"/>
    <n v="-10.78581774507169"/>
    <n v="46.05741980006695"/>
    <n v="-1216.45645345771"/>
    <n v="-858.1249723752251"/>
    <n v="-507.5993783379943"/>
    <n v="-223.7649783538032"/>
    <n v="253.3089511763606"/>
    <n v="691.7009400468658"/>
    <n v="1586.877589423244"/>
    <n v="4019.25766443899"/>
    <n v="-902.1957067247811"/>
    <n v="-495.6196696109373"/>
    <n v="-207.0590609869086"/>
    <n v="-104.8643437614757"/>
    <n v="107.3545194143918"/>
    <n v="217.032766679354"/>
    <n v="558.5228083572033"/>
    <n v="1161.776101261526"/>
  </r>
  <r>
    <x v="0"/>
    <n v="1100"/>
    <n v="0.02"/>
    <s v="Option"/>
    <s v="USD"/>
    <n v="50"/>
    <x v="8"/>
    <s v="Call"/>
    <x v="1"/>
    <n v="0.3283072551948273"/>
    <n v="0.015"/>
    <n v="32.22391565597562"/>
    <n v="1611.195782798781"/>
    <s v="Exch"/>
    <m/>
    <n v="275.7217042898087"/>
    <n v="804.3954834359067"/>
    <n v="2.30082908756249"/>
    <n v="411.4997796801517"/>
    <n v="-0.2324392489055518"/>
    <n v="1.060716394322725"/>
    <n v="13786.08521449043"/>
    <n v="40219.77417179534"/>
    <n v="115.0414543781245"/>
    <n v="20574.98898400758"/>
    <n v="-11.62196244527759"/>
    <n v="53.03581971613623"/>
    <n v="-1449.394859138013"/>
    <n v="-1009.969549424164"/>
    <n v="-592.6092273698487"/>
    <n v="-259.8660413947698"/>
    <n v="292.0214183990808"/>
    <n v="792.9135704904397"/>
    <n v="1801.876876368739"/>
    <n v="4480.487862416514"/>
    <n v="-1014.667844685599"/>
    <n v="-545.8430657847075"/>
    <n v="-225.750155181963"/>
    <n v="-113.9860875823075"/>
    <n v="116.0447255792079"/>
    <n v="233.99838837842"/>
    <n v="597.9961105730424"/>
    <n v="1232.014604139953"/>
  </r>
  <r>
    <x v="0"/>
    <n v="1100"/>
    <n v="0.02"/>
    <s v="Option"/>
    <s v="USD"/>
    <n v="-30"/>
    <x v="5"/>
    <s v="Call"/>
    <x v="1"/>
    <n v="0.3293235249564326"/>
    <n v="0.015"/>
    <n v="47.13379188436858"/>
    <n v="-1414.013756531057"/>
    <s v="Exch"/>
    <m/>
    <n v="366.6604611015215"/>
    <n v="915.1851157003123"/>
    <n v="2.625826089760213"/>
    <n v="215.7513989987382"/>
    <n v="-0.2649730487494419"/>
    <n v="1.391910696041844"/>
    <n v="-10999.81383304565"/>
    <n v="-27455.55347100937"/>
    <n v="-78.77478269280641"/>
    <n v="-6472.541969962146"/>
    <n v="7.949191462483257"/>
    <n v="-41.75732088125533"/>
    <n v="1241.98477214733"/>
    <n v="838.834599991852"/>
    <n v="482.7349908729559"/>
    <n v="209.0910006026775"/>
    <n v="-231.0399214405555"/>
    <n v="-619.4091397713123"/>
    <n v="-1378.440421021603"/>
    <n v="-3295.603153168805"/>
    <n v="742.544968444862"/>
    <n v="384.4157662065743"/>
    <n v="156.1747550395495"/>
    <n v="78.4413872996123"/>
    <n v="-79.08914013457888"/>
    <n v="-158.7717649642673"/>
    <n v="-400.9134785338273"/>
    <n v="-812.5775965364943"/>
  </r>
  <r>
    <x v="0"/>
    <n v="1100"/>
    <n v="0.02"/>
    <s v="Option"/>
    <s v="USD"/>
    <n v="-30"/>
    <x v="2"/>
    <s v="Put"/>
    <x v="1"/>
    <n v="0.4203843287663162"/>
    <n v="0.015"/>
    <n v="73.27116137152552"/>
    <n v="-2198.134841145766"/>
    <s v="JP Horgan"/>
    <m/>
    <n v="-347.7427902540462"/>
    <n v="701.7163349929115"/>
    <n v="2.570054658892404"/>
    <n v="55.64401506341058"/>
    <n v="-0.3415042495413246"/>
    <n v="-1.83400598105386"/>
    <n v="10432.28370762139"/>
    <n v="-21051.49004978735"/>
    <n v="-77.10163976677212"/>
    <n v="-1669.320451902317"/>
    <n v="10.24512748623974"/>
    <n v="55.0201794316158"/>
    <n v="-3058.696018023709"/>
    <n v="-1271.764461159105"/>
    <n v="-576.5640965823582"/>
    <n v="-217.2167013400821"/>
    <n v="200.377209100613"/>
    <n v="471.3739110269267"/>
    <n v="851.8595272876132"/>
    <n v="1395.469843059885"/>
    <n v="759.5009340264369"/>
    <n v="383.0735432906317"/>
    <n v="153.8486456498669"/>
    <n v="77.01563439968879"/>
    <n v="-77.18267273036247"/>
    <n v="-154.518076935542"/>
    <n v="-387.3140736268624"/>
    <n v="-777.3117900767232"/>
  </r>
  <r>
    <x v="0"/>
    <n v="1100"/>
    <n v="0.02"/>
    <s v="Option"/>
    <s v="USD"/>
    <n v="-50"/>
    <x v="3"/>
    <s v="Call"/>
    <x v="1"/>
    <n v="0.3589640083507061"/>
    <n v="0.015"/>
    <n v="101.7546158702011"/>
    <n v="-5087.730793510053"/>
    <s v="Exch"/>
    <m/>
    <n v="592.6690449100837"/>
    <n v="912.627222179585"/>
    <n v="2.854161742617267"/>
    <n v="-11.0904761000233"/>
    <n v="-0.3098823606159936"/>
    <n v="2.138503951160037"/>
    <n v="-29633.45224550418"/>
    <n v="-45631.36110897925"/>
    <n v="-142.7080871308634"/>
    <n v="554.5238050011648"/>
    <n v="15.49411803079968"/>
    <n v="-106.9251975580019"/>
    <n v="4035.43555911924"/>
    <n v="2491.083888860046"/>
    <n v="1365.181884416671"/>
    <n v="574.2476365238957"/>
    <n v="-610.7354250415653"/>
    <n v="-1592.66329062566"/>
    <n v="-3392.929946890757"/>
    <n v="-7515.644332201231"/>
    <n v="1429.59084194371"/>
    <n v="714.2009348823393"/>
    <n v="285.5249946907435"/>
    <n v="142.7355529969873"/>
    <n v="-142.6801010304644"/>
    <n v="-285.3031918020207"/>
    <n v="-712.8148872143839"/>
    <n v="-1424.049962154154"/>
  </r>
  <r>
    <x v="0"/>
    <n v="1100"/>
    <n v="0.02"/>
    <s v="Option"/>
    <s v="USD"/>
    <n v="-20"/>
    <x v="4"/>
    <s v="Put"/>
    <x v="1"/>
    <n v="0.3956302003368482"/>
    <n v="0.015"/>
    <n v="81.23983307078328"/>
    <n v="-1624.796661415666"/>
    <s v="Exch"/>
    <m/>
    <n v="-392.2707449233698"/>
    <n v="780.9680351023568"/>
    <n v="2.691887774755671"/>
    <n v="23.96444496808888"/>
    <n v="-0.3369381245496539"/>
    <n v="-2.062689915097818"/>
    <n v="7845.414898467396"/>
    <n v="-15619.36070204714"/>
    <n v="-53.83775549511342"/>
    <n v="-479.2888993617776"/>
    <n v="6.738762490993078"/>
    <n v="41.25379830195635"/>
    <n v="-2268.746739235675"/>
    <n v="-951.9262122842804"/>
    <n v="-432.8015686685114"/>
    <n v="-163.2535068934658"/>
    <n v="150.760789623763"/>
    <n v="354.8135278520897"/>
    <n v="641.3074098820425"/>
    <n v="1049.082701408095"/>
    <n v="534.6993502705061"/>
    <n v="268.4502653653124"/>
    <n v="107.5713661272596"/>
    <n v="53.81277894445361"/>
    <n v="-53.86075197398782"/>
    <n v="-107.7637891979214"/>
    <n v="-269.6764790555346"/>
    <n v="-539.9615636123565"/>
  </r>
  <r>
    <x v="0"/>
    <n v="1100"/>
    <n v="0.02"/>
    <s v="Option"/>
    <s v="USD"/>
    <n v="-20"/>
    <x v="4"/>
    <s v="Call"/>
    <x v="1"/>
    <n v="0.3956302003368482"/>
    <n v="0.015"/>
    <n v="144.4322829528683"/>
    <n v="-2888.645659057365"/>
    <s v="Darklays Capital"/>
    <m/>
    <n v="698.1873200267871"/>
    <n v="780.9680351023568"/>
    <n v="2.691887774755671"/>
    <n v="23.96444496808888"/>
    <n v="-0.3194033928428537"/>
    <n v="2.412247969719263"/>
    <n v="-13963.74640053574"/>
    <n v="-15619.36070204714"/>
    <n v="-53.83775549511342"/>
    <n v="-479.2888993617776"/>
    <n v="6.388067856857075"/>
    <n v="-48.24495939438527"/>
    <n v="2093.085520564954"/>
    <n v="1228.989917616033"/>
    <n v="657.6564962816462"/>
    <n v="272.9297190865964"/>
    <n v="-285.4224363563003"/>
    <n v="-735.6445370980668"/>
    <n v="-1539.608720018275"/>
    <n v="-3312.749558392532"/>
    <n v="534.6993502705072"/>
    <n v="268.4502653653135"/>
    <n v="107.5713661272607"/>
    <n v="53.81277894445702"/>
    <n v="-53.86075197398441"/>
    <n v="-107.7637891979225"/>
    <n v="-269.6764790555335"/>
    <n v="-539.9615636123553"/>
  </r>
  <r>
    <x v="0"/>
    <n v="1100"/>
    <n v="0.02"/>
    <s v="Option"/>
    <s v="USD"/>
    <n v="-50"/>
    <x v="3"/>
    <s v="Put"/>
    <x v="2"/>
    <n v="0.3291839462239354"/>
    <n v="0.0175"/>
    <n v="118.5968056767892"/>
    <n v="-5929.840283839462"/>
    <s v="Exch"/>
    <m/>
    <n v="-486.4318249906513"/>
    <n v="787.7625780743069"/>
    <n v="3.55231224846632"/>
    <n v="-19.98072828636891"/>
    <n v="-0.2315184094452756"/>
    <n v="-4.144031716900275"/>
    <n v="24321.59124953256"/>
    <n v="-39388.12890371535"/>
    <n v="-177.615612423316"/>
    <n v="999.0364143184456"/>
    <n v="11.57592047226378"/>
    <n v="207.2015858450138"/>
    <n v="-6525.70431757776"/>
    <n v="-2841.635806580166"/>
    <n v="-1316.754420752937"/>
    <n v="-502.3368671131692"/>
    <n v="470.8366744135873"/>
    <n v="1120.21675289559"/>
    <n v="2060.332364450534"/>
    <n v="3478.405798412035"/>
    <n v="1780.647110797335"/>
    <n v="889.26405955456"/>
    <n v="355.4270209432161"/>
    <n v="177.6650631639541"/>
    <n v="-177.5651601471736"/>
    <n v="-355.0274163807302"/>
    <n v="-886.7668617252008"/>
    <n v="-1770.663191997198"/>
  </r>
  <r>
    <x v="0"/>
    <n v="1100"/>
    <n v="0.02"/>
    <s v="Option"/>
    <s v="USD"/>
    <n v="-50"/>
    <x v="5"/>
    <s v="Call"/>
    <x v="2"/>
    <n v="0.2993610228223439"/>
    <n v="0.0175"/>
    <n v="59.28957240883699"/>
    <n v="-2964.47862044185"/>
    <s v="JP Horgan"/>
    <m/>
    <n v="397.9413408150983"/>
    <n v="824.3930631583627"/>
    <n v="3.38070069307853"/>
    <n v="226.1593052042279"/>
    <n v="-0.1968417271132874"/>
    <n v="2.319532660316858"/>
    <n v="-19897.06704075492"/>
    <n v="-41219.65315791813"/>
    <n v="-169.0350346539265"/>
    <n v="-11307.9652602114"/>
    <n v="9.842086355664371"/>
    <n v="-115.9766330158429"/>
    <n v="2463.090691505085"/>
    <n v="1588.449839863782"/>
    <n v="892.8069765487095"/>
    <n v="381.5037560406864"/>
    <n v="-414.4613240812589"/>
    <n v="-1098.198219947363"/>
    <n v="-2401.652078964844"/>
    <n v="-5589.222615734007"/>
    <n v="1606.119245635236"/>
    <n v="828.1731873976696"/>
    <n v="335.6422224950109"/>
    <n v="168.4494862761881"/>
    <n v="-169.5814376060753"/>
    <n v="-340.1839323436064"/>
    <n v="-857.1797235392239"/>
    <n v="-1731.782237215904"/>
  </r>
  <r>
    <x v="0"/>
    <n v="1100"/>
    <n v="0.02"/>
    <s v="Option"/>
    <s v="USD"/>
    <n v="-20"/>
    <x v="2"/>
    <s v="Put"/>
    <x v="2"/>
    <n v="0.3907641131259142"/>
    <n v="0.0175"/>
    <n v="90.60869720669444"/>
    <n v="-1812.173944133889"/>
    <s v="Exch"/>
    <m/>
    <n v="-354.8782990306853"/>
    <n v="605.3373617794392"/>
    <n v="3.240330374215386"/>
    <n v="46.30208490589875"/>
    <n v="-0.2513273856582791"/>
    <n v="-3.051280796146437"/>
    <n v="7097.565980613706"/>
    <n v="-12106.74723558878"/>
    <n v="-64.80660748430772"/>
    <n v="-926.0416981179749"/>
    <n v="5.026547713165581"/>
    <n v="61.02561592292874"/>
    <n v="-1973.630937165968"/>
    <n v="-840.16339896624"/>
    <n v="-386.3350047288577"/>
    <n v="-146.8707489605129"/>
    <n v="137.1858325647918"/>
    <n v="325.8204049094945"/>
    <n v="598.3534145228987"/>
    <n v="1011.443515789493"/>
    <n v="640.9714935427087"/>
    <n v="322.6074181763943"/>
    <n v="129.4120709640549"/>
    <n v="64.75835920942131"/>
    <n v="-64.85104836421783"/>
    <n v="-129.7838498337558"/>
    <n v="-324.9764069141054"/>
    <n v="-651.1348163646767"/>
  </r>
  <r>
    <x v="0"/>
    <n v="1100"/>
    <n v="0.02"/>
    <s v="Option"/>
    <s v="USD"/>
    <n v="-50"/>
    <x v="9"/>
    <s v="Put"/>
    <x v="2"/>
    <n v="0.3454428185513545"/>
    <n v="0.0175"/>
    <n v="106.820935282054"/>
    <n v="-5341.0467641027"/>
    <s v="Exch"/>
    <m/>
    <n v="-438.1477697440739"/>
    <n v="734.9349672013475"/>
    <n v="3.477780911260011"/>
    <n v="-10.3924133744422"/>
    <n v="-0.2381543484878807"/>
    <n v="-3.732662363192657"/>
    <n v="21907.38848720369"/>
    <n v="-36746.74836006737"/>
    <n v="-173.8890455630005"/>
    <n v="519.6206687221102"/>
    <n v="11.90771742439403"/>
    <n v="186.6331181596328"/>
    <n v="-5981.371818301588"/>
    <n v="-2578.221801623144"/>
    <n v="-1189.921888519748"/>
    <n v="-453.024346974945"/>
    <n v="423.6337661492797"/>
    <n v="1006.45512309998"/>
    <n v="1847.594600745825"/>
    <n v="3112.5749136998"/>
    <n v="1739.955877563457"/>
    <n v="869.9252164150153"/>
    <n v="347.8718060559032"/>
    <n v="173.9137740233616"/>
    <n v="-173.861855194869"/>
    <n v="-347.6646513106203"/>
    <n v="-868.6537320057056"/>
    <n v="-1735.230331154554"/>
  </r>
  <r>
    <x v="0"/>
    <n v="1100"/>
    <n v="0.02"/>
    <s v="Option"/>
    <s v="USD"/>
    <n v="-50"/>
    <x v="9"/>
    <s v="Call"/>
    <x v="2"/>
    <n v="0.3454428185513545"/>
    <n v="0.0175"/>
    <n v="137.5682215129017"/>
    <n v="-6878.411075645085"/>
    <s v="Darklays Capital"/>
    <m/>
    <n v="646.8864762986551"/>
    <n v="734.9349672013475"/>
    <n v="3.477780911260011"/>
    <n v="-10.3924133744422"/>
    <n v="-0.2292484221203556"/>
    <n v="3.488481197162695"/>
    <n v="-32344.32381493276"/>
    <n v="-36746.74836006737"/>
    <n v="-173.8890455630005"/>
    <n v="519.6206687221102"/>
    <n v="11.46242110601778"/>
    <n v="-174.4240598581347"/>
    <n v="4868.970642125707"/>
    <n v="2846.9494285905"/>
    <n v="1522.663726587089"/>
    <n v="632.0098990677849"/>
    <n v="-661.4004798934332"/>
    <n v="-1706.130492006838"/>
    <n v="-3577.576629467819"/>
    <n v="-7737.767546727491"/>
    <n v="1739.95587756346"/>
    <n v="869.9252164150153"/>
    <n v="347.8718060559117"/>
    <n v="173.9137740233673"/>
    <n v="-173.8618551948605"/>
    <n v="-347.6646513106147"/>
    <n v="-868.6537320056999"/>
    <n v="-1735.230331154548"/>
  </r>
  <r>
    <x v="1"/>
    <n v="2905"/>
    <n v="0.022"/>
    <s v="Future"/>
    <s v="EUR"/>
    <n v="20"/>
    <x v="0"/>
    <m/>
    <x v="0"/>
    <n v="0"/>
    <m/>
    <n v="2893.117846362342"/>
    <n v="57862.35692724684"/>
    <s v="Exch"/>
    <m/>
    <n v="2893.117846362342"/>
    <n v="0"/>
    <n v="0"/>
    <n v="0"/>
    <n v="0.1743797058081412"/>
    <n v="5.389918179524364"/>
    <n v="57862.35692724684"/>
    <n v="0"/>
    <n v="0"/>
    <n v="0"/>
    <n v="3.487594116162823"/>
    <n v="107.7983635904873"/>
    <n v="-11572.47138544936"/>
    <n v="-5786.235692724676"/>
    <n v="-2893.117846362338"/>
    <n v="-1157.247138544935"/>
    <n v="1157.247138544935"/>
    <n v="2893.117846362347"/>
    <n v="5786.235692724695"/>
    <n v="11572.47138544937"/>
    <n v="0"/>
    <n v="0"/>
    <n v="0"/>
    <n v="0"/>
    <n v="0"/>
    <n v="0"/>
    <n v="0"/>
    <n v="0"/>
  </r>
  <r>
    <x v="1"/>
    <n v="2905"/>
    <n v="0.022"/>
    <s v="Option"/>
    <s v="EUR"/>
    <n v="-20"/>
    <x v="10"/>
    <s v="Call"/>
    <x v="0"/>
    <n v="0.397567985636796"/>
    <n v="0.022"/>
    <n v="160.4105578748736"/>
    <n v="-3208.211157497472"/>
    <s v="GoldMine Sacks"/>
    <m/>
    <n v="1347.236298191099"/>
    <n v="3350.539462329616"/>
    <n v="4.963318974727593"/>
    <n v="27.72604604255801"/>
    <n v="-1.441255482293677"/>
    <n v="2.211072612095981"/>
    <n v="-26944.72596382198"/>
    <n v="-67010.78924659231"/>
    <n v="-99.26637949455186"/>
    <n v="-554.5209208511602"/>
    <n v="28.82510964587355"/>
    <n v="-44.22145224191962"/>
    <n v="2927.695736583274"/>
    <n v="2032.869872665194"/>
    <n v="1179.522197987976"/>
    <n v="512.0314114686335"/>
    <n v="-565.5807567316606"/>
    <n v="-1512.273612013964"/>
    <n v="-3336.998095872209"/>
    <n v="-7756.86913022002"/>
    <n v="988.5859659770995"/>
    <n v="495.4973300766414"/>
    <n v="198.4134650955411"/>
    <n v="99.23762947783416"/>
    <n v="-99.29312746881351"/>
    <n v="-198.6360091977076"/>
    <n v="-496.9127470145531"/>
    <n v="-994.6197647724603"/>
  </r>
  <r>
    <x v="1"/>
    <n v="2905"/>
    <n v="0.022"/>
    <s v="Option"/>
    <s v="EUR"/>
    <n v="-30"/>
    <x v="11"/>
    <s v="Call"/>
    <x v="0"/>
    <n v="0.4264333531544322"/>
    <n v="0.022"/>
    <n v="255.1220257112864"/>
    <n v="-7653.660771338591"/>
    <s v="Exch"/>
    <m/>
    <n v="1740.204193519769"/>
    <n v="3033.328224226396"/>
    <n v="4.81966236490352"/>
    <n v="21.27112885541131"/>
    <n v="-1.495846887407531"/>
    <n v="2.766728422218543"/>
    <n v="-52206.12580559307"/>
    <n v="-90999.84672679189"/>
    <n v="-144.5898709471056"/>
    <n v="-638.1338656623392"/>
    <n v="44.87540662222595"/>
    <n v="-83.00185266655629"/>
    <n v="6585.614985335131"/>
    <n v="4257.927679540016"/>
    <n v="2374.85287302186"/>
    <n v="1007.16799494327"/>
    <n v="-1079.916015790714"/>
    <n v="-2827.827835725684"/>
    <n v="-6045.634749165251"/>
    <n v="-13359.46480375516"/>
    <n v="1441.189870083915"/>
    <n v="721.9849284729207"/>
    <n v="289.042155095583"/>
    <n v="144.556746131741"/>
    <n v="-144.6206096378251"/>
    <n v="-289.2982118398072"/>
    <n v="-723.6119940768708"/>
    <n v="-1448.100336108505"/>
  </r>
  <r>
    <x v="1"/>
    <n v="2905"/>
    <n v="0.022"/>
    <s v="Option"/>
    <s v="EUR"/>
    <n v="-20"/>
    <x v="10"/>
    <s v="Put"/>
    <x v="0"/>
    <n v="0.397567985636796"/>
    <n v="0.022"/>
    <n v="247.0547068020765"/>
    <n v="-4941.094136041529"/>
    <s v="Exch"/>
    <m/>
    <n v="-1545.881548171243"/>
    <n v="3350.539462329616"/>
    <n v="4.963318974727593"/>
    <n v="27.72604604255801"/>
    <n v="-1.436033095235051"/>
    <n v="-3.340264803785911"/>
    <n v="30917.63096342487"/>
    <n v="-67010.78924659231"/>
    <n v="-99.26637949455186"/>
    <n v="-554.5209208511602"/>
    <n v="28.72066190470102"/>
    <n v="66.80529607571822"/>
    <n v="-8644.775648866089"/>
    <n v="-3753.365820059475"/>
    <n v="-1713.595648374362"/>
    <n v="-645.2157270763018"/>
    <n v="591.6663818132702"/>
    <n v="1380.844234348383"/>
    <n v="2449.237596852481"/>
    <n v="3815.602255229351"/>
    <n v="988.585965977104"/>
    <n v="495.4973300766369"/>
    <n v="198.4134650955411"/>
    <n v="99.23762947783416"/>
    <n v="-99.29312746881806"/>
    <n v="-198.6360091977031"/>
    <n v="-496.9127470145486"/>
    <n v="-994.6197647724603"/>
  </r>
  <r>
    <x v="1"/>
    <n v="2905"/>
    <n v="0.022"/>
    <s v="Option"/>
    <s v="EUR"/>
    <n v="-25"/>
    <x v="12"/>
    <s v="Put"/>
    <x v="0"/>
    <n v="0.5013932770789301"/>
    <n v="0.022"/>
    <n v="100.1375408559664"/>
    <n v="-2503.438521399161"/>
    <s v="Exch"/>
    <m/>
    <n v="-700.3747097197472"/>
    <n v="2087.726889121861"/>
    <n v="3.900301994937946"/>
    <n v="262.9725057499982"/>
    <n v="-1.431894605870224"/>
    <n v="-1.491365288743796"/>
    <n v="17509.36774299368"/>
    <n v="-52193.17222804653"/>
    <n v="-97.50754987344864"/>
    <n v="-6574.312643749956"/>
    <n v="35.79736514675561"/>
    <n v="37.28413221859489"/>
    <n v="-6115.086433490606"/>
    <n v="-2344.89092809969"/>
    <n v="-1015.120463146039"/>
    <n v="-371.653737522027"/>
    <n v="329.8981227591241"/>
    <n v="754.1193001636941"/>
    <n v="1300.840423119547"/>
    <n v="1958.590979004732"/>
    <n v="934.8755696608663"/>
    <n v="478.4857192418002"/>
    <n v="193.6495937856506"/>
    <n v="97.17261070999825"/>
    <n v="-97.83024571663645"/>
    <n v="-196.2825810187155"/>
    <n v="-495.0495600311541"/>
    <n v="-1002.704041037279"/>
  </r>
  <r>
    <x v="1"/>
    <n v="2905"/>
    <n v="0.022"/>
    <s v="Option"/>
    <s v="EUR"/>
    <n v="-50"/>
    <x v="13"/>
    <s v="Call"/>
    <x v="0"/>
    <n v="0.3887081478333821"/>
    <n v="0.022"/>
    <n v="124.3908207226003"/>
    <n v="-6219.541036130016"/>
    <s v="GoldMine Sacks"/>
    <m/>
    <n v="1146.659231721513"/>
    <n v="3322.874459647646"/>
    <n v="4.812642718635019"/>
    <n v="140.1261236857652"/>
    <n v="-1.368027057362403"/>
    <n v="1.904500053367837"/>
    <n v="-57332.96158607565"/>
    <n v="-166143.7229823823"/>
    <n v="-240.632135931751"/>
    <n v="-7006.306184288262"/>
    <n v="68.40135286812016"/>
    <n v="-95.22500266839185"/>
    <n v="5788.216150180805"/>
    <n v="4152.22032990657"/>
    <n v="2458.318665169549"/>
    <n v="1080.532296818438"/>
    <n v="-1213.289010458169"/>
    <n v="-3282.899436908138"/>
    <n v="-7379.36679344221"/>
    <n v="-17692.62207650464"/>
    <n v="2358.906887675869"/>
    <n v="1193.065355131722"/>
    <n v="479.7838691563925"/>
    <n v="240.2721703862596"/>
    <n v="-240.9732516721022"/>
    <n v="-482.5936147436948"/>
    <n v="-1210.866718132553"/>
    <n v="-2433.747030524552"/>
  </r>
  <r>
    <x v="1"/>
    <n v="2905"/>
    <n v="0.022"/>
    <s v="Option"/>
    <s v="EUR"/>
    <n v="25"/>
    <x v="14"/>
    <s v="Put"/>
    <x v="0"/>
    <n v="0.5342736088202618"/>
    <n v="0.022"/>
    <n v="86.78469857985476"/>
    <n v="2169.617464496369"/>
    <s v="Exch"/>
    <m/>
    <n v="-595.8927939058174"/>
    <n v="1787.273075893082"/>
    <n v="3.55795686914623"/>
    <n v="322.3097933027373"/>
    <n v="-1.392506241827222"/>
    <n v="-1.271837520247279"/>
    <n v="-14897.31984764543"/>
    <n v="44681.82689732705"/>
    <n v="88.94892172865573"/>
    <n v="8057.744832568432"/>
    <n v="-34.81265604568055"/>
    <n v="-31.79593800618198"/>
    <n v="5299.320915809787"/>
    <n v="2005.542428916405"/>
    <n v="865.1704141876166"/>
    <n v="316.3657389055288"/>
    <n v="-280.6125266457258"/>
    <n v="-641.4642834326103"/>
    <n v="-1107.479102628028"/>
    <n v="-1673.605358021472"/>
    <n v="-841.5168011573357"/>
    <n v="-433.784145703504"/>
    <n v="-176.2319358617532"/>
    <n v="-88.53933811197976"/>
    <n v="89.34530194964623"/>
    <n v="179.4580647106898"/>
    <n v="454.0472422921994"/>
    <n v="924.0130907724449"/>
  </r>
  <r>
    <x v="1"/>
    <n v="2905"/>
    <n v="0.022"/>
    <s v="Option"/>
    <s v="EUR"/>
    <n v="-20"/>
    <x v="10"/>
    <s v="Put"/>
    <x v="0"/>
    <n v="0.397567985636796"/>
    <n v="0.022"/>
    <n v="247.0547068020765"/>
    <n v="-4941.094136041529"/>
    <s v="Exch"/>
    <m/>
    <n v="-1545.881548171243"/>
    <n v="3350.539462329616"/>
    <n v="4.963318974727593"/>
    <n v="27.72604604255801"/>
    <n v="-1.436033095235051"/>
    <n v="-3.340264803785911"/>
    <n v="30917.63096342487"/>
    <n v="-67010.78924659231"/>
    <n v="-99.26637949455186"/>
    <n v="-554.5209208511602"/>
    <n v="28.72066190470102"/>
    <n v="66.80529607571822"/>
    <n v="-8644.775648866089"/>
    <n v="-3753.365820059475"/>
    <n v="-1713.595648374362"/>
    <n v="-645.2157270763018"/>
    <n v="591.6663818132702"/>
    <n v="1380.844234348383"/>
    <n v="2449.237596852481"/>
    <n v="3815.602255229351"/>
    <n v="988.585965977104"/>
    <n v="495.4973300766369"/>
    <n v="198.4134650955411"/>
    <n v="99.23762947783416"/>
    <n v="-99.29312746881806"/>
    <n v="-198.6360091977031"/>
    <n v="-496.9127470145486"/>
    <n v="-994.6197647724603"/>
  </r>
  <r>
    <x v="1"/>
    <n v="2905"/>
    <n v="0.022"/>
    <s v="Option"/>
    <s v="EUR"/>
    <n v="-10"/>
    <x v="12"/>
    <s v="Put"/>
    <x v="0"/>
    <n v="0.5013932770789301"/>
    <n v="0.022"/>
    <n v="100.1375408559664"/>
    <n v="-1001.375408559664"/>
    <s v="UBS"/>
    <m/>
    <n v="-700.3747097197472"/>
    <n v="2087.726889121861"/>
    <n v="3.900301994937946"/>
    <n v="262.9725057499982"/>
    <n v="-1.431894605870224"/>
    <n v="-1.491365288743796"/>
    <n v="7003.747097197473"/>
    <n v="-20877.26889121861"/>
    <n v="-39.00301994937946"/>
    <n v="-2629.725057499982"/>
    <n v="14.31894605870225"/>
    <n v="14.91365288743796"/>
    <n v="-2446.034573396242"/>
    <n v="-937.956371239876"/>
    <n v="-406.0481852584155"/>
    <n v="-148.6614950088108"/>
    <n v="131.9592491036497"/>
    <n v="301.6477200654776"/>
    <n v="520.3361692478188"/>
    <n v="783.436391601893"/>
    <n v="373.9502278643465"/>
    <n v="191.3942876967201"/>
    <n v="77.45983751426024"/>
    <n v="38.8690442839993"/>
    <n v="-39.13209828665458"/>
    <n v="-78.51303240748621"/>
    <n v="-198.0198240124616"/>
    <n v="-401.0816164149117"/>
  </r>
  <r>
    <x v="1"/>
    <n v="2905"/>
    <n v="0.022"/>
    <s v="Option"/>
    <s v="EUR"/>
    <n v="-10"/>
    <x v="13"/>
    <s v="Call"/>
    <x v="0"/>
    <n v="0.3887081478333821"/>
    <n v="0.022"/>
    <n v="124.3908207226003"/>
    <n v="-1243.908207226003"/>
    <s v="Exch"/>
    <m/>
    <n v="1146.659231721513"/>
    <n v="3322.874459647646"/>
    <n v="4.812642718635019"/>
    <n v="140.1261236857652"/>
    <n v="-1.368027057362403"/>
    <n v="1.904500053367837"/>
    <n v="-11466.59231721513"/>
    <n v="-33228.74459647646"/>
    <n v="-48.12642718635019"/>
    <n v="-1401.261236857652"/>
    <n v="13.68027057362403"/>
    <n v="-19.04500053367837"/>
    <n v="1157.643230036161"/>
    <n v="830.4440659813139"/>
    <n v="491.6637330339097"/>
    <n v="216.1064593636877"/>
    <n v="-242.6578020916338"/>
    <n v="-656.5798873816277"/>
    <n v="-1475.873358688442"/>
    <n v="-3538.524415300927"/>
    <n v="471.7813775351738"/>
    <n v="238.6130710263444"/>
    <n v="95.9567738312785"/>
    <n v="48.05443407725193"/>
    <n v="-48.19465033442043"/>
    <n v="-96.51872294873897"/>
    <n v="-242.1733436265106"/>
    <n v="-486.7494061049103"/>
  </r>
  <r>
    <x v="1"/>
    <n v="2905"/>
    <n v="0.022"/>
    <s v="Option"/>
    <s v="EUR"/>
    <n v="-25"/>
    <x v="15"/>
    <s v="Call"/>
    <x v="0"/>
    <n v="0.3828791483403539"/>
    <n v="0.022"/>
    <n v="95.4229944414742"/>
    <n v="-2385.574861036855"/>
    <s v="Exch"/>
    <m/>
    <n v="956.7608780897367"/>
    <n v="3172.655327826358"/>
    <n v="4.526167822076914"/>
    <n v="312.3234763084095"/>
    <n v="-1.268495007166719"/>
    <n v="1.604684276385804"/>
    <n v="-23919.02195224342"/>
    <n v="-79316.38319565896"/>
    <n v="-113.1541955519229"/>
    <n v="-7808.086907710236"/>
    <n v="31.71237517916797"/>
    <n v="-40.1171069096451"/>
    <n v="2252.889754884714"/>
    <n v="1664.01385652879"/>
    <n v="1004.5382151198"/>
    <n v="447.0401466285523"/>
    <n v="-510.4181935768338"/>
    <n v="-1398.211663278124"/>
    <n v="-3205.111506757788"/>
    <n v="-7948.844105276828"/>
    <n v="1080.032949162896"/>
    <n v="554.6499576058494"/>
    <n v="224.6658885780477"/>
    <n v="112.753916147625"/>
    <n v="-113.535165356069"/>
    <n v="-227.7961815804559"/>
    <n v="-574.4486324935963"/>
    <n v="-1162.731183604714"/>
  </r>
  <r>
    <x v="1"/>
    <n v="2905"/>
    <n v="0.022"/>
    <s v="Option"/>
    <s v="EUR"/>
    <n v="50"/>
    <x v="16"/>
    <s v="Call"/>
    <x v="0"/>
    <n v="0.3794932506655077"/>
    <n v="0.022"/>
    <n v="72.42337082003996"/>
    <n v="3621.168541001998"/>
    <s v="JP Horgan"/>
    <m/>
    <n v="783.1394412149294"/>
    <n v="2923.756245762359"/>
    <n v="4.134197907196702"/>
    <n v="515.3108823106396"/>
    <n v="-1.149237845949494"/>
    <n v="1.32407377498226"/>
    <n v="39156.97206074647"/>
    <n v="146187.8122881179"/>
    <n v="206.7098953598351"/>
    <n v="25765.54411553198"/>
    <n v="-57.46189229747471"/>
    <n v="66.203688749113"/>
    <n v="-3457.4236377011"/>
    <n v="-2620.366578810422"/>
    <n v="-1611.309050841166"/>
    <n v="-725.7898544862996"/>
    <n v="842.6133966294572"/>
    <n v="2337.339958110567"/>
    <n v="5467.874472527023"/>
    <n v="14060.28208993614"/>
    <n v="-1901.725843781048"/>
    <n v="-997.2747588383982"/>
    <n v="-408.0228104827597"/>
    <n v="-205.3917696803182"/>
    <n v="207.9695255443653"/>
    <n v="418.3482680195937"/>
    <n v="1062.444706886879"/>
    <n v="2171.730571154205"/>
  </r>
  <r>
    <x v="1"/>
    <n v="2905"/>
    <n v="0.022"/>
    <s v="Option"/>
    <s v="EUR"/>
    <n v="-20"/>
    <x v="13"/>
    <s v="Put"/>
    <x v="0"/>
    <n v="0.3887081478333821"/>
    <n v="0.022"/>
    <n v="297.6791185770062"/>
    <n v="-5953.582371540124"/>
    <s v="Exch"/>
    <m/>
    <n v="-1746.458614640829"/>
    <n v="3322.874459647646"/>
    <n v="4.812642718635019"/>
    <n v="140.1261236857652"/>
    <n v="-1.357582283245151"/>
    <n v="-3.808256598871584"/>
    <n v="34929.17229281658"/>
    <n v="-66457.48919295291"/>
    <n v="-96.25285437270038"/>
    <n v="-2802.522473715305"/>
    <n v="27.15164566490302"/>
    <n v="76.16513197743168"/>
    <n v="-9257.184925377042"/>
    <n v="-4125.347560762038"/>
    <n v="-1909.790380294512"/>
    <n v="-725.0342198175622"/>
    <n v="671.9315343616699"/>
    <n v="1579.958071599094"/>
    <n v="2834.488975347808"/>
    <n v="4495.42255484751"/>
    <n v="943.5627550703475"/>
    <n v="477.2261420526911"/>
    <n v="191.913547662557"/>
    <n v="96.10886815451067"/>
    <n v="-96.38930066883859"/>
    <n v="-193.0374458974757"/>
    <n v="-484.3466872530144"/>
    <n v="-973.498812209823"/>
  </r>
  <r>
    <x v="1"/>
    <n v="2905"/>
    <n v="0.022"/>
    <s v="Option"/>
    <s v="EUR"/>
    <n v="50"/>
    <x v="14"/>
    <s v="Put"/>
    <x v="0"/>
    <n v="0.5342736088202618"/>
    <n v="0.022"/>
    <n v="86.78469857985476"/>
    <n v="4339.234928992738"/>
    <s v="Exch"/>
    <m/>
    <n v="-595.8927939058174"/>
    <n v="1787.273075893082"/>
    <n v="3.55795686914623"/>
    <n v="322.3097933027373"/>
    <n v="-1.392506241827222"/>
    <n v="-1.271837520247279"/>
    <n v="-29794.63969529087"/>
    <n v="89363.65379465409"/>
    <n v="177.8978434573115"/>
    <n v="16115.48966513686"/>
    <n v="-69.6253120913611"/>
    <n v="-63.59187601236397"/>
    <n v="10598.64183161957"/>
    <n v="4011.08485783281"/>
    <n v="1730.340828375233"/>
    <n v="632.7314778110576"/>
    <n v="-561.2250532914516"/>
    <n v="-1282.928566865221"/>
    <n v="-2214.958205256056"/>
    <n v="-3347.210716042943"/>
    <n v="-1683.033602314671"/>
    <n v="-867.568291407008"/>
    <n v="-352.4638717235064"/>
    <n v="-177.0786762239595"/>
    <n v="178.6906038992925"/>
    <n v="358.9161294213795"/>
    <n v="908.0944845843987"/>
    <n v="1848.02618154489"/>
  </r>
  <r>
    <x v="1"/>
    <n v="2905"/>
    <n v="0.022"/>
    <s v="Option"/>
    <s v="EUR"/>
    <n v="10"/>
    <x v="14"/>
    <s v="Put"/>
    <x v="1"/>
    <n v="0.4847027368557411"/>
    <n v="0.023"/>
    <n v="164.2089215742436"/>
    <n v="1642.089215742436"/>
    <s v="GoldMine Sacks"/>
    <m/>
    <n v="-723.7574935375408"/>
    <n v="1433.710779532194"/>
    <n v="6.054402337156951"/>
    <n v="292.5399524629112"/>
    <n v="-0.9104952833508367"/>
    <n v="-3.86812767130887"/>
    <n v="-7237.574935375407"/>
    <n v="14337.10779532194"/>
    <n v="60.54402337156951"/>
    <n v="2925.399524629112"/>
    <n v="-9.104952833508367"/>
    <n v="-38.6812767130887"/>
    <n v="2139.0714587839"/>
    <n v="882.1016758418705"/>
    <n v="399.5864513073957"/>
    <n v="150.6051121348457"/>
    <n v="-139.134323611122"/>
    <n v="-327.8584108423433"/>
    <n v="-594.7111656726508"/>
    <n v="-983.7181353194046"/>
    <n v="-586.9028267053488"/>
    <n v="-298.6217177108165"/>
    <n v="-120.4762508657996"/>
    <n v="-60.39447385085509"/>
    <n v="60.68712747054178"/>
    <n v="121.6482309842718"/>
    <n v="306.0067713183912"/>
    <n v="617.3279172256184"/>
  </r>
  <r>
    <x v="1"/>
    <n v="2905"/>
    <n v="0.022"/>
    <s v="Option"/>
    <s v="EUR"/>
    <n v="-20"/>
    <x v="16"/>
    <s v="Call"/>
    <x v="1"/>
    <n v="0.3295306493497132"/>
    <n v="0.023"/>
    <n v="126.6242240805104"/>
    <n v="-2532.484481610209"/>
    <s v="Exch"/>
    <m/>
    <n v="979.9489321257162"/>
    <n v="2425.251771291405"/>
    <n v="6.962847768427486"/>
    <n v="545.5377829432925"/>
    <n v="-0.7162377266393526"/>
    <n v="3.717222700799663"/>
    <n v="-19598.97864251432"/>
    <n v="-48505.03542582811"/>
    <n v="-139.2569553685497"/>
    <n v="-10910.75565886585"/>
    <n v="14.32475453278705"/>
    <n v="-74.34445401599326"/>
    <n v="2221.208826525875"/>
    <n v="1497.673269021363"/>
    <n v="861.0187781393415"/>
    <n v="372.7063101551562"/>
    <n v="-411.4828903625062"/>
    <n v="-1102.476504591154"/>
    <n v="-2450.962240111648"/>
    <n v="-5848.868170858705"/>
    <n v="1316.180391677763"/>
    <n v="680.3240123691262"/>
    <n v="276.1954606743552"/>
    <n v="138.6948400950246"/>
    <n v="-139.7867661228042"/>
    <n v="-280.5733963338093"/>
    <n v="-708.1406472898743"/>
    <n v="-1434.353117037915"/>
  </r>
  <r>
    <x v="1"/>
    <n v="2905"/>
    <n v="0.022"/>
    <s v="Option"/>
    <s v="EUR"/>
    <n v="-40"/>
    <x v="11"/>
    <s v="Put"/>
    <x v="1"/>
    <n v="0.376695195166576"/>
    <n v="0.023"/>
    <n v="238.7824235708329"/>
    <n v="-9551.296942833314"/>
    <s v="Exch"/>
    <m/>
    <n v="-1156.463072373605"/>
    <n v="2238.347750515018"/>
    <n v="7.346016438039257"/>
    <n v="-0.1270801103155975"/>
    <n v="-0.8519765839111466"/>
    <n v="-6.077918735757962"/>
    <n v="46258.52289494419"/>
    <n v="-89533.91002060073"/>
    <n v="-293.8406575215703"/>
    <n v="5.083204412623901"/>
    <n v="34.07906335644586"/>
    <n v="243.1167494303185"/>
    <n v="-13131.05157006093"/>
    <n v="-5571.406001489277"/>
    <n v="-2543.685863199316"/>
    <n v="-961.4485438163047"/>
    <n v="889.845735981944"/>
    <n v="2096.967875534251"/>
    <n v="3796.035979662088"/>
    <n v="6217.243076822288"/>
    <n v="2935.731890047518"/>
    <n v="1468.913386863887"/>
    <n v="587.6646045089819"/>
    <n v="293.8387416274418"/>
    <n v="-293.8383179632365"/>
    <n v="-587.6639285397869"/>
    <n v="-1468.954480876209"/>
    <n v="-2936.589749763561"/>
  </r>
  <r>
    <x v="1"/>
    <n v="2905"/>
    <n v="0.022"/>
    <s v="Option"/>
    <s v="EUR"/>
    <n v="-50"/>
    <x v="13"/>
    <s v="Call"/>
    <x v="1"/>
    <n v="0.3388202514347161"/>
    <n v="0.023"/>
    <n v="186.9696877524691"/>
    <n v="-9348.484387623455"/>
    <s v="Exch"/>
    <m/>
    <n v="1271.232206462483"/>
    <n v="2539.162794790027"/>
    <n v="7.495388738287394"/>
    <n v="119.8024541414728"/>
    <n v="-0.7903142257478792"/>
    <n v="4.723225766435403"/>
    <n v="-63561.61032312416"/>
    <n v="-126958.1397395013"/>
    <n v="-374.7694369143697"/>
    <n v="-5990.122707073638"/>
    <n v="39.51571128739396"/>
    <n v="-236.1612883217702"/>
    <n v="7875.261156113996"/>
    <n v="5093.950091181012"/>
    <n v="2860.196661302223"/>
    <n v="1220.365569922939"/>
    <n v="-1321.865993919664"/>
    <n v="-3492.413625980453"/>
    <n v="-7592.380145103596"/>
    <n v="-17408.66530811924"/>
    <n v="3702.049309478082"/>
    <n v="1864.710453064163"/>
    <n v="748.2444267539108"/>
    <n v="374.4582134049097"/>
    <n v="-375.0578408331307"/>
    <n v="-750.6503422578135"/>
    <n v="-1880.077827720027"/>
    <n v="-3768.635239151672"/>
  </r>
  <r>
    <x v="1"/>
    <n v="2905"/>
    <n v="0.022"/>
    <s v="Option"/>
    <s v="EUR"/>
    <n v="-25"/>
    <x v="17"/>
    <s v="Put"/>
    <x v="1"/>
    <n v="0.3602094754133237"/>
    <n v="0.023"/>
    <n v="271.5719154245235"/>
    <n v="-6789.297885613087"/>
    <s v="Exch"/>
    <m/>
    <n v="-1300.429496829123"/>
    <n v="2396.586763038721"/>
    <n v="7.52112046305612"/>
    <n v="-29.49706105396795"/>
    <n v="-0.8312674652666082"/>
    <n v="-6.847896562967938"/>
    <n v="32510.73742072807"/>
    <n v="-59914.66907596801"/>
    <n v="-188.028011576403"/>
    <n v="737.4265263491989"/>
    <n v="20.78168663166521"/>
    <n v="171.1974140741984"/>
    <n v="-8994.656658058067"/>
    <n v="-3872.229229639919"/>
    <n v="-1778.616351511874"/>
    <n v="-674.4100110136401"/>
    <n v="626.5005006581134"/>
    <n v="1479.910786164203"/>
    <n v="2687.795134379172"/>
    <n v="4420.831063204335"/>
    <n v="1883.629502430119"/>
    <n v="941.0196869895174"/>
    <n v="376.2008131068342"/>
    <n v="188.0645460895323"/>
    <n v="-187.9908036503764"/>
    <n v="-375.9058459125697"/>
    <n v="-939.1762542578931"/>
    <n v="-1876.257382930561"/>
  </r>
  <r>
    <x v="1"/>
    <n v="2905"/>
    <n v="0.022"/>
    <s v="Option"/>
    <s v="EUR"/>
    <n v="-20"/>
    <x v="18"/>
    <s v="Call"/>
    <x v="1"/>
    <n v="0.3281179982717687"/>
    <n v="0.023"/>
    <n v="104.5547774814396"/>
    <n v="-2091.095549628792"/>
    <s v="JP Horgan"/>
    <m/>
    <n v="852.1957572729348"/>
    <n v="2296.314323367879"/>
    <n v="6.564409173184397"/>
    <n v="805.5039043995279"/>
    <n v="-0.6730736945455348"/>
    <n v="3.256847007858842"/>
    <n v="-17043.9151454587"/>
    <n v="-45926.28646735758"/>
    <n v="-131.2881834636879"/>
    <n v="-16110.07808799056"/>
    <n v="13.4614738909107"/>
    <n v="-65.13694015717684"/>
    <n v="1859.370383744237"/>
    <n v="1275.144699833877"/>
    <n v="740.6807622522865"/>
    <n v="322.7006532193673"/>
    <n v="-359.4164437605377"/>
    <n v="-969.3310346651424"/>
    <n v="-2178.237424652682"/>
    <n v="-5302.473703840125"/>
    <n v="1203.11969304277"/>
    <n v="633.142879116831"/>
    <n v="259.1675444410475"/>
    <n v="130.4599136623779"/>
    <n v="-132.0720127373511"/>
    <n v="-265.6290605598565"/>
    <n v="-674.1078160100597"/>
    <n v="-1375.639826848669"/>
  </r>
  <r>
    <x v="1"/>
    <n v="2905"/>
    <n v="0.022"/>
    <s v="Option"/>
    <s v="EUR"/>
    <n v="-10"/>
    <x v="17"/>
    <s v="Put"/>
    <x v="1"/>
    <n v="0.3602094754133237"/>
    <n v="0.023"/>
    <n v="271.5719154245235"/>
    <n v="-2715.719154245235"/>
    <s v="Exch"/>
    <m/>
    <n v="-1300.429496829123"/>
    <n v="2396.586763038721"/>
    <n v="7.52112046305612"/>
    <n v="-29.49706105396795"/>
    <n v="-0.8312674652666082"/>
    <n v="-6.847896562967938"/>
    <n v="13004.29496829123"/>
    <n v="-23965.86763038721"/>
    <n v="-75.2112046305612"/>
    <n v="294.9706105396796"/>
    <n v="8.312674652666082"/>
    <n v="68.47896562967938"/>
    <n v="-3597.862663223227"/>
    <n v="-1548.891691855968"/>
    <n v="-711.4465406047498"/>
    <n v="-269.764004405456"/>
    <n v="250.6002002632454"/>
    <n v="591.9643144656811"/>
    <n v="1075.118053751669"/>
    <n v="1768.332425281734"/>
    <n v="753.4518009720477"/>
    <n v="376.4078747958069"/>
    <n v="150.4803252427337"/>
    <n v="75.22581843581293"/>
    <n v="-75.19632146015056"/>
    <n v="-150.3623383650279"/>
    <n v="-375.6705017031572"/>
    <n v="-750.5029531722244"/>
  </r>
  <r>
    <x v="1"/>
    <n v="2905"/>
    <n v="0.022"/>
    <s v="Option"/>
    <s v="EUR"/>
    <n v="20"/>
    <x v="19"/>
    <s v="Call"/>
    <x v="1"/>
    <n v="0.3282254286149454"/>
    <n v="0.023"/>
    <n v="86.64886186806029"/>
    <n v="1732.977237361206"/>
    <s v="Exch"/>
    <m/>
    <n v="738.335349399343"/>
    <n v="2139.479063819647"/>
    <n v="6.118071112594522"/>
    <n v="1060.884878352576"/>
    <n v="-0.6280428069116045"/>
    <n v="2.838853466232164"/>
    <n v="14766.70698798686"/>
    <n v="42789.58127639294"/>
    <n v="122.3614222518904"/>
    <n v="21217.69756705152"/>
    <n v="-12.56085613823209"/>
    <n v="56.77706932464328"/>
    <n v="-1557.471099738161"/>
    <n v="-1083.801740434141"/>
    <n v="-635.3716681835124"/>
    <n v="-278.4594197436718"/>
    <n v="312.6691364261774"/>
    <n v="848.4665020134094"/>
    <n v="1926.184439247222"/>
    <n v="4780.374783115808"/>
    <n v="-1083.195797106404"/>
    <n v="-581.487386536312"/>
    <n v="-240.2527071755571"/>
    <n v="-121.2728477985979"/>
    <n v="123.3958172994539"/>
    <n v="248.7589962970878"/>
    <n v="635.2857880958459"/>
    <n v="1307.622487239983"/>
  </r>
  <r>
    <x v="1"/>
    <n v="2905"/>
    <n v="0.022"/>
    <s v="Option"/>
    <s v="EUR"/>
    <n v="-10"/>
    <x v="15"/>
    <s v="Call"/>
    <x v="1"/>
    <n v="0.3329508261400796"/>
    <n v="0.023"/>
    <n v="154.0267813874168"/>
    <n v="-1540.267813874168"/>
    <s v="Darklays Capital"/>
    <m/>
    <n v="1121.773831602829"/>
    <n v="2511.59456699528"/>
    <n v="7.285575905511903"/>
    <n v="305.6043632035626"/>
    <n v="-0.7561784100713145"/>
    <n v="4.215665232445219"/>
    <n v="-11217.73831602829"/>
    <n v="-25115.9456699528"/>
    <n v="-72.85575905511904"/>
    <n v="-3056.043632035626"/>
    <n v="7.561784100713145"/>
    <n v="-42.15665232445219"/>
    <n v="1327.097148623427"/>
    <n v="877.3728985718708"/>
    <n v="498.660420976928"/>
    <n v="214.3337019782382"/>
    <n v="-234.412466700885"/>
    <n v="-623.6956954855987"/>
    <n v="-1371.099680369462"/>
    <n v="-3206.268046532957"/>
    <n v="706.5281648474877"/>
    <n v="359.7486262258292"/>
    <n v="145.0588051792784"/>
    <n v="72.69791456276153"/>
    <n v="-73.00378687716147"/>
    <n v="-146.2855195133261"/>
    <n v="-367.5592681941725"/>
    <n v="-739.9812709572984"/>
  </r>
  <r>
    <x v="1"/>
    <n v="2905"/>
    <n v="0.022"/>
    <s v="Option"/>
    <s v="EUR"/>
    <n v="-20"/>
    <x v="20"/>
    <s v="Put"/>
    <x v="1"/>
    <n v="0.3974159521724983"/>
    <n v="0.023"/>
    <n v="212.5127406744291"/>
    <n v="-4250.254813488582"/>
    <s v="Exch"/>
    <m/>
    <n v="-1025.263878502949"/>
    <n v="2044.625376267445"/>
    <n v="7.079348590603577"/>
    <n v="69.53330042957063"/>
    <n v="-0.8685313097616814"/>
    <n v="-5.39195842326584"/>
    <n v="20505.27757005898"/>
    <n v="-40892.50752534889"/>
    <n v="-141.5869718120715"/>
    <n v="-1390.666008591413"/>
    <n v="17.37062619523363"/>
    <n v="107.8391684653168"/>
    <n v="-5937.624934491387"/>
    <n v="-2489.247159557654"/>
    <n v="-1131.431365931885"/>
    <n v="-426.7209994428913"/>
    <n v="394.0139257502938"/>
    <n v="927.2409947964638"/>
    <n v="1675.827827246014"/>
    <n v="2741.436889373917"/>
    <n v="1405.349925012295"/>
    <n v="705.808479455261"/>
    <n v="282.8727392488827"/>
    <n v="141.5146207617249"/>
    <n v="-141.6538102041613"/>
    <n v="-283.4309746244389"/>
    <n v="-709.3630298980997"/>
    <n v="-1420.561601828626"/>
  </r>
  <r>
    <x v="1"/>
    <n v="2905"/>
    <n v="0.022"/>
    <s v="Option"/>
    <s v="EUR"/>
    <n v="20"/>
    <x v="20"/>
    <s v="Put"/>
    <x v="1"/>
    <n v="0.3974159521724983"/>
    <n v="0.023"/>
    <n v="212.5127406744291"/>
    <n v="4250.254813488582"/>
    <s v="JP Horgan"/>
    <m/>
    <n v="-1025.263878502949"/>
    <n v="2044.625376267445"/>
    <n v="7.079348590603577"/>
    <n v="69.53330042957063"/>
    <n v="-0.8685313097616814"/>
    <n v="-5.39195842326584"/>
    <n v="-20505.27757005898"/>
    <n v="40892.50752534889"/>
    <n v="141.5869718120715"/>
    <n v="1390.666008591413"/>
    <n v="-17.37062619523363"/>
    <n v="-107.8391684653168"/>
    <n v="5937.624934491387"/>
    <n v="2489.247159557654"/>
    <n v="1131.431365931885"/>
    <n v="426.7209994428913"/>
    <n v="-394.0139257502938"/>
    <n v="-927.2409947964638"/>
    <n v="-1675.827827246014"/>
    <n v="-2741.436889373917"/>
    <n v="-1405.349925012295"/>
    <n v="-705.808479455261"/>
    <n v="-282.8727392488827"/>
    <n v="-141.5146207617249"/>
    <n v="141.6538102041613"/>
    <n v="283.4309746244389"/>
    <n v="709.3630298980997"/>
    <n v="1420.561601828626"/>
  </r>
  <r>
    <x v="1"/>
    <n v="2905"/>
    <n v="0.022"/>
    <s v="Option"/>
    <s v="EUR"/>
    <n v="-20"/>
    <x v="18"/>
    <s v="Put"/>
    <x v="2"/>
    <n v="0.2981574167913477"/>
    <n v="0.025"/>
    <n v="558.6301129843507"/>
    <n v="-11172.60225968701"/>
    <s v="Exch"/>
    <m/>
    <n v="-1912.137057507716"/>
    <n v="2104.381514098579"/>
    <n v="8.595026797083527"/>
    <n v="854.8876246885187"/>
    <n v="-0.4585556659151754"/>
    <n v="-16.9230628115895"/>
    <n v="38242.74115015432"/>
    <n v="-42087.63028197158"/>
    <n v="-171.9005359416705"/>
    <n v="-17097.75249377037"/>
    <n v="9.171113318303508"/>
    <n v="338.46125623179"/>
    <n v="-9157.31086786442"/>
    <n v="-4228.641668231971"/>
    <n v="-2015.653305896863"/>
    <n v="-781.5949202079355"/>
    <n v="747.9434396436727"/>
    <n v="1805.940203706273"/>
    <n v="3398.351682756011"/>
    <n v="5965.149386053326"/>
    <n v="1594.910020850189"/>
    <n v="834.0837041195891"/>
    <n v="340.145748731552"/>
    <n v="171.0170359871972"/>
    <n v="-172.72839144096"/>
    <n v="-347.0101875974569"/>
    <n v="-877.8329350230297"/>
    <n v="-1782.861386094532"/>
  </r>
  <r>
    <x v="1"/>
    <n v="2905"/>
    <n v="0.022"/>
    <s v="Option"/>
    <s v="EUR"/>
    <n v="-20"/>
    <x v="20"/>
    <s v="Put"/>
    <x v="2"/>
    <n v="0.3685823966485539"/>
    <n v="0.025"/>
    <n v="254.9753933461841"/>
    <n v="-5099.507866923682"/>
    <s v="Exch"/>
    <m/>
    <n v="-1026.64948878794"/>
    <n v="1752.705675634067"/>
    <n v="8.849540528009964"/>
    <n v="49.24397483769182"/>
    <n v="-0.626454688396735"/>
    <n v="-8.778252617357014"/>
    <n v="20532.9897757588"/>
    <n v="-35054.11351268135"/>
    <n v="-176.9908105601993"/>
    <n v="-984.8794967538365"/>
    <n v="12.5290937679347"/>
    <n v="175.5650523471403"/>
    <n v="-5679.820859321271"/>
    <n v="-2427.814282130344"/>
    <n v="-1117.394410117436"/>
    <n v="-424.8838631910894"/>
    <n v="396.8441130229985"/>
    <n v="942.2630428653656"/>
    <n v="1729.00945675075"/>
    <n v="2914.934497622974"/>
    <n v="1760.604031142223"/>
    <n v="883.2498315856787"/>
    <n v="353.756583254692"/>
    <n v="176.9381412164512"/>
    <n v="-177.0367811941469"/>
    <n v="-354.1529726140334"/>
    <n v="-885.808668989207"/>
    <n v="-1772.086029942479"/>
  </r>
  <r>
    <x v="1"/>
    <n v="2905"/>
    <n v="0.022"/>
    <s v="Option"/>
    <s v="EUR"/>
    <n v="5"/>
    <x v="12"/>
    <s v="Put"/>
    <x v="2"/>
    <n v="0.4232706668548173"/>
    <n v="0.025"/>
    <n v="224.2834239356215"/>
    <n v="1121.417119678108"/>
    <s v="Darklays Capital"/>
    <m/>
    <n v="-836.7181578756826"/>
    <n v="1403.503121208539"/>
    <n v="8.137831534887068"/>
    <n v="205.9858740596201"/>
    <n v="-0.6666620622088236"/>
    <n v="-7.267134121995233"/>
    <n v="-4183.590789378412"/>
    <n v="7017.515606042696"/>
    <n v="40.68915767443534"/>
    <n v="1029.929370298101"/>
    <n v="-3.333310311044118"/>
    <n v="-36.33567060997616"/>
    <n v="1164.04881248437"/>
    <n v="494.5178855881801"/>
    <n v="227.4735410856812"/>
    <n v="86.52679647539742"/>
    <n v="-80.91260468118605"/>
    <n v="-192.3791403382802"/>
    <n v="-354.0687392346149"/>
    <n v="-601.7150405370893"/>
    <n v="-399.6720314140765"/>
    <n v="-201.929947503308"/>
    <n v="-81.15866242426989"/>
    <n v="-40.6359889695932"/>
    <n v="40.73904955847979"/>
    <n v="81.57171813652099"/>
    <n v="204.5475372820869"/>
    <n v="410.6808712564384"/>
  </r>
  <r>
    <x v="2"/>
    <n v="10022"/>
    <n v="0.005"/>
    <s v="Future"/>
    <s v="JPY"/>
    <n v="-10"/>
    <x v="0"/>
    <m/>
    <x v="0"/>
    <m/>
    <m/>
    <n v="10012.6687850762"/>
    <n v="-100126.687850762"/>
    <s v="Exch"/>
    <m/>
    <n v="10012.6687850762"/>
    <n v="0"/>
    <n v="0"/>
    <n v="0"/>
    <n v="0.1371598463709068"/>
    <n v="18.65373910644333"/>
    <n v="-100126.687850762"/>
    <n v="0"/>
    <n v="0"/>
    <n v="0"/>
    <n v="-1.371598463709068"/>
    <n v="-186.5373910644333"/>
    <n v="20025.33757015239"/>
    <n v="10012.66878507618"/>
    <n v="5006.334392538101"/>
    <n v="2002.533757015244"/>
    <n v="-2002.533757015244"/>
    <n v="-5006.334392538101"/>
    <n v="-10012.6687850762"/>
    <n v="-20025.33757015241"/>
    <n v="0"/>
    <n v="0"/>
    <n v="0"/>
    <n v="0"/>
    <n v="0"/>
    <n v="0"/>
    <n v="0"/>
    <n v="0"/>
  </r>
  <r>
    <x v="2"/>
    <n v="10022"/>
    <n v="0.005"/>
    <s v="Option"/>
    <s v="JPY"/>
    <n v="-20"/>
    <x v="21"/>
    <s v="Call"/>
    <x v="0"/>
    <n v="0.41"/>
    <n v="0.005"/>
    <n v="705.9686045689959"/>
    <n v="-14119.37209137992"/>
    <s v="Exch"/>
    <m/>
    <n v="5359.318694822598"/>
    <n v="11241.85359971991"/>
    <n v="17.17385634850363"/>
    <n v="-32.79500787645761"/>
    <n v="-5.167741772849513"/>
    <n v="8.669254962664244"/>
    <n v="-107186.373896452"/>
    <n v="-224837.0719943982"/>
    <n v="-343.4771269700725"/>
    <n v="655.9001575291522"/>
    <n v="103.3548354569903"/>
    <n v="-173.3850992532849"/>
    <n v="12556.39135008457"/>
    <n v="8417.835248713673"/>
    <n v="4786.72154257014"/>
    <n v="2052.980434087731"/>
    <n v="-2232.681244342602"/>
    <n v="-5904.335562165288"/>
    <n v="-12810.83881709659"/>
    <n v="-28975.90490913568"/>
    <n v="3437.785869409017"/>
    <n v="1718.172419494167"/>
    <n v="687.0833170594778"/>
    <n v="343.509657401446"/>
    <n v="-343.4440674618963"/>
    <n v="-686.8209582152485"/>
    <n v="-1716.532716707334"/>
    <n v="-3431.227629501009"/>
  </r>
  <r>
    <x v="2"/>
    <n v="10022"/>
    <n v="0.005"/>
    <s v="Option"/>
    <s v="JPY"/>
    <n v="-10"/>
    <x v="22"/>
    <s v="Put"/>
    <x v="0"/>
    <n v="0.4721677408355954"/>
    <n v="0.005"/>
    <n v="406.8112677462832"/>
    <n v="-4068.112677462832"/>
    <s v="Exch"/>
    <m/>
    <n v="-2865.111030883936"/>
    <n v="8355.786247465265"/>
    <n v="14.70041778877892"/>
    <n v="634.4273079854775"/>
    <n v="-5.098150078692246"/>
    <n v="-6.095636063201507"/>
    <n v="28651.11030883936"/>
    <n v="-83557.86247465265"/>
    <n v="-147.0041778877892"/>
    <n v="-6344.273079854775"/>
    <n v="50.98150078692246"/>
    <n v="60.95636063201507"/>
    <n v="-9723.950016828003"/>
    <n v="-3797.824318097209"/>
    <n v="-1654.203369816582"/>
    <n v="-607.2776682281028"/>
    <n v="540.4449870625331"/>
    <n v="1236.954751191979"/>
    <n v="2135.818135689542"/>
    <n v="3212.976170935025"/>
    <n v="1430.044441635146"/>
    <n v="726.1633404563509"/>
    <n v="292.6836465526185"/>
    <n v="146.6801166518007"/>
    <n v="-147.3147976556902"/>
    <n v="-295.2254190626263"/>
    <n v="-742.1838857813691"/>
    <n v="-1496.111979166249"/>
  </r>
  <r>
    <x v="2"/>
    <n v="10022"/>
    <n v="0.005"/>
    <s v="Option"/>
    <s v="JPY"/>
    <n v="-20"/>
    <x v="21"/>
    <s v="Put"/>
    <x v="0"/>
    <n v="0.41"/>
    <n v="0.005"/>
    <n v="705.9686045689959"/>
    <n v="-14119.37209137992"/>
    <s v="GoldMine Sacks"/>
    <m/>
    <n v="-4653.350090253602"/>
    <n v="11241.85359971991"/>
    <n v="17.17385634850363"/>
    <n v="-32.79500787645761"/>
    <n v="-5.167741772849513"/>
    <n v="-9.984484143779088"/>
    <n v="93067.00180507204"/>
    <n v="-224837.0719943982"/>
    <n v="-343.4771269700725"/>
    <n v="655.9001575291522"/>
    <n v="103.3548354569903"/>
    <n v="199.6896828755818"/>
    <n v="-27494.2837902202"/>
    <n v="-11607.50232143871"/>
    <n v="-5225.947242506045"/>
    <n v="-1952.087079942776"/>
    <n v="1772.386269687868"/>
    <n v="4108.333222910906"/>
    <n v="7214.498753055814"/>
    <n v="11074.77023116913"/>
    <n v="3437.785869409017"/>
    <n v="1718.172419494167"/>
    <n v="687.0833170594778"/>
    <n v="343.509657401446"/>
    <n v="-343.4440674618963"/>
    <n v="-686.8209582152485"/>
    <n v="-1716.532716707334"/>
    <n v="-3431.227629501009"/>
  </r>
  <r>
    <x v="2"/>
    <n v="10022"/>
    <n v="0.005"/>
    <s v="Option"/>
    <s v="JPY"/>
    <n v="-20"/>
    <x v="23"/>
    <s v="Call"/>
    <x v="0"/>
    <n v="0.3975378258395253"/>
    <n v="0.005"/>
    <n v="554.7651532071441"/>
    <n v="-11095.30306414288"/>
    <s v="Exch"/>
    <m/>
    <n v="4660.588513206668"/>
    <n v="11596.11485472669"/>
    <n v="17.17659241382335"/>
    <n v="96.70368222190872"/>
    <n v="-5.01324253876731"/>
    <n v="7.64920516383473"/>
    <n v="-93211.77026413336"/>
    <n v="-231922.2970945338"/>
    <n v="-343.531848276467"/>
    <n v="-1934.073644438174"/>
    <n v="100.2648507753462"/>
    <n v="-152.9841032766946"/>
    <n v="10125.81779138988"/>
    <n v="7031.629497988492"/>
    <n v="4080.164852845392"/>
    <n v="1771.264878594302"/>
    <n v="-1956.597460522644"/>
    <n v="-5231.804733653153"/>
    <n v="-11545.13870187739"/>
    <n v="-26838.97674967906"/>
    <n v="3421.10609636049"/>
    <n v="1714.749563868445"/>
    <n v="686.6476890962622"/>
    <n v="343.4315816354137"/>
    <n v="-343.6251487772824"/>
    <n v="-687.4238796975624"/>
    <n v="-1719.686098112161"/>
    <n v="-3442.14764435319"/>
  </r>
  <r>
    <x v="2"/>
    <n v="10022"/>
    <n v="0.005"/>
    <s v="Option"/>
    <s v="JPY"/>
    <n v="-20"/>
    <x v="23"/>
    <s v="Put"/>
    <x v="0"/>
    <n v="0.3975378258395253"/>
    <n v="0.005"/>
    <n v="855.4849001945649"/>
    <n v="-17109.6980038913"/>
    <s v="Exch"/>
    <m/>
    <n v="-5352.080271869532"/>
    <n v="11596.11485472669"/>
    <n v="17.17659241382335"/>
    <n v="96.70368222190872"/>
    <n v="-5.00912309017844"/>
    <n v="-11.56477895069476"/>
    <n v="107041.6054373907"/>
    <n v="-231922.2970945338"/>
    <n v="-343.531848276467"/>
    <n v="-1934.073644438174"/>
    <n v="100.1824618035688"/>
    <n v="231.2955790138952"/>
    <n v="-29924.85734891488"/>
    <n v="-12993.70807216386"/>
    <n v="-5932.503932230829"/>
    <n v="-2233.802635436205"/>
    <n v="2048.470053507845"/>
    <n v="4780.864051423032"/>
    <n v="8480.198868275029"/>
    <n v="13211.69839062571"/>
    <n v="3421.10609636049"/>
    <n v="1714.749563868445"/>
    <n v="686.6476890962804"/>
    <n v="343.4315816354319"/>
    <n v="-343.6251487773006"/>
    <n v="-687.4238796975442"/>
    <n v="-1719.686098112179"/>
    <n v="-3442.147644353208"/>
  </r>
  <r>
    <x v="2"/>
    <n v="10022"/>
    <n v="0.005"/>
    <s v="Option"/>
    <s v="JPY"/>
    <n v="50"/>
    <x v="24"/>
    <s v="Put"/>
    <x v="0"/>
    <n v="0.534139247868658"/>
    <n v="0.005"/>
    <n v="300.5065235356888"/>
    <n v="15025.32617678444"/>
    <s v="Exch"/>
    <m/>
    <n v="-2063.565632880376"/>
    <n v="6189.3048272389"/>
    <n v="12.31806260367585"/>
    <n v="1114.822410604223"/>
    <n v="-4.833795747520379"/>
    <n v="-4.404298811953216"/>
    <n v="-103178.2816440188"/>
    <n v="309465.241361945"/>
    <n v="615.9031301837927"/>
    <n v="55741.12053021115"/>
    <n v="-241.689787376019"/>
    <n v="-220.2149405976608"/>
    <n v="36700.96089418007"/>
    <n v="13890.15122780443"/>
    <n v="5992.122783119862"/>
    <n v="2191.136610975173"/>
    <n v="-1943.510900444937"/>
    <n v="-4442.746004128981"/>
    <n v="-7670.28973687743"/>
    <n v="-11591.00640632664"/>
    <n v="-5827.13986210083"/>
    <n v="-3003.691001636264"/>
    <n v="-1220.281804027627"/>
    <n v="-613.0697269876578"/>
    <n v="618.6451504045408"/>
    <n v="1242.599242709161"/>
    <n v="3143.86609965884"/>
    <n v="6397.840388858822"/>
  </r>
  <r>
    <x v="2"/>
    <n v="10022"/>
    <n v="0.005"/>
    <s v="Option"/>
    <s v="JPY"/>
    <n v="-20"/>
    <x v="22"/>
    <s v="Put"/>
    <x v="0"/>
    <n v="0.4721677408355954"/>
    <n v="0.005"/>
    <n v="406.8112677462832"/>
    <n v="-8136.225354925664"/>
    <s v="GoldMine Sacks"/>
    <m/>
    <n v="-2865.111030883936"/>
    <n v="8355.786247465265"/>
    <n v="14.70041778877892"/>
    <n v="634.4273079854775"/>
    <n v="-5.098150078692246"/>
    <n v="-6.095636063201507"/>
    <n v="57302.22061767872"/>
    <n v="-167115.7249493053"/>
    <n v="-294.0083557755784"/>
    <n v="-12688.54615970955"/>
    <n v="101.9630015738449"/>
    <n v="121.9127212640301"/>
    <n v="-19447.90003365601"/>
    <n v="-7595.648636194419"/>
    <n v="-3308.406739633165"/>
    <n v="-1214.555336456206"/>
    <n v="1080.889974125066"/>
    <n v="2473.909502383958"/>
    <n v="4271.636271379084"/>
    <n v="6425.95234187005"/>
    <n v="2860.088883270291"/>
    <n v="1452.326680912702"/>
    <n v="585.367293105237"/>
    <n v="293.3602333036015"/>
    <n v="-294.6295953113804"/>
    <n v="-590.4508381252526"/>
    <n v="-1484.367771562738"/>
    <n v="-2992.223958332497"/>
  </r>
  <r>
    <x v="2"/>
    <n v="10022"/>
    <n v="0.005"/>
    <s v="Option"/>
    <s v="JPY"/>
    <n v="-20"/>
    <x v="22"/>
    <s v="Put"/>
    <x v="0"/>
    <n v="0.4721677408355954"/>
    <n v="0.005"/>
    <n v="406.8112677462832"/>
    <n v="-8136.225354925664"/>
    <s v="Exch"/>
    <m/>
    <n v="-2865.111030883936"/>
    <n v="8355.786247465265"/>
    <n v="14.70041778877892"/>
    <n v="634.4273079854775"/>
    <n v="-5.098150078692246"/>
    <n v="-6.095636063201507"/>
    <n v="57302.22061767872"/>
    <n v="-167115.7249493053"/>
    <n v="-294.0083557755784"/>
    <n v="-12688.54615970955"/>
    <n v="101.9630015738449"/>
    <n v="121.9127212640301"/>
    <n v="-19447.90003365601"/>
    <n v="-7595.648636194419"/>
    <n v="-3308.406739633165"/>
    <n v="-1214.555336456206"/>
    <n v="1080.889974125066"/>
    <n v="2473.909502383958"/>
    <n v="4271.636271379084"/>
    <n v="6425.95234187005"/>
    <n v="2860.088883270291"/>
    <n v="1452.326680912702"/>
    <n v="585.367293105237"/>
    <n v="293.3602333036015"/>
    <n v="-294.6295953113804"/>
    <n v="-590.4508381252526"/>
    <n v="-1484.367771562738"/>
    <n v="-2992.223958332497"/>
  </r>
  <r>
    <x v="2"/>
    <n v="10022"/>
    <n v="0.005"/>
    <s v="Option"/>
    <s v="JPY"/>
    <n v="-25"/>
    <x v="21"/>
    <s v="Call"/>
    <x v="0"/>
    <n v="0.41"/>
    <n v="0.005"/>
    <n v="705.9686045689959"/>
    <n v="-17649.2151142249"/>
    <s v="Exch"/>
    <m/>
    <n v="5359.318694822598"/>
    <n v="11241.85359971991"/>
    <n v="17.17385634850363"/>
    <n v="-32.79500787645761"/>
    <n v="-5.167741772849513"/>
    <n v="8.669254962664244"/>
    <n v="-133982.9673705649"/>
    <n v="-281046.3399929978"/>
    <n v="-429.3464087125907"/>
    <n v="819.8751969114403"/>
    <n v="129.1935443212378"/>
    <n v="-216.7313740666061"/>
    <n v="15695.48918760571"/>
    <n v="10522.29406089209"/>
    <n v="5983.401928212675"/>
    <n v="2566.225542609664"/>
    <n v="-2790.851555428253"/>
    <n v="-7380.41945270661"/>
    <n v="-16013.54852137074"/>
    <n v="-36219.8811364196"/>
    <n v="4297.232336761272"/>
    <n v="2147.715524367709"/>
    <n v="858.8541463243473"/>
    <n v="429.3870717518075"/>
    <n v="-429.3050843273704"/>
    <n v="-858.5261977690607"/>
    <n v="-2145.665895884167"/>
    <n v="-4289.034536876261"/>
  </r>
  <r>
    <x v="2"/>
    <n v="10022"/>
    <n v="0.005"/>
    <s v="Option"/>
    <s v="JPY"/>
    <n v="10"/>
    <x v="24"/>
    <s v="Put"/>
    <x v="0"/>
    <n v="0.534139247868658"/>
    <n v="0.005"/>
    <n v="300.5065235356888"/>
    <n v="3005.065235356888"/>
    <s v="JP Horgan"/>
    <m/>
    <n v="-2063.565632880376"/>
    <n v="6189.3048272389"/>
    <n v="12.31806260367585"/>
    <n v="1114.822410604223"/>
    <n v="-4.833795747520379"/>
    <n v="-4.404298811953216"/>
    <n v="-20635.65632880376"/>
    <n v="61893.04827238899"/>
    <n v="123.1806260367585"/>
    <n v="11148.22410604223"/>
    <n v="-48.33795747520379"/>
    <n v="-44.04298811953215"/>
    <n v="7340.192178836014"/>
    <n v="2778.030245560885"/>
    <n v="1198.424556623972"/>
    <n v="438.2273221950345"/>
    <n v="-388.7021800889875"/>
    <n v="-888.5492008257961"/>
    <n v="-1534.057947375486"/>
    <n v="-2318.201281265327"/>
    <n v="-1165.427972420166"/>
    <n v="-600.7382003272528"/>
    <n v="-244.0563608055254"/>
    <n v="-122.6139453975316"/>
    <n v="123.7290300809082"/>
    <n v="248.5198485418323"/>
    <n v="628.7732199317679"/>
    <n v="1279.568077771764"/>
  </r>
  <r>
    <x v="2"/>
    <n v="10022"/>
    <n v="0.005"/>
    <s v="Option"/>
    <s v="JPY"/>
    <n v="-25"/>
    <x v="21"/>
    <s v="Put"/>
    <x v="1"/>
    <n v="0.36"/>
    <n v="0.005"/>
    <n v="945.6981147577571"/>
    <n v="-23642.45286894393"/>
    <s v="Exch"/>
    <m/>
    <n v="-4527.248450330417"/>
    <n v="8336.218676837028"/>
    <n v="26.14603600340556"/>
    <n v="-102.5067877284202"/>
    <n v="-2.946973835463809"/>
    <n v="-23.84105489997314"/>
    <n v="113181.2112582604"/>
    <n v="-208405.4669209257"/>
    <n v="-653.650900085139"/>
    <n v="2562.669693210504"/>
    <n v="73.67434588659523"/>
    <n v="596.0263724993285"/>
    <n v="-31300.75534759348"/>
    <n v="-13478.11318423239"/>
    <n v="-6191.455503150951"/>
    <n v="-2347.779908069856"/>
    <n v="2181.133126728855"/>
    <n v="5152.457710112276"/>
    <n v="9358.384310209351"/>
    <n v="15393.77476599511"/>
    <n v="6548.149390079925"/>
    <n v="3271.311416923345"/>
    <n v="1307.804971205451"/>
    <n v="653.7778635484301"/>
    <n v="-653.5215972735386"/>
    <n v="-1306.779914438994"/>
    <n v="-3264.905176689945"/>
    <n v="-6522.529636200056"/>
  </r>
  <r>
    <x v="2"/>
    <n v="10022"/>
    <n v="0.005"/>
    <s v="Option"/>
    <s v="JPY"/>
    <n v="-10"/>
    <x v="22"/>
    <s v="Put"/>
    <x v="1"/>
    <n v="0.4221677408355954"/>
    <n v="0.005"/>
    <n v="667.7534821882723"/>
    <n v="-6677.534821882723"/>
    <s v="Exch"/>
    <m/>
    <n v="-3164.029507293673"/>
    <n v="6386.729111458075"/>
    <n v="23.49079939998884"/>
    <n v="529.4993984362329"/>
    <n v="-3.109424299922761"/>
    <n v="-16.69187658431862"/>
    <n v="31640.29507293673"/>
    <n v="-63867.29111458074"/>
    <n v="-234.9079939998884"/>
    <n v="-5294.993984362329"/>
    <n v="31.09424299922761"/>
    <n v="166.9187658431862"/>
    <n v="-9282.991225168265"/>
    <n v="-3857.891002490719"/>
    <n v="-1748.780896908183"/>
    <n v="-658.8124651651469"/>
    <n v="607.723406326345"/>
    <n v="1429.633574476929"/>
    <n v="2583.719990520281"/>
    <n v="4233.277979568731"/>
    <n v="2312.700967549981"/>
    <n v="1166.832659160827"/>
    <n v="468.6919962046659"/>
    <n v="234.6352972905333"/>
    <n v="-235.1651277980409"/>
    <n v="-470.8152993371277"/>
    <n v="-1180.279546717948"/>
    <n v="-2369.130186628204"/>
  </r>
  <r>
    <x v="2"/>
    <n v="10022"/>
    <n v="0.005"/>
    <s v="Option"/>
    <s v="JPY"/>
    <n v="-15"/>
    <x v="22"/>
    <s v="Put"/>
    <x v="1"/>
    <n v="0.4221677408355954"/>
    <n v="0.005"/>
    <n v="667.7534821882723"/>
    <n v="-10016.30223282408"/>
    <s v="GoldMine Sacks"/>
    <m/>
    <n v="-3164.029507293673"/>
    <n v="6386.729111458075"/>
    <n v="23.49079939998884"/>
    <n v="529.4993984362329"/>
    <n v="-3.109424299922761"/>
    <n v="-16.69187658431862"/>
    <n v="47460.4426094051"/>
    <n v="-95800.93667187112"/>
    <n v="-352.3619909998326"/>
    <n v="-7942.490976543494"/>
    <n v="46.64136449884141"/>
    <n v="250.3781487647793"/>
    <n v="-13924.4868377524"/>
    <n v="-5786.836503736078"/>
    <n v="-2623.171345362275"/>
    <n v="-988.2186977477204"/>
    <n v="911.5851094895174"/>
    <n v="2144.450361715394"/>
    <n v="3875.579985780421"/>
    <n v="6349.916969353098"/>
    <n v="3469.051451324972"/>
    <n v="1750.248988741241"/>
    <n v="703.0379943069988"/>
    <n v="351.9529459358"/>
    <n v="-352.7476916970613"/>
    <n v="-706.2229490056916"/>
    <n v="-1770.419320076921"/>
    <n v="-3553.695279942306"/>
  </r>
  <r>
    <x v="2"/>
    <n v="10022"/>
    <n v="0.005"/>
    <s v="Option"/>
    <s v="JPY"/>
    <n v="-20"/>
    <x v="25"/>
    <s v="Call"/>
    <x v="1"/>
    <n v="0.3295010100547117"/>
    <n v="0.005"/>
    <n v="438.9963930770969"/>
    <n v="-8779.927861541937"/>
    <s v="Exch"/>
    <m/>
    <n v="3399.850726505106"/>
    <n v="8424.163052535167"/>
    <n v="24.18342286649158"/>
    <n v="1907.420276560372"/>
    <n v="-2.499792093260643"/>
    <n v="12.89796819219325"/>
    <n v="-67997.01453010211"/>
    <n v="-168483.2610507033"/>
    <n v="-483.6684573298317"/>
    <n v="-38148.40553120744"/>
    <n v="49.99584186521285"/>
    <n v="-257.9593638438649"/>
    <n v="7702.294843627365"/>
    <n v="5194.570572045291"/>
    <n v="2986.797881093735"/>
    <n v="1292.99766572577"/>
    <n v="-1427.688943171461"/>
    <n v="-3825.50679568024"/>
    <n v="-8505.847718972882"/>
    <n v="-20303.22769311072"/>
    <n v="4569.689596149801"/>
    <n v="2362.545347502664"/>
    <n v="959.2311313346272"/>
    <n v="481.7031294589833"/>
    <n v="-485.5209387975992"/>
    <n v="-974.5380846376429"/>
    <n v="-2459.800417787719"/>
    <n v="-4982.811915276998"/>
  </r>
  <r>
    <x v="2"/>
    <n v="10022"/>
    <n v="0.005"/>
    <s v="Option"/>
    <s v="JPY"/>
    <n v="-10"/>
    <x v="25"/>
    <s v="Put"/>
    <x v="1"/>
    <n v="0.3295010100547117"/>
    <n v="0.005"/>
    <n v="1639.379011671045"/>
    <n v="-16393.79011671045"/>
    <s v="UBS"/>
    <m/>
    <n v="-6600.344288913485"/>
    <n v="8424.163052535167"/>
    <n v="24.18342286649158"/>
    <n v="1907.420276560372"/>
    <n v="-2.483348495745657"/>
    <n v="-35.89358917240932"/>
    <n v="66003.44288913485"/>
    <n v="-84241.63052535166"/>
    <n v="-241.8342286649158"/>
    <n v="-19074.20276560372"/>
    <n v="24.83348495745657"/>
    <n v="358.9358917240932"/>
    <n v="-16149.24260902349"/>
    <n v="-7402.909729395924"/>
    <n v="-3506.698567162439"/>
    <n v="-1353.540170220849"/>
    <n v="1286.194531497977"/>
    <n v="3087.344109869164"/>
    <n v="5747.27115593214"/>
    <n v="9848.776184281811"/>
    <n v="2284.844798074882"/>
    <n v="1181.272673751319"/>
    <n v="479.6155656673182"/>
    <n v="240.8515647294735"/>
    <n v="-242.7604693988178"/>
    <n v="-487.2690423188305"/>
    <n v="-1229.90020889386"/>
    <n v="-2491.405957638508"/>
  </r>
  <r>
    <x v="2"/>
    <n v="10022"/>
    <n v="0.005"/>
    <s v="Option"/>
    <s v="JPY"/>
    <n v="-15"/>
    <x v="23"/>
    <s v="Call"/>
    <x v="1"/>
    <n v="0.3475378258395254"/>
    <n v="0.005"/>
    <n v="784.3135824308338"/>
    <n v="-11764.70373646251"/>
    <s v="Exch"/>
    <m/>
    <n v="4942.976812367967"/>
    <n v="8695.404943843268"/>
    <n v="26.32850183602358"/>
    <n v="26.43412860308827"/>
    <n v="-2.866661728544118"/>
    <n v="18.11582064547957"/>
    <n v="-74144.6521855195"/>
    <n v="-130431.074157649"/>
    <n v="-394.9275275403538"/>
    <n v="-396.511929046324"/>
    <n v="42.99992592816178"/>
    <n v="-271.7373096821935"/>
    <n v="9638.349611846897"/>
    <n v="6090.123821716661"/>
    <n v="3377.295499514707"/>
    <n v="1430.42512247674"/>
    <n v="-1534.710216292983"/>
    <n v="-4027.120819445854"/>
    <n v="-8661.728455551907"/>
    <n v="-19498.4098060038"/>
    <n v="3942.764951947549"/>
    <n v="1973.655504274902"/>
    <n v="789.7469322386587"/>
    <n v="394.9041845495549"/>
    <n v="-394.9439919340693"/>
    <n v="-789.9080421749613"/>
    <n v="-1974.746342702315"/>
    <n v="-3948.4283831317"/>
  </r>
  <r>
    <x v="2"/>
    <n v="10022"/>
    <n v="0.005"/>
    <s v="Option"/>
    <s v="JPY"/>
    <n v="-20"/>
    <x v="21"/>
    <s v="Put"/>
    <x v="1"/>
    <n v="0.36"/>
    <n v="0.005"/>
    <n v="945.6981147577571"/>
    <n v="-18913.96229515514"/>
    <s v="Exch"/>
    <m/>
    <n v="-4527.248450330417"/>
    <n v="8336.218676837028"/>
    <n v="26.14603600340556"/>
    <n v="-102.5067877284202"/>
    <n v="-2.946973835463809"/>
    <n v="-23.84105489997314"/>
    <n v="90544.96900660833"/>
    <n v="-166724.3735367406"/>
    <n v="-522.9207200681112"/>
    <n v="2050.135754568403"/>
    <n v="58.93947670927618"/>
    <n v="476.8210979994628"/>
    <n v="-25040.60427807479"/>
    <n v="-10782.49054738591"/>
    <n v="-4953.164402520761"/>
    <n v="-1878.223926455885"/>
    <n v="1744.906501383084"/>
    <n v="4121.966168089821"/>
    <n v="7486.707448167481"/>
    <n v="12315.01981279609"/>
    <n v="5238.51951206394"/>
    <n v="2617.049133538676"/>
    <n v="1046.243976964361"/>
    <n v="523.0222908387441"/>
    <n v="-522.8172778188309"/>
    <n v="-1045.423931551195"/>
    <n v="-2611.924141351956"/>
    <n v="-5218.023708960045"/>
  </r>
  <r>
    <x v="2"/>
    <n v="10022"/>
    <n v="0.005"/>
    <s v="Option"/>
    <s v="JPY"/>
    <n v="-20"/>
    <x v="26"/>
    <s v="Call"/>
    <x v="1"/>
    <n v="0.3281105732045441"/>
    <n v="0.005"/>
    <n v="362.5000631662388"/>
    <n v="-7250.001263324775"/>
    <s v="JP Horgan"/>
    <m/>
    <n v="2956.454929735491"/>
    <n v="7974.466703857101"/>
    <n v="22.7958678219887"/>
    <n v="2811.2702220085"/>
    <n v="-2.347098792177893"/>
    <n v="11.29969380231538"/>
    <n v="-59129.09859470982"/>
    <n v="-159489.334077142"/>
    <n v="-455.9173564397739"/>
    <n v="-56225.40444017001"/>
    <n v="46.94197584355785"/>
    <n v="-225.9938760463075"/>
    <n v="6447.588746148129"/>
    <n v="4422.610835843129"/>
    <n v="2569.240931612812"/>
    <n v="1119.459065854708"/>
    <n v="-1246.962942583859"/>
    <n v="-3363.282504347144"/>
    <n v="-7558.838218499877"/>
    <n v="-18405.09847552767"/>
    <n v="4176.233409359338"/>
    <n v="2198.286977855287"/>
    <n v="899.9383088741524"/>
    <n v="453.0267079478472"/>
    <n v="-458.6530492197653"/>
    <n v="-922.4893692084879"/>
    <n v="-2341.252678896617"/>
    <n v="-4778.249558541511"/>
  </r>
  <r>
    <x v="2"/>
    <n v="10022"/>
    <n v="0.005"/>
    <s v="Option"/>
    <s v="JPY"/>
    <n v="5"/>
    <x v="24"/>
    <s v="Put"/>
    <x v="1"/>
    <n v="0.4841392478686579"/>
    <n v="0.005"/>
    <n v="571.2981845250474"/>
    <n v="2856.490922625237"/>
    <s v="Exch"/>
    <m/>
    <n v="-2519.871971557293"/>
    <n v="4993.361017618858"/>
    <n v="21.06189838562524"/>
    <n v="1013.820927974215"/>
    <n v="-3.19874369656116"/>
    <n v="-13.46564533745457"/>
    <n v="-12599.35985778646"/>
    <n v="24966.80508809429"/>
    <n v="105.3094919281262"/>
    <n v="5069.104639871073"/>
    <n v="-15.9937184828058"/>
    <n v="-67.32822668727287"/>
    <n v="3723.864527716448"/>
    <n v="1535.653679847574"/>
    <n v="695.6301417262625"/>
    <n v="262.1806086835522"/>
    <n v="-242.2052692895886"/>
    <n v="-570.7230515894298"/>
    <n v="-1035.203806898729"/>
    <n v="-1712.169529001152"/>
    <n v="-1020.958094829523"/>
    <n v="-519.4442181685304"/>
    <n v="-209.5587794450398"/>
    <n v="-105.0503430324306"/>
    <n v="105.5574511705049"/>
    <n v="211.5895869393034"/>
    <n v="532.2414218417043"/>
    <n v="1073.686022690767"/>
  </r>
  <r>
    <x v="2"/>
    <n v="10022"/>
    <n v="0.005"/>
    <s v="Option"/>
    <s v="JPY"/>
    <n v="-20"/>
    <x v="26"/>
    <s v="Call"/>
    <x v="1"/>
    <n v="0.3281105732045441"/>
    <n v="0.005"/>
    <n v="362.5000631662388"/>
    <n v="-7250.001263324775"/>
    <s v="Exch"/>
    <m/>
    <n v="2956.454929735491"/>
    <n v="7974.466703857101"/>
    <n v="22.7958678219887"/>
    <n v="2811.2702220085"/>
    <n v="-2.347098792177893"/>
    <n v="11.29969380231538"/>
    <n v="-59129.09859470982"/>
    <n v="-159489.334077142"/>
    <n v="-455.9173564397739"/>
    <n v="-56225.40444017001"/>
    <n v="46.94197584355785"/>
    <n v="-225.9938760463075"/>
    <n v="6447.588746148129"/>
    <n v="4422.610835843129"/>
    <n v="2569.240931612812"/>
    <n v="1119.459065854708"/>
    <n v="-1246.962942583859"/>
    <n v="-3363.282504347144"/>
    <n v="-7558.838218499877"/>
    <n v="-18405.09847552767"/>
    <n v="4176.233409359338"/>
    <n v="2198.286977855287"/>
    <n v="899.9383088741524"/>
    <n v="453.0267079478472"/>
    <n v="-458.6530492197653"/>
    <n v="-922.4893692084879"/>
    <n v="-2341.252678896617"/>
    <n v="-4778.249558541511"/>
  </r>
  <r>
    <x v="2"/>
    <n v="10022"/>
    <n v="0.005"/>
    <s v="Option"/>
    <s v="JPY"/>
    <n v="-10"/>
    <x v="27"/>
    <s v="Put"/>
    <x v="2"/>
    <n v="0.3475203670257166"/>
    <n v="0.0075"/>
    <n v="972.6727676622968"/>
    <n v="-9726.727676622968"/>
    <s v="Darklays Capital"/>
    <m/>
    <n v="-3985.691342855363"/>
    <n v="6704.035097042088"/>
    <n v="31.91491421201853"/>
    <n v="-74.75806272133087"/>
    <n v="-2.170930857605218"/>
    <n v="-33.96139801724425"/>
    <n v="39856.91342855363"/>
    <n v="-67040.35097042087"/>
    <n v="-319.1491421201853"/>
    <n v="747.5806272133087"/>
    <n v="21.70930857605218"/>
    <n v="339.6139801724425"/>
    <n v="-10899.8660266123"/>
    <n v="-4693.638320882064"/>
    <n v="-2165.462777612456"/>
    <n v="-824.2859472539021"/>
    <n v="770.6655255609439"/>
    <n v="1830.725531545577"/>
    <n v="3360.333476814922"/>
    <n v="5660.627051530464"/>
    <n v="3191.992554252452"/>
    <n v="1596.324546443839"/>
    <n v="638.4264661403313"/>
    <n v="319.1839068779836"/>
    <n v="-319.1092451477198"/>
    <n v="-638.1289789657012"/>
    <n v="-1594.516997140568"/>
    <n v="-3185.56413894436"/>
  </r>
  <r>
    <x v="2"/>
    <n v="10022"/>
    <n v="0.005"/>
    <s v="Option"/>
    <s v="JPY"/>
    <n v="-5"/>
    <x v="28"/>
    <s v="Put"/>
    <x v="2"/>
    <n v="0.5752835905302579"/>
    <n v="0.0075"/>
    <n v="710.9240604862707"/>
    <n v="-3554.620302431354"/>
    <s v="Exch"/>
    <m/>
    <n v="-2064.278620021756"/>
    <n v="2994.653381399031"/>
    <n v="23.59965684444949"/>
    <n v="1147.225085724329"/>
    <n v="-2.686552141653563"/>
    <n v="-19.00823753772621"/>
    <n v="10321.39310010878"/>
    <n v="-14973.26690699516"/>
    <n v="-117.9982842222474"/>
    <n v="-5736.125428621644"/>
    <n v="13.43276070826782"/>
    <n v="95.04118768863107"/>
    <n v="-2782.544258127605"/>
    <n v="-1196.138806056197"/>
    <n v="-555.2427937265384"/>
    <n v="-212.5268333849021"/>
    <n v="200.5459468074446"/>
    <n v="480.2878091970604"/>
    <n v="895.2632014045366"/>
    <n v="1562.65677278965"/>
    <n v="1144.486148603106"/>
    <n v="582.03290806376"/>
    <n v="234.801056564977"/>
    <n v="117.7055273429846"/>
    <n v="-118.279303314705"/>
    <n v="-237.0981230357802"/>
    <n v="-596.4758148290593"/>
    <n v="-1203.511617888212"/>
  </r>
  <r>
    <x v="2"/>
    <n v="10022"/>
    <n v="0.005"/>
    <s v="Option"/>
    <s v="JPY"/>
    <n v="-10"/>
    <x v="27"/>
    <s v="Put"/>
    <x v="2"/>
    <n v="0.3475203670257166"/>
    <n v="0.0075"/>
    <n v="972.6727676622968"/>
    <n v="-9726.727676622968"/>
    <s v="JP Horgan"/>
    <m/>
    <n v="-3985.691342855363"/>
    <n v="6704.035097042088"/>
    <n v="31.91491421201853"/>
    <n v="-74.75806272133087"/>
    <n v="-2.170930857605218"/>
    <n v="-33.96139801724425"/>
    <n v="39856.91342855363"/>
    <n v="-67040.35097042087"/>
    <n v="-319.1491421201853"/>
    <n v="747.5806272133087"/>
    <n v="21.70930857605218"/>
    <n v="339.6139801724425"/>
    <n v="-10899.8660266123"/>
    <n v="-4693.638320882064"/>
    <n v="-2165.462777612456"/>
    <n v="-824.2859472539021"/>
    <n v="770.6655255609439"/>
    <n v="1830.725531545577"/>
    <n v="3360.333476814922"/>
    <n v="5660.627051530464"/>
    <n v="3191.992554252452"/>
    <n v="1596.324546443839"/>
    <n v="638.4264661403313"/>
    <n v="319.1839068779836"/>
    <n v="-319.1092451477198"/>
    <n v="-638.1289789657012"/>
    <n v="-1594.516997140568"/>
    <n v="-3185.56413894436"/>
  </r>
  <r>
    <x v="2"/>
    <n v="10022"/>
    <n v="0.005"/>
    <s v="Option"/>
    <s v="JPY"/>
    <n v="-10"/>
    <x v="29"/>
    <s v="Put"/>
    <x v="2"/>
    <n v="0.4228512253383577"/>
    <n v="0.0075"/>
    <n v="783.326503009203"/>
    <n v="-7833.26503009203"/>
    <s v="Exch"/>
    <m/>
    <n v="-2924.239161183673"/>
    <n v="4906.516391216428"/>
    <n v="28.42091052285759"/>
    <n v="715.8266140903301"/>
    <n v="-2.367438582552025"/>
    <n v="-25.39428537118408"/>
    <n v="29242.39161183673"/>
    <n v="-49065.16391216428"/>
    <n v="-284.2091052285759"/>
    <n v="-7158.266140903301"/>
    <n v="23.67438582552025"/>
    <n v="253.9428537118408"/>
    <n v="-8136.675496456587"/>
    <n v="-3456.688251316186"/>
    <n v="-1590.023770350926"/>
    <n v="-604.8090943284978"/>
    <n v="565.5557437797461"/>
    <n v="1344.651588475331"/>
    <n v="2474.715496617459"/>
    <n v="4205.292475926076"/>
    <n v="2791.876002815629"/>
    <n v="1410.50621687431"/>
    <n v="566.8913463849231"/>
    <n v="283.8395426626676"/>
    <n v="-284.5558410764215"/>
    <n v="-569.7622123681458"/>
    <n v="-1428.700142010543"/>
    <n v="-2868.40770511913"/>
  </r>
  <r>
    <x v="2"/>
    <n v="10022"/>
    <n v="0.005"/>
    <s v="Option"/>
    <s v="JPY"/>
    <n v="-10"/>
    <x v="29"/>
    <s v="Put"/>
    <x v="2"/>
    <n v="0.4228512253383577"/>
    <n v="0.0075"/>
    <n v="783.326503009203"/>
    <n v="-7833.26503009203"/>
    <s v="Exch"/>
    <m/>
    <n v="-2924.239161183673"/>
    <n v="4906.516391216428"/>
    <n v="28.42091052285759"/>
    <n v="715.8266140903301"/>
    <n v="-2.367438582552025"/>
    <n v="-25.39428537118408"/>
    <n v="29242.39161183673"/>
    <n v="-49065.16391216428"/>
    <n v="-284.2091052285759"/>
    <n v="-7158.266140903301"/>
    <n v="23.67438582552025"/>
    <n v="253.9428537118408"/>
    <n v="-8136.675496456587"/>
    <n v="-3456.688251316186"/>
    <n v="-1590.023770350926"/>
    <n v="-604.8090943284978"/>
    <n v="565.5557437797461"/>
    <n v="1344.651588475331"/>
    <n v="2474.715496617459"/>
    <n v="4205.292475926076"/>
    <n v="2791.876002815629"/>
    <n v="1410.50621687431"/>
    <n v="566.8913463849231"/>
    <n v="283.8395426626676"/>
    <n v="-284.5558410764215"/>
    <n v="-569.7622123681458"/>
    <n v="-1428.700142010543"/>
    <n v="-2868.407705119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2" cacheId="1" dataOnRows="1" applyNumberFormats="0" applyBorderFormats="0" applyFontFormats="0" applyPatternFormats="0" applyAlignmentFormats="0" applyWidthHeightFormats="1" dataCaption="Data" updatedVersion="8" minRefreshableVersion="3" asteriskTotals="1" showMemberPropertyTips="0" useAutoFormatting="1" itemPrintTitles="1" createdVersion="8" indent="0" compact="0" compactData="0" gridDropZones="1" multipleFieldFilters="0">
  <location ref="C30:G44" firstHeaderRow="1" firstDataRow="2" firstDataCol="1" rowPageCount="1" colPageCount="1"/>
  <pivotFields count="43">
    <pivotField axis="axisPage" compact="0" outline="0" subtotalTop="0" showAll="0" includeNewItemsInFilter="1">
      <items count="4">
        <item h="1" x="2"/>
        <item h="1"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compact="0" outline="0" subtotalTop="0" showAll="0" includeNewItemsInFilter="1"/>
    <pivotField compact="0" outline="0" showAl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compact="0" outline="0" subtotalTop="0" showAll="0" includeNewItemsInFilter="1"/>
    <pivotField compact="0" outline="0" showAll="0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ImpVol  +10%" fld="42" baseField="0" baseItem="0"/>
  </dataFields>
  <formats count="7">
    <format dxfId="23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22">
      <pivotArea outline="0" fieldPosition="0"/>
    </format>
    <format dxfId="21">
      <pivotArea dataOnly="0" labelOnly="1" outline="0" fieldPosition="0">
        <references count="1">
          <reference field="8" count="0"/>
        </references>
      </pivotArea>
    </format>
    <format dxfId="20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19">
      <pivotArea dataOnly="0" labelOnly="1" grandRow="1" outline="0" fieldPosition="0"/>
    </format>
    <format dxfId="18">
      <pivotArea outline="0" fieldPosition="0"/>
    </format>
    <format dxfId="17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5" cacheId="0" dataOnRows="1" applyNumberFormats="0" applyBorderFormats="0" applyFontFormats="0" applyPatternFormats="0" applyAlignmentFormats="0" applyWidthHeightFormats="1" dataCaption="Data" updatedVersion="8" minRefreshableVersion="3" asteriskTotals="1" showMemberPropertyTips="0" useAutoFormatting="1" itemPrintTitles="1" createdVersion="8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h="1" x="2"/>
        <item h="1"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olga" fld="24" baseField="0" baseItem="0"/>
  </dataFields>
  <formats count="3">
    <format dxfId="26">
      <pivotArea field="6" dataOnly="0" grandRow="1" outline="0" axis="axisRow" fieldPosition="0">
        <references count="2">
          <reference field="0" count="1" selected="0">
            <x v="2"/>
          </reference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5">
      <pivotArea outline="0" fieldPosition="0"/>
    </format>
    <format dxfId="24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dataOnRows="1" applyNumberFormats="0" applyBorderFormats="0" applyFontFormats="0" applyPatternFormats="0" applyAlignmentFormats="0" applyWidthHeightFormats="1" dataCaption="Data" updatedVersion="8" minRefreshableVersion="3" asteriskTotals="1" showMemberPropertyTips="0" useAutoFormatting="1" itemPrintTitles="1" createdVersion="8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h="1" x="2"/>
        <item h="1"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ega 1%" fld="23" baseField="0" baseItem="0"/>
  </dataFields>
  <formats count="8">
    <format dxfId="34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33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32">
      <pivotArea dataOnly="0" labelOnly="1" grandRow="1" outline="0" fieldPosition="0"/>
    </format>
    <format dxfId="31">
      <pivotArea outline="0" fieldPosition="0"/>
    </format>
    <format dxfId="30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9">
      <pivotArea dataOnly="0" labelOnly="1" grandRow="1" outline="0" fieldPosition="0"/>
    </format>
    <format dxfId="28">
      <pivotArea outline="0" fieldPosition="0"/>
    </format>
    <format dxfId="27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PivotTable1" cacheId="0" dataOnRows="1" applyNumberFormats="0" applyBorderFormats="0" applyFontFormats="0" applyPatternFormats="0" applyAlignmentFormats="0" applyWidthHeightFormats="1" dataCaption="Data" updatedVersion="8" minRefreshableVersion="3" asteriskTotals="1" showMemberPropertyTips="0" useAutoFormatting="1" itemPrintTitles="1" createdVersion="8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h="1"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Delta" fld="21" baseField="0" baseItem="0" numFmtId="38"/>
  </dataFields>
  <formats count="7">
    <format dxfId="6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5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4">
      <pivotArea dataOnly="0" labelOnly="1" grandRow="1" outline="0" fieldPosition="0"/>
    </format>
    <format dxfId="3">
      <pivotArea outline="0" fieldPosition="0"/>
    </format>
    <format dxfId="2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1">
      <pivotArea dataOnly="0" labelOnly="1" grandRow="1" outline="0" fieldPosition="0"/>
    </format>
    <format dxfId="0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PivotTable3" cacheId="0" dataOnRows="1" applyNumberFormats="0" applyBorderFormats="0" applyFontFormats="0" applyPatternFormats="0" applyAlignmentFormats="0" applyWidthHeightFormats="1" dataCaption="Data" updatedVersion="8" minRefreshableVersion="3" asteriskTotals="1" showMemberPropertyTips="0" useAutoFormatting="1" itemPrintTitles="1" createdVersion="8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Gamma" fld="22" baseField="0" baseItem="0"/>
  </dataFields>
  <formats count="4">
    <format dxfId="10">
      <pivotArea outline="0" fieldPosition="0"/>
    </format>
    <format dxfId="9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8">
      <pivotArea dataOnly="0" labelOnly="1" grandRow="1" outline="0" fieldPosition="0"/>
    </format>
    <format dxfId="7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ivotTable2" cacheId="1" dataOnRows="1" applyNumberFormats="0" applyBorderFormats="0" applyFontFormats="0" applyPatternFormats="0" applyAlignmentFormats="0" applyWidthHeightFormats="1" dataCaption="Data" updatedVersion="8" minRefreshableVersion="3" asteriskTotals="1" showMemberPropertyTips="0" useAutoFormatting="1" itemPrintTitles="1" createdVersion="8" indent="0" compact="0" compactData="0" gridDropZones="1" multipleFieldFilters="0">
  <location ref="C30:G44" firstHeaderRow="1" firstDataRow="2" firstDataCol="1" rowPageCount="1" colPageCount="1"/>
  <pivotFields count="43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compact="0" outline="0" subtotalTop="0" showAll="0" includeNewItemsInFilter="1"/>
    <pivotField compact="0" outline="0" showAl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compact="0" outline="0" subtotalTop="0" showAll="0" includeNewItemsInFilter="1"/>
    <pivotField compact="0" outline="0" showAll="0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PnL: Und +10%" fld="33" baseField="0" baseItem="0"/>
  </dataFields>
  <formats count="6">
    <format dxfId="16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15">
      <pivotArea outline="0" fieldPosition="0"/>
    </format>
    <format dxfId="14">
      <pivotArea dataOnly="0" labelOnly="1" outline="0" fieldPosition="0">
        <references count="1">
          <reference field="8" count="0"/>
        </references>
      </pivotArea>
    </format>
    <format dxfId="13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12">
      <pivotArea dataOnly="0" labelOnly="1" grandRow="1" outline="0" fieldPosition="0"/>
    </format>
    <format dxfId="11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C4:N44"/>
  <sheetViews>
    <sheetView showGridLines="0" workbookViewId="0">
      <selection activeCell="J34" sqref="J34"/>
    </sheetView>
  </sheetViews>
  <sheetFormatPr defaultRowHeight="12.75" x14ac:dyDescent="0.35"/>
  <cols>
    <col min="3" max="3" width="18.33203125" bestFit="1" customWidth="1"/>
    <col min="4" max="6" width="12.33203125" bestFit="1" customWidth="1"/>
    <col min="7" max="7" width="10.265625" bestFit="1" customWidth="1"/>
    <col min="8" max="8" width="10.59765625" bestFit="1" customWidth="1"/>
    <col min="10" max="10" width="16.06640625" bestFit="1" customWidth="1"/>
    <col min="11" max="13" width="12.33203125" bestFit="1" customWidth="1"/>
    <col min="14" max="14" width="10.265625" bestFit="1" customWidth="1"/>
  </cols>
  <sheetData>
    <row r="4" spans="3:14" x14ac:dyDescent="0.35">
      <c r="C4" s="80" t="s">
        <v>0</v>
      </c>
      <c r="D4" s="81" t="s">
        <v>1</v>
      </c>
      <c r="J4" s="80" t="s">
        <v>0</v>
      </c>
      <c r="K4" s="81" t="s">
        <v>1</v>
      </c>
    </row>
    <row r="6" spans="3:14" x14ac:dyDescent="0.35">
      <c r="C6" s="72" t="s">
        <v>2</v>
      </c>
      <c r="D6" s="72" t="s">
        <v>3</v>
      </c>
      <c r="E6" s="73"/>
      <c r="F6" s="73"/>
      <c r="G6" s="74"/>
      <c r="J6" s="72" t="s">
        <v>4</v>
      </c>
      <c r="K6" s="72" t="s">
        <v>3</v>
      </c>
      <c r="L6" s="73"/>
      <c r="M6" s="73"/>
      <c r="N6" s="74"/>
    </row>
    <row r="7" spans="3:14" x14ac:dyDescent="0.35">
      <c r="C7" s="72" t="s">
        <v>5</v>
      </c>
      <c r="D7" s="92">
        <v>40256</v>
      </c>
      <c r="E7" s="93">
        <v>40347</v>
      </c>
      <c r="F7" s="93">
        <v>40438</v>
      </c>
      <c r="G7" s="77" t="s">
        <v>6</v>
      </c>
      <c r="J7" s="72" t="s">
        <v>5</v>
      </c>
      <c r="K7" s="92">
        <v>40256</v>
      </c>
      <c r="L7" s="93">
        <v>40347</v>
      </c>
      <c r="M7" s="93">
        <v>40438</v>
      </c>
      <c r="N7" s="77" t="s">
        <v>6</v>
      </c>
    </row>
    <row r="8" spans="3:14" x14ac:dyDescent="0.35">
      <c r="C8" s="94">
        <v>2469</v>
      </c>
      <c r="D8" s="98">
        <v>266.84676518596717</v>
      </c>
      <c r="E8" s="99">
        <v>60.544023371569509</v>
      </c>
      <c r="F8" s="99"/>
      <c r="G8" s="100">
        <v>327.39078855753672</v>
      </c>
      <c r="J8" s="78">
        <v>2469</v>
      </c>
      <c r="K8" s="83">
        <v>24173.2344977053</v>
      </c>
      <c r="L8" s="84">
        <v>2925.399524629112</v>
      </c>
      <c r="M8" s="84"/>
      <c r="N8" s="85">
        <v>27098.634022334409</v>
      </c>
    </row>
    <row r="9" spans="3:14" x14ac:dyDescent="0.35">
      <c r="C9" s="95">
        <v>2556</v>
      </c>
      <c r="D9" s="101">
        <v>-136.5105698228281</v>
      </c>
      <c r="E9" s="68"/>
      <c r="F9" s="68">
        <v>40.689157674435343</v>
      </c>
      <c r="G9" s="102">
        <v>-95.821412148392767</v>
      </c>
      <c r="J9" s="79">
        <v>2556</v>
      </c>
      <c r="K9" s="86">
        <v>-9204.0377012499375</v>
      </c>
      <c r="L9" s="87"/>
      <c r="M9" s="87">
        <v>1029.929370298101</v>
      </c>
      <c r="N9" s="88">
        <v>-8174.1083309518372</v>
      </c>
    </row>
    <row r="10" spans="3:14" x14ac:dyDescent="0.35">
      <c r="C10" s="95">
        <v>2731</v>
      </c>
      <c r="D10" s="101"/>
      <c r="E10" s="68">
        <v>0</v>
      </c>
      <c r="F10" s="68">
        <v>-176.99081056019929</v>
      </c>
      <c r="G10" s="102">
        <v>-176.99081056019929</v>
      </c>
      <c r="J10" s="79">
        <v>2731</v>
      </c>
      <c r="K10" s="86"/>
      <c r="L10" s="87">
        <v>0</v>
      </c>
      <c r="M10" s="87">
        <v>-984.87949675383652</v>
      </c>
      <c r="N10" s="88">
        <v>-984.87949675383652</v>
      </c>
    </row>
    <row r="11" spans="3:14" x14ac:dyDescent="0.35">
      <c r="C11" s="95">
        <v>2818</v>
      </c>
      <c r="D11" s="101">
        <v>-144.5898709471056</v>
      </c>
      <c r="E11" s="68">
        <v>-293.84065752157028</v>
      </c>
      <c r="F11" s="68"/>
      <c r="G11" s="102">
        <v>-438.4305284686759</v>
      </c>
      <c r="J11" s="79">
        <v>2818</v>
      </c>
      <c r="K11" s="86">
        <v>-638.13386566233919</v>
      </c>
      <c r="L11" s="87">
        <v>5.0832044126239007</v>
      </c>
      <c r="M11" s="87"/>
      <c r="N11" s="88">
        <v>-633.05066124971529</v>
      </c>
    </row>
    <row r="12" spans="3:14" x14ac:dyDescent="0.35">
      <c r="C12" s="95">
        <v>2905</v>
      </c>
      <c r="D12" s="101"/>
      <c r="E12" s="68">
        <v>-263.23921620696422</v>
      </c>
      <c r="F12" s="68"/>
      <c r="G12" s="102">
        <v>-263.23921620696422</v>
      </c>
      <c r="J12" s="79">
        <v>2905</v>
      </c>
      <c r="K12" s="86"/>
      <c r="L12" s="87">
        <v>1032.3971368888781</v>
      </c>
      <c r="M12" s="87"/>
      <c r="N12" s="88">
        <v>1032.3971368888781</v>
      </c>
    </row>
    <row r="13" spans="3:14" x14ac:dyDescent="0.35">
      <c r="C13" s="95">
        <v>2992</v>
      </c>
      <c r="D13" s="101">
        <v>-297.79913848365561</v>
      </c>
      <c r="E13" s="68"/>
      <c r="F13" s="68"/>
      <c r="G13" s="102">
        <v>-297.79913848365561</v>
      </c>
      <c r="J13" s="79">
        <v>2992</v>
      </c>
      <c r="K13" s="86">
        <v>-1663.562762553481</v>
      </c>
      <c r="L13" s="87"/>
      <c r="M13" s="87"/>
      <c r="N13" s="88">
        <v>-1663.562762553481</v>
      </c>
    </row>
    <row r="14" spans="3:14" x14ac:dyDescent="0.35">
      <c r="C14" s="95">
        <v>3079</v>
      </c>
      <c r="D14" s="101">
        <v>-385.01141749080159</v>
      </c>
      <c r="E14" s="68">
        <v>-374.76943691436969</v>
      </c>
      <c r="F14" s="68"/>
      <c r="G14" s="102">
        <v>-759.78085440517134</v>
      </c>
      <c r="J14" s="79">
        <v>3079</v>
      </c>
      <c r="K14" s="86">
        <v>-11210.089894861219</v>
      </c>
      <c r="L14" s="87">
        <v>-5990.1227070736377</v>
      </c>
      <c r="M14" s="87"/>
      <c r="N14" s="88">
        <v>-17200.212601934862</v>
      </c>
    </row>
    <row r="15" spans="3:14" x14ac:dyDescent="0.35">
      <c r="C15" s="95">
        <v>3166</v>
      </c>
      <c r="D15" s="101">
        <v>-113.1541955519229</v>
      </c>
      <c r="E15" s="68">
        <v>-72.855759055119037</v>
      </c>
      <c r="F15" s="68"/>
      <c r="G15" s="102">
        <v>-186.00995460704189</v>
      </c>
      <c r="J15" s="79">
        <v>3166</v>
      </c>
      <c r="K15" s="86">
        <v>-7808.0869077102361</v>
      </c>
      <c r="L15" s="87">
        <v>-3056.0436320356262</v>
      </c>
      <c r="M15" s="87"/>
      <c r="N15" s="88">
        <v>-10864.13053974586</v>
      </c>
    </row>
    <row r="16" spans="3:14" x14ac:dyDescent="0.35">
      <c r="C16" s="95">
        <v>3254</v>
      </c>
      <c r="D16" s="101">
        <v>206.70989535983509</v>
      </c>
      <c r="E16" s="68">
        <v>-139.25695536854971</v>
      </c>
      <c r="F16" s="68"/>
      <c r="G16" s="102">
        <v>67.452939991285405</v>
      </c>
      <c r="J16" s="79">
        <v>3254</v>
      </c>
      <c r="K16" s="86">
        <v>25765.544115531979</v>
      </c>
      <c r="L16" s="87">
        <v>-10910.75565886585</v>
      </c>
      <c r="M16" s="87"/>
      <c r="N16" s="88">
        <v>14854.788456666131</v>
      </c>
    </row>
    <row r="17" spans="3:14" x14ac:dyDescent="0.35">
      <c r="C17" s="95">
        <v>3341</v>
      </c>
      <c r="D17" s="101"/>
      <c r="E17" s="68">
        <v>-131.28818346368789</v>
      </c>
      <c r="F17" s="68">
        <v>-171.90053594167051</v>
      </c>
      <c r="G17" s="102">
        <v>-303.18871940535848</v>
      </c>
      <c r="J17" s="79">
        <v>3341</v>
      </c>
      <c r="K17" s="86"/>
      <c r="L17" s="87">
        <v>-16110.07808799056</v>
      </c>
      <c r="M17" s="87">
        <v>-17097.752493770371</v>
      </c>
      <c r="N17" s="88">
        <v>-33207.830581760943</v>
      </c>
    </row>
    <row r="18" spans="3:14" x14ac:dyDescent="0.35">
      <c r="C18" s="95">
        <v>3428</v>
      </c>
      <c r="D18" s="101"/>
      <c r="E18" s="68">
        <v>122.3614222518904</v>
      </c>
      <c r="F18" s="68"/>
      <c r="G18" s="102">
        <v>122.3614222518904</v>
      </c>
      <c r="J18" s="79">
        <v>3428</v>
      </c>
      <c r="K18" s="86"/>
      <c r="L18" s="87">
        <v>21217.69756705152</v>
      </c>
      <c r="M18" s="87"/>
      <c r="N18" s="88">
        <v>21217.69756705152</v>
      </c>
    </row>
    <row r="19" spans="3:14" x14ac:dyDescent="0.35">
      <c r="C19" s="96" t="s">
        <v>7</v>
      </c>
      <c r="D19" s="101">
        <v>0</v>
      </c>
      <c r="E19" s="68"/>
      <c r="F19" s="68"/>
      <c r="G19" s="102">
        <v>0</v>
      </c>
      <c r="J19" s="79" t="s">
        <v>7</v>
      </c>
      <c r="K19" s="86">
        <v>0</v>
      </c>
      <c r="L19" s="87"/>
      <c r="M19" s="87"/>
      <c r="N19" s="88">
        <v>0</v>
      </c>
    </row>
    <row r="20" spans="3:14" x14ac:dyDescent="0.35">
      <c r="C20" s="97" t="s">
        <v>6</v>
      </c>
      <c r="D20" s="89">
        <v>-603.50853175051134</v>
      </c>
      <c r="E20" s="90">
        <v>-1092.344762906801</v>
      </c>
      <c r="F20" s="90">
        <v>-308.2021888274345</v>
      </c>
      <c r="G20" s="91">
        <v>-2004.0554834847469</v>
      </c>
      <c r="J20" s="82" t="s">
        <v>6</v>
      </c>
      <c r="K20" s="89">
        <v>19414.867481200061</v>
      </c>
      <c r="L20" s="90">
        <v>-10886.42265298354</v>
      </c>
      <c r="M20" s="90">
        <v>-17052.702620226111</v>
      </c>
      <c r="N20" s="91">
        <v>-8524.2577920095937</v>
      </c>
    </row>
    <row r="28" spans="3:14" x14ac:dyDescent="0.35">
      <c r="C28" s="80" t="s">
        <v>0</v>
      </c>
      <c r="D28" s="81" t="s">
        <v>1</v>
      </c>
    </row>
    <row r="30" spans="3:14" x14ac:dyDescent="0.35">
      <c r="C30" s="72" t="s">
        <v>8</v>
      </c>
      <c r="D30" s="72" t="s">
        <v>3</v>
      </c>
      <c r="E30" s="73"/>
      <c r="F30" s="73"/>
      <c r="G30" s="74"/>
    </row>
    <row r="31" spans="3:14" x14ac:dyDescent="0.35">
      <c r="C31" s="72" t="s">
        <v>5</v>
      </c>
      <c r="D31" s="105">
        <v>40256</v>
      </c>
      <c r="E31" s="106">
        <v>40347</v>
      </c>
      <c r="F31" s="106">
        <v>40438</v>
      </c>
      <c r="G31" s="77" t="s">
        <v>6</v>
      </c>
    </row>
    <row r="32" spans="3:14" x14ac:dyDescent="0.35">
      <c r="C32" s="94">
        <v>2469</v>
      </c>
      <c r="D32" s="98">
        <v>2772.039272317335</v>
      </c>
      <c r="E32" s="99">
        <v>617.32791722561842</v>
      </c>
      <c r="F32" s="99"/>
      <c r="G32" s="100">
        <v>3389.3671895429529</v>
      </c>
    </row>
    <row r="33" spans="3:7" x14ac:dyDescent="0.35">
      <c r="C33" s="95">
        <v>2556</v>
      </c>
      <c r="D33" s="101">
        <v>-1403.7856574521909</v>
      </c>
      <c r="E33" s="68"/>
      <c r="F33" s="68">
        <v>410.68087125643842</v>
      </c>
      <c r="G33" s="102">
        <v>-993.10478619575224</v>
      </c>
    </row>
    <row r="34" spans="3:7" x14ac:dyDescent="0.35">
      <c r="C34" s="95">
        <v>2731</v>
      </c>
      <c r="D34" s="101"/>
      <c r="E34" s="68">
        <v>0</v>
      </c>
      <c r="F34" s="68">
        <v>-1772.0860299424789</v>
      </c>
      <c r="G34" s="102">
        <v>-1772.0860299424789</v>
      </c>
    </row>
    <row r="35" spans="3:7" x14ac:dyDescent="0.35">
      <c r="C35" s="95">
        <v>2818</v>
      </c>
      <c r="D35" s="101">
        <v>-1448.100336108505</v>
      </c>
      <c r="E35" s="68">
        <v>-2936.589749763561</v>
      </c>
      <c r="F35" s="68"/>
      <c r="G35" s="102">
        <v>-4384.6900858720664</v>
      </c>
    </row>
    <row r="36" spans="3:7" x14ac:dyDescent="0.35">
      <c r="C36" s="95">
        <v>2905</v>
      </c>
      <c r="D36" s="101"/>
      <c r="E36" s="68">
        <v>-2626.760336102785</v>
      </c>
      <c r="F36" s="68"/>
      <c r="G36" s="102">
        <v>-2626.760336102785</v>
      </c>
    </row>
    <row r="37" spans="3:7" x14ac:dyDescent="0.35">
      <c r="C37" s="95">
        <v>2992</v>
      </c>
      <c r="D37" s="101">
        <v>-2983.8592943173812</v>
      </c>
      <c r="E37" s="68"/>
      <c r="F37" s="68"/>
      <c r="G37" s="102">
        <v>-2983.8592943173812</v>
      </c>
    </row>
    <row r="38" spans="3:7" x14ac:dyDescent="0.35">
      <c r="C38" s="95">
        <v>3079</v>
      </c>
      <c r="D38" s="101">
        <v>-3893.9952488392851</v>
      </c>
      <c r="E38" s="68">
        <v>-3768.6352391516721</v>
      </c>
      <c r="F38" s="68"/>
      <c r="G38" s="102">
        <v>-7662.6304879909567</v>
      </c>
    </row>
    <row r="39" spans="3:7" x14ac:dyDescent="0.35">
      <c r="C39" s="95">
        <v>3166</v>
      </c>
      <c r="D39" s="101">
        <v>-1162.731183604714</v>
      </c>
      <c r="E39" s="68">
        <v>-739.98127095729842</v>
      </c>
      <c r="F39" s="68"/>
      <c r="G39" s="102">
        <v>-1902.7124545620129</v>
      </c>
    </row>
    <row r="40" spans="3:7" x14ac:dyDescent="0.35">
      <c r="C40" s="95">
        <v>3254</v>
      </c>
      <c r="D40" s="101">
        <v>2171.7305711542049</v>
      </c>
      <c r="E40" s="68">
        <v>-1434.3531170379149</v>
      </c>
      <c r="F40" s="68"/>
      <c r="G40" s="102">
        <v>737.37745411629021</v>
      </c>
    </row>
    <row r="41" spans="3:7" x14ac:dyDescent="0.35">
      <c r="C41" s="95">
        <v>3341</v>
      </c>
      <c r="D41" s="101"/>
      <c r="E41" s="68">
        <v>-1375.6398268486689</v>
      </c>
      <c r="F41" s="68">
        <v>-1782.861386094532</v>
      </c>
      <c r="G41" s="102">
        <v>-3158.5012129432021</v>
      </c>
    </row>
    <row r="42" spans="3:7" x14ac:dyDescent="0.35">
      <c r="C42" s="95">
        <v>3428</v>
      </c>
      <c r="D42" s="101"/>
      <c r="E42" s="68">
        <v>1307.622487239983</v>
      </c>
      <c r="F42" s="68"/>
      <c r="G42" s="102">
        <v>1307.622487239983</v>
      </c>
    </row>
    <row r="43" spans="3:7" x14ac:dyDescent="0.35">
      <c r="C43" s="95" t="s">
        <v>7</v>
      </c>
      <c r="D43" s="101">
        <v>0</v>
      </c>
      <c r="E43" s="68"/>
      <c r="F43" s="68"/>
      <c r="G43" s="102">
        <v>0</v>
      </c>
    </row>
    <row r="44" spans="3:7" x14ac:dyDescent="0.35">
      <c r="C44" s="82" t="s">
        <v>6</v>
      </c>
      <c r="D44" s="89">
        <v>-5948.701876850535</v>
      </c>
      <c r="E44" s="90">
        <v>-10957.0091353963</v>
      </c>
      <c r="F44" s="90">
        <v>-3144.266544780573</v>
      </c>
      <c r="G44" s="91">
        <v>-20049.977557027411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4:N44"/>
  <sheetViews>
    <sheetView showGridLines="0" workbookViewId="0"/>
  </sheetViews>
  <sheetFormatPr defaultRowHeight="12.75" x14ac:dyDescent="0.35"/>
  <cols>
    <col min="3" max="3" width="19.73046875" bestFit="1" customWidth="1"/>
    <col min="4" max="6" width="12.33203125" bestFit="1" customWidth="1"/>
    <col min="7" max="7" width="10.265625" bestFit="1" customWidth="1"/>
    <col min="8" max="8" width="10.59765625" bestFit="1" customWidth="1"/>
    <col min="10" max="10" width="18.9296875" bestFit="1" customWidth="1"/>
    <col min="11" max="13" width="12.33203125" bestFit="1" customWidth="1"/>
    <col min="14" max="14" width="10.265625" bestFit="1" customWidth="1"/>
    <col min="15" max="15" width="10.59765625" bestFit="1" customWidth="1"/>
  </cols>
  <sheetData>
    <row r="4" spans="3:14" x14ac:dyDescent="0.35">
      <c r="C4" s="80" t="s">
        <v>0</v>
      </c>
      <c r="D4" s="81" t="s">
        <v>1</v>
      </c>
      <c r="J4" s="80" t="s">
        <v>0</v>
      </c>
      <c r="K4" s="81" t="s">
        <v>1</v>
      </c>
    </row>
    <row r="6" spans="3:14" x14ac:dyDescent="0.35">
      <c r="C6" s="72" t="s">
        <v>9</v>
      </c>
      <c r="D6" s="72" t="s">
        <v>3</v>
      </c>
      <c r="E6" s="73"/>
      <c r="F6" s="73"/>
      <c r="G6" s="74"/>
      <c r="J6" s="72" t="s">
        <v>10</v>
      </c>
      <c r="K6" s="72" t="s">
        <v>3</v>
      </c>
      <c r="L6" s="73"/>
      <c r="M6" s="73"/>
      <c r="N6" s="74"/>
    </row>
    <row r="7" spans="3:14" x14ac:dyDescent="0.35">
      <c r="C7" s="72" t="s">
        <v>5</v>
      </c>
      <c r="D7" s="75">
        <v>40256</v>
      </c>
      <c r="E7" s="76">
        <v>40347</v>
      </c>
      <c r="F7" s="76">
        <v>40438</v>
      </c>
      <c r="G7" s="77" t="s">
        <v>6</v>
      </c>
      <c r="J7" s="72" t="s">
        <v>5</v>
      </c>
      <c r="K7" s="75">
        <v>40256</v>
      </c>
      <c r="L7" s="76">
        <v>40347</v>
      </c>
      <c r="M7" s="76">
        <v>40438</v>
      </c>
      <c r="N7" s="77" t="s">
        <v>6</v>
      </c>
    </row>
    <row r="8" spans="3:14" x14ac:dyDescent="0.35">
      <c r="C8" s="94">
        <v>2469</v>
      </c>
      <c r="D8" s="98">
        <v>-44691.959542936303</v>
      </c>
      <c r="E8" s="99">
        <v>-7237.5749353754072</v>
      </c>
      <c r="F8" s="99"/>
      <c r="G8" s="100">
        <v>-51929.534478311711</v>
      </c>
      <c r="J8" s="94">
        <v>2469</v>
      </c>
      <c r="K8" s="98">
        <v>134045.48069198121</v>
      </c>
      <c r="L8" s="99">
        <v>14337.107795321939</v>
      </c>
      <c r="M8" s="99"/>
      <c r="N8" s="100">
        <v>148382.58848730309</v>
      </c>
    </row>
    <row r="9" spans="3:14" x14ac:dyDescent="0.35">
      <c r="C9" s="95">
        <v>2556</v>
      </c>
      <c r="D9" s="101">
        <v>24513.114840191149</v>
      </c>
      <c r="E9" s="68"/>
      <c r="F9" s="68">
        <v>-4183.5907893784124</v>
      </c>
      <c r="G9" s="102">
        <v>20329.524050812739</v>
      </c>
      <c r="J9" s="95">
        <v>2556</v>
      </c>
      <c r="K9" s="101">
        <v>-73070.441119265146</v>
      </c>
      <c r="L9" s="68"/>
      <c r="M9" s="68">
        <v>7017.5156060426962</v>
      </c>
      <c r="N9" s="102">
        <v>-66052.92551322245</v>
      </c>
    </row>
    <row r="10" spans="3:14" x14ac:dyDescent="0.35">
      <c r="C10" s="95">
        <v>2731</v>
      </c>
      <c r="D10" s="101"/>
      <c r="E10" s="68">
        <v>0</v>
      </c>
      <c r="F10" s="68">
        <v>20532.989775758801</v>
      </c>
      <c r="G10" s="102">
        <v>20532.989775758801</v>
      </c>
      <c r="J10" s="95">
        <v>2731</v>
      </c>
      <c r="K10" s="101"/>
      <c r="L10" s="68">
        <v>0</v>
      </c>
      <c r="M10" s="68">
        <v>-35054.113512681353</v>
      </c>
      <c r="N10" s="102">
        <v>-35054.113512681353</v>
      </c>
    </row>
    <row r="11" spans="3:14" x14ac:dyDescent="0.35">
      <c r="C11" s="95">
        <v>2818</v>
      </c>
      <c r="D11" s="101">
        <v>-52206.125805593067</v>
      </c>
      <c r="E11" s="68">
        <v>46258.522894944188</v>
      </c>
      <c r="F11" s="68"/>
      <c r="G11" s="102">
        <v>-5947.6029106488859</v>
      </c>
      <c r="J11" s="95">
        <v>2818</v>
      </c>
      <c r="K11" s="101">
        <v>-90999.84672679189</v>
      </c>
      <c r="L11" s="68">
        <v>-89533.910020600728</v>
      </c>
      <c r="M11" s="68"/>
      <c r="N11" s="102">
        <v>-180533.75674739259</v>
      </c>
    </row>
    <row r="12" spans="3:14" x14ac:dyDescent="0.35">
      <c r="C12" s="95">
        <v>2905</v>
      </c>
      <c r="D12" s="101"/>
      <c r="E12" s="68">
        <v>45515.032389019303</v>
      </c>
      <c r="F12" s="68"/>
      <c r="G12" s="102">
        <v>45515.032389019303</v>
      </c>
      <c r="J12" s="95">
        <v>2905</v>
      </c>
      <c r="K12" s="101"/>
      <c r="L12" s="68">
        <v>-83880.536706355226</v>
      </c>
      <c r="M12" s="68"/>
      <c r="N12" s="102">
        <v>-83880.536706355226</v>
      </c>
    </row>
    <row r="13" spans="3:14" x14ac:dyDescent="0.35">
      <c r="C13" s="95">
        <v>2992</v>
      </c>
      <c r="D13" s="101">
        <v>34890.535963027753</v>
      </c>
      <c r="E13" s="68"/>
      <c r="F13" s="68"/>
      <c r="G13" s="102">
        <v>34890.535963027753</v>
      </c>
      <c r="J13" s="95">
        <v>2992</v>
      </c>
      <c r="K13" s="101">
        <v>-201032.36773977691</v>
      </c>
      <c r="L13" s="68"/>
      <c r="M13" s="68"/>
      <c r="N13" s="102">
        <v>-201032.36773977691</v>
      </c>
    </row>
    <row r="14" spans="3:14" x14ac:dyDescent="0.35">
      <c r="C14" s="95">
        <v>3079</v>
      </c>
      <c r="D14" s="101">
        <v>-33870.381610474193</v>
      </c>
      <c r="E14" s="68">
        <v>-63561.610323124158</v>
      </c>
      <c r="F14" s="68"/>
      <c r="G14" s="102">
        <v>-97431.991933598358</v>
      </c>
      <c r="J14" s="95">
        <v>3079</v>
      </c>
      <c r="K14" s="101">
        <v>-265829.95677181159</v>
      </c>
      <c r="L14" s="68">
        <v>-126958.1397395013</v>
      </c>
      <c r="M14" s="68"/>
      <c r="N14" s="102">
        <v>-392788.09651131299</v>
      </c>
    </row>
    <row r="15" spans="3:14" x14ac:dyDescent="0.35">
      <c r="C15" s="95">
        <v>3166</v>
      </c>
      <c r="D15" s="101">
        <v>-23919.02195224342</v>
      </c>
      <c r="E15" s="68">
        <v>-11217.73831602829</v>
      </c>
      <c r="F15" s="68"/>
      <c r="G15" s="102">
        <v>-35136.760268271697</v>
      </c>
      <c r="J15" s="95">
        <v>3166</v>
      </c>
      <c r="K15" s="101">
        <v>-79316.383195658957</v>
      </c>
      <c r="L15" s="68">
        <v>-25115.945669952798</v>
      </c>
      <c r="M15" s="68"/>
      <c r="N15" s="102">
        <v>-104432.32886561179</v>
      </c>
    </row>
    <row r="16" spans="3:14" x14ac:dyDescent="0.35">
      <c r="C16" s="95">
        <v>3254</v>
      </c>
      <c r="D16" s="101">
        <v>39156.97206074647</v>
      </c>
      <c r="E16" s="68">
        <v>-19598.978642514321</v>
      </c>
      <c r="F16" s="68"/>
      <c r="G16" s="102">
        <v>19557.993418232141</v>
      </c>
      <c r="J16" s="95">
        <v>3254</v>
      </c>
      <c r="K16" s="101">
        <v>146187.81228811789</v>
      </c>
      <c r="L16" s="68">
        <v>-48505.035425828108</v>
      </c>
      <c r="M16" s="68"/>
      <c r="N16" s="102">
        <v>97682.776862289844</v>
      </c>
    </row>
    <row r="17" spans="3:14" x14ac:dyDescent="0.35">
      <c r="C17" s="95">
        <v>3341</v>
      </c>
      <c r="D17" s="101"/>
      <c r="E17" s="68">
        <v>-17043.915145458701</v>
      </c>
      <c r="F17" s="68">
        <v>38242.741150154317</v>
      </c>
      <c r="G17" s="102">
        <v>21198.82600469562</v>
      </c>
      <c r="J17" s="95">
        <v>3341</v>
      </c>
      <c r="K17" s="101"/>
      <c r="L17" s="68">
        <v>-45926.286467357582</v>
      </c>
      <c r="M17" s="68">
        <v>-42087.630281971578</v>
      </c>
      <c r="N17" s="102">
        <v>-88013.916749329161</v>
      </c>
    </row>
    <row r="18" spans="3:14" x14ac:dyDescent="0.35">
      <c r="C18" s="95">
        <v>3428</v>
      </c>
      <c r="D18" s="101"/>
      <c r="E18" s="68">
        <v>14766.70698798686</v>
      </c>
      <c r="F18" s="68"/>
      <c r="G18" s="102">
        <v>14766.70698798686</v>
      </c>
      <c r="J18" s="95">
        <v>3428</v>
      </c>
      <c r="K18" s="101"/>
      <c r="L18" s="68">
        <v>42789.581276392943</v>
      </c>
      <c r="M18" s="68"/>
      <c r="N18" s="102">
        <v>42789.581276392943</v>
      </c>
    </row>
    <row r="19" spans="3:14" x14ac:dyDescent="0.35">
      <c r="C19" s="96" t="s">
        <v>7</v>
      </c>
      <c r="D19" s="101">
        <v>57862.356927246838</v>
      </c>
      <c r="E19" s="68"/>
      <c r="F19" s="68"/>
      <c r="G19" s="102">
        <v>57862.356927246838</v>
      </c>
      <c r="J19" s="95" t="s">
        <v>7</v>
      </c>
      <c r="K19" s="101">
        <v>0</v>
      </c>
      <c r="L19" s="68"/>
      <c r="M19" s="68"/>
      <c r="N19" s="102">
        <v>0</v>
      </c>
    </row>
    <row r="20" spans="3:14" x14ac:dyDescent="0.35">
      <c r="C20" s="97" t="s">
        <v>6</v>
      </c>
      <c r="D20" s="89">
        <v>1735.490879965211</v>
      </c>
      <c r="E20" s="90">
        <v>-12119.555090550521</v>
      </c>
      <c r="F20" s="90">
        <v>54592.140136534697</v>
      </c>
      <c r="G20" s="91">
        <v>44208.075925949393</v>
      </c>
      <c r="J20" s="82" t="s">
        <v>6</v>
      </c>
      <c r="K20" s="89">
        <v>-430015.70257320552</v>
      </c>
      <c r="L20" s="90">
        <v>-362793.16495788097</v>
      </c>
      <c r="M20" s="90">
        <v>-70124.228188610228</v>
      </c>
      <c r="N20" s="91">
        <v>-862933.0957196966</v>
      </c>
    </row>
    <row r="28" spans="3:14" x14ac:dyDescent="0.35">
      <c r="C28" s="80" t="s">
        <v>0</v>
      </c>
      <c r="D28" s="81" t="s">
        <v>1</v>
      </c>
    </row>
    <row r="30" spans="3:14" x14ac:dyDescent="0.35">
      <c r="C30" s="72" t="s">
        <v>11</v>
      </c>
      <c r="D30" s="72" t="s">
        <v>3</v>
      </c>
      <c r="E30" s="73"/>
      <c r="F30" s="73"/>
      <c r="G30" s="74"/>
    </row>
    <row r="31" spans="3:14" x14ac:dyDescent="0.35">
      <c r="C31" s="72" t="s">
        <v>5</v>
      </c>
      <c r="D31" s="103">
        <v>40256</v>
      </c>
      <c r="E31" s="104">
        <v>40347</v>
      </c>
      <c r="F31" s="104">
        <v>40438</v>
      </c>
      <c r="G31" s="77" t="s">
        <v>6</v>
      </c>
    </row>
    <row r="32" spans="3:14" x14ac:dyDescent="0.35">
      <c r="C32" s="94">
        <v>2469</v>
      </c>
      <c r="D32" s="98">
        <v>-3322.437307884084</v>
      </c>
      <c r="E32" s="99">
        <v>-594.71116567265085</v>
      </c>
      <c r="F32" s="99"/>
      <c r="G32" s="100">
        <v>-3917.148473556736</v>
      </c>
    </row>
    <row r="33" spans="3:7" x14ac:dyDescent="0.35">
      <c r="C33" s="95">
        <v>2556</v>
      </c>
      <c r="D33" s="101">
        <v>1821.1765923673661</v>
      </c>
      <c r="E33" s="68"/>
      <c r="F33" s="68">
        <v>-354.0687392346149</v>
      </c>
      <c r="G33" s="102">
        <v>1467.107853132751</v>
      </c>
    </row>
    <row r="34" spans="3:7" x14ac:dyDescent="0.35">
      <c r="C34" s="95">
        <v>2731</v>
      </c>
      <c r="D34" s="101"/>
      <c r="E34" s="68">
        <v>0</v>
      </c>
      <c r="F34" s="68">
        <v>1729.0094567507499</v>
      </c>
      <c r="G34" s="102">
        <v>1729.0094567507499</v>
      </c>
    </row>
    <row r="35" spans="3:7" x14ac:dyDescent="0.35">
      <c r="C35" s="95">
        <v>2818</v>
      </c>
      <c r="D35" s="101">
        <v>-6045.6347491652514</v>
      </c>
      <c r="E35" s="68">
        <v>3796.0359796620878</v>
      </c>
      <c r="F35" s="68"/>
      <c r="G35" s="102">
        <v>-2249.598769503164</v>
      </c>
    </row>
    <row r="36" spans="3:7" x14ac:dyDescent="0.35">
      <c r="C36" s="95">
        <v>2905</v>
      </c>
      <c r="D36" s="101"/>
      <c r="E36" s="68">
        <v>3762.9131881308408</v>
      </c>
      <c r="F36" s="68"/>
      <c r="G36" s="102">
        <v>3762.9131881308408</v>
      </c>
    </row>
    <row r="37" spans="3:7" x14ac:dyDescent="0.35">
      <c r="C37" s="95">
        <v>2992</v>
      </c>
      <c r="D37" s="101">
        <v>1561.4770978327531</v>
      </c>
      <c r="E37" s="68"/>
      <c r="F37" s="68"/>
      <c r="G37" s="102">
        <v>1561.4770978327531</v>
      </c>
    </row>
    <row r="38" spans="3:7" x14ac:dyDescent="0.35">
      <c r="C38" s="95">
        <v>3079</v>
      </c>
      <c r="D38" s="101">
        <v>-6020.7511767828437</v>
      </c>
      <c r="E38" s="68">
        <v>-7592.3801451035961</v>
      </c>
      <c r="F38" s="68"/>
      <c r="G38" s="102">
        <v>-13613.13132188644</v>
      </c>
    </row>
    <row r="39" spans="3:7" x14ac:dyDescent="0.35">
      <c r="C39" s="95">
        <v>3166</v>
      </c>
      <c r="D39" s="101">
        <v>-3205.111506757788</v>
      </c>
      <c r="E39" s="68">
        <v>-1371.099680369462</v>
      </c>
      <c r="F39" s="68"/>
      <c r="G39" s="102">
        <v>-4576.21118712725</v>
      </c>
    </row>
    <row r="40" spans="3:7" x14ac:dyDescent="0.35">
      <c r="C40" s="95">
        <v>3254</v>
      </c>
      <c r="D40" s="101">
        <v>5467.8744725270226</v>
      </c>
      <c r="E40" s="68">
        <v>-2450.962240111648</v>
      </c>
      <c r="F40" s="68"/>
      <c r="G40" s="102">
        <v>3016.912232415375</v>
      </c>
    </row>
    <row r="41" spans="3:7" x14ac:dyDescent="0.35">
      <c r="C41" s="95">
        <v>3341</v>
      </c>
      <c r="D41" s="101"/>
      <c r="E41" s="68">
        <v>-2178.237424652682</v>
      </c>
      <c r="F41" s="68">
        <v>3398.3516827560111</v>
      </c>
      <c r="G41" s="102">
        <v>1220.1142581033289</v>
      </c>
    </row>
    <row r="42" spans="3:7" x14ac:dyDescent="0.35">
      <c r="C42" s="95">
        <v>3428</v>
      </c>
      <c r="D42" s="101"/>
      <c r="E42" s="68">
        <v>1926.1844392472219</v>
      </c>
      <c r="F42" s="68"/>
      <c r="G42" s="102">
        <v>1926.1844392472219</v>
      </c>
    </row>
    <row r="43" spans="3:7" x14ac:dyDescent="0.35">
      <c r="C43" s="95" t="s">
        <v>7</v>
      </c>
      <c r="D43" s="101">
        <v>5786.2356927246947</v>
      </c>
      <c r="E43" s="68"/>
      <c r="F43" s="68"/>
      <c r="G43" s="102">
        <v>5786.2356927246947</v>
      </c>
    </row>
    <row r="44" spans="3:7" x14ac:dyDescent="0.35">
      <c r="C44" s="82" t="s">
        <v>6</v>
      </c>
      <c r="D44" s="89">
        <v>-3957.17088513813</v>
      </c>
      <c r="E44" s="90">
        <v>-4702.2570488698884</v>
      </c>
      <c r="F44" s="90">
        <v>4773.2924002721466</v>
      </c>
      <c r="G44" s="91">
        <v>-3886.1355337358732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R87"/>
  <sheetViews>
    <sheetView showGridLines="0" tabSelected="1" workbookViewId="0">
      <pane xSplit="1" ySplit="4" topLeftCell="AL5" activePane="bottomRight" state="frozen"/>
      <selection pane="topRight" activeCell="B1" sqref="B1"/>
      <selection pane="bottomLeft" activeCell="A5" sqref="A5"/>
      <selection pane="bottomRight" activeCell="AR5" sqref="AR5"/>
    </sheetView>
  </sheetViews>
  <sheetFormatPr defaultRowHeight="12.75" x14ac:dyDescent="0.35"/>
  <cols>
    <col min="1" max="1" width="11" bestFit="1" customWidth="1"/>
    <col min="2" max="2" width="14" style="4" bestFit="1" customWidth="1"/>
    <col min="3" max="3" width="8" style="46" bestFit="1" customWidth="1"/>
    <col min="4" max="4" width="11.73046875" bestFit="1" customWidth="1"/>
    <col min="5" max="5" width="8.265625" bestFit="1" customWidth="1"/>
    <col min="6" max="6" width="7.3984375" bestFit="1" customWidth="1"/>
    <col min="7" max="7" width="6" style="4" bestFit="1" customWidth="1"/>
    <col min="8" max="8" width="6.3984375" bestFit="1" customWidth="1"/>
    <col min="9" max="9" width="9.3984375" style="6" bestFit="1" customWidth="1"/>
    <col min="10" max="10" width="7.3984375" style="52" bestFit="1" customWidth="1"/>
    <col min="11" max="11" width="12.3984375" style="28" bestFit="1" customWidth="1"/>
    <col min="12" max="12" width="11.86328125" style="55" bestFit="1" customWidth="1"/>
    <col min="13" max="13" width="16.73046875" style="55" bestFit="1" customWidth="1"/>
    <col min="14" max="14" width="14.86328125" bestFit="1" customWidth="1"/>
    <col min="15" max="15" width="6.3984375" bestFit="1" customWidth="1"/>
    <col min="16" max="16" width="10.1328125" style="60" bestFit="1" customWidth="1"/>
    <col min="17" max="17" width="10.1328125" style="60" customWidth="1"/>
    <col min="18" max="18" width="7.59765625" style="56" bestFit="1" customWidth="1"/>
    <col min="19" max="19" width="7.59765625" style="58" customWidth="1"/>
    <col min="20" max="20" width="9.86328125" style="58" bestFit="1" customWidth="1"/>
    <col min="21" max="21" width="7.73046875" style="2" bestFit="1" customWidth="1"/>
    <col min="22" max="22" width="11.1328125" style="59" bestFit="1" customWidth="1"/>
    <col min="23" max="23" width="11.1328125" style="59" customWidth="1"/>
    <col min="24" max="24" width="11.86328125" style="66" bestFit="1" customWidth="1"/>
    <col min="25" max="25" width="9.73046875" style="66" bestFit="1" customWidth="1"/>
    <col min="26" max="26" width="14.265625" style="66" bestFit="1" customWidth="1"/>
    <col min="27" max="27" width="12" style="66" bestFit="1" customWidth="1"/>
    <col min="28" max="28" width="14" bestFit="1" customWidth="1"/>
    <col min="29" max="29" width="13.59765625" bestFit="1" customWidth="1"/>
    <col min="30" max="30" width="12.59765625" bestFit="1" customWidth="1"/>
    <col min="31" max="33" width="13.3984375" bestFit="1" customWidth="1"/>
    <col min="34" max="35" width="14.265625" bestFit="1" customWidth="1"/>
    <col min="36" max="36" width="14" bestFit="1" customWidth="1"/>
    <col min="37" max="37" width="13.59765625" bestFit="1" customWidth="1"/>
    <col min="38" max="38" width="12.59765625" bestFit="1" customWidth="1"/>
    <col min="39" max="41" width="13.3984375" bestFit="1" customWidth="1"/>
    <col min="42" max="43" width="14.265625" bestFit="1" customWidth="1"/>
  </cols>
  <sheetData>
    <row r="1" spans="1:44" ht="13.5" customHeight="1" thickBot="1" x14ac:dyDescent="0.45">
      <c r="A1" s="8" t="s">
        <v>12</v>
      </c>
      <c r="B1" s="7">
        <v>40188</v>
      </c>
      <c r="L1" s="2"/>
      <c r="M1" s="2"/>
    </row>
    <row r="2" spans="1:44" ht="13.15" customHeight="1" thickBot="1" x14ac:dyDescent="0.4">
      <c r="L2" s="2"/>
      <c r="M2" s="2"/>
    </row>
    <row r="3" spans="1:44" ht="15.4" customHeight="1" thickBot="1" x14ac:dyDescent="0.45">
      <c r="AB3" s="107" t="s">
        <v>13</v>
      </c>
      <c r="AC3" s="108"/>
      <c r="AD3" s="108"/>
      <c r="AE3" s="108"/>
      <c r="AF3" s="108"/>
      <c r="AG3" s="108"/>
      <c r="AH3" s="108"/>
      <c r="AI3" s="109"/>
      <c r="AJ3" s="107" t="s">
        <v>14</v>
      </c>
      <c r="AK3" s="108"/>
      <c r="AL3" s="108"/>
      <c r="AM3" s="108"/>
      <c r="AN3" s="108"/>
      <c r="AO3" s="108"/>
      <c r="AP3" s="108"/>
      <c r="AQ3" s="109"/>
    </row>
    <row r="4" spans="1:44" s="21" customFormat="1" ht="10.5" customHeight="1" thickBot="1" x14ac:dyDescent="0.35">
      <c r="A4" s="22" t="s">
        <v>0</v>
      </c>
      <c r="B4" s="21" t="s">
        <v>15</v>
      </c>
      <c r="C4" s="53" t="s">
        <v>16</v>
      </c>
      <c r="D4" s="21" t="s">
        <v>17</v>
      </c>
      <c r="E4" s="21" t="s">
        <v>18</v>
      </c>
      <c r="F4" s="21" t="s">
        <v>19</v>
      </c>
      <c r="G4" s="21" t="s">
        <v>5</v>
      </c>
      <c r="H4" s="21" t="s">
        <v>20</v>
      </c>
      <c r="I4" s="23" t="s">
        <v>3</v>
      </c>
      <c r="J4" s="53" t="s">
        <v>21</v>
      </c>
      <c r="K4" s="29" t="s">
        <v>22</v>
      </c>
      <c r="L4" s="54" t="s">
        <v>23</v>
      </c>
      <c r="M4" s="54" t="s">
        <v>24</v>
      </c>
      <c r="N4" s="21" t="s">
        <v>25</v>
      </c>
      <c r="O4" s="21" t="s">
        <v>26</v>
      </c>
      <c r="P4" s="61" t="s">
        <v>27</v>
      </c>
      <c r="Q4" s="61" t="s">
        <v>28</v>
      </c>
      <c r="R4" s="57" t="s">
        <v>29</v>
      </c>
      <c r="S4" s="57" t="s">
        <v>30</v>
      </c>
      <c r="T4" s="57" t="s">
        <v>31</v>
      </c>
      <c r="U4" s="54" t="s">
        <v>32</v>
      </c>
      <c r="V4" s="64" t="s">
        <v>33</v>
      </c>
      <c r="W4" s="64" t="s">
        <v>34</v>
      </c>
      <c r="X4" s="67" t="s">
        <v>35</v>
      </c>
      <c r="Y4" s="67" t="s">
        <v>36</v>
      </c>
      <c r="Z4" s="67" t="s">
        <v>37</v>
      </c>
      <c r="AA4" s="67" t="s">
        <v>38</v>
      </c>
      <c r="AB4" s="69" t="s">
        <v>39</v>
      </c>
      <c r="AC4" s="70" t="s">
        <v>40</v>
      </c>
      <c r="AD4" s="70" t="s">
        <v>41</v>
      </c>
      <c r="AE4" s="70" t="s">
        <v>42</v>
      </c>
      <c r="AF4" s="70" t="s">
        <v>43</v>
      </c>
      <c r="AG4" s="70" t="s">
        <v>44</v>
      </c>
      <c r="AH4" s="70" t="s">
        <v>45</v>
      </c>
      <c r="AI4" s="71" t="s">
        <v>46</v>
      </c>
      <c r="AJ4" s="69" t="s">
        <v>47</v>
      </c>
      <c r="AK4" s="70" t="s">
        <v>48</v>
      </c>
      <c r="AL4" s="70" t="s">
        <v>49</v>
      </c>
      <c r="AM4" s="70" t="s">
        <v>50</v>
      </c>
      <c r="AN4" s="70" t="s">
        <v>51</v>
      </c>
      <c r="AO4" s="70" t="s">
        <v>52</v>
      </c>
      <c r="AP4" s="70" t="s">
        <v>53</v>
      </c>
      <c r="AQ4" s="71" t="s">
        <v>54</v>
      </c>
    </row>
    <row r="5" spans="1:44" x14ac:dyDescent="0.35">
      <c r="A5" s="3" t="s">
        <v>55</v>
      </c>
      <c r="B5" s="4">
        <f>VLOOKUP(A5,PriceData!$K$4:$L$6,2,FALSE)</f>
        <v>1100</v>
      </c>
      <c r="C5" s="46">
        <f>VLOOKUP(A5,PriceData!$K$4:$M$6,3,FALSE)</f>
        <v>0.02</v>
      </c>
      <c r="D5" s="4" t="s">
        <v>56</v>
      </c>
      <c r="E5" s="4" t="s">
        <v>57</v>
      </c>
      <c r="F5" s="4">
        <v>25</v>
      </c>
      <c r="H5" s="4"/>
      <c r="I5" s="5">
        <v>40256</v>
      </c>
      <c r="J5" s="46">
        <f t="shared" ref="J5:J36" si="0">FindImpliedVol(A5, D5, G5, I5)</f>
        <v>0</v>
      </c>
      <c r="K5" s="30"/>
      <c r="L5" s="2">
        <f t="shared" ref="L5:L36" si="1">BSPrice($B5,$J5, $K5, $C5, ($I5-$B$1)/365, $G5, $H5, $D5)</f>
        <v>1095.9089961921936</v>
      </c>
      <c r="M5" s="2">
        <f t="shared" ref="M5:M36" si="2">F5*L5</f>
        <v>27397.72490480484</v>
      </c>
      <c r="N5" s="4" t="s">
        <v>58</v>
      </c>
      <c r="O5" s="4"/>
      <c r="P5" s="60">
        <f t="shared" ref="P5:P36" si="3">BSDelta(B5, J5, K5, C5, (I5-$B$1)/365, G5, H5, D5)</f>
        <v>1095.9089961921936</v>
      </c>
      <c r="Q5" s="60">
        <f t="shared" ref="Q5:Q36" si="4">BSGamma(B5, J5, K5, C5, (I5-$B$1)/365, G5, D5)</f>
        <v>0</v>
      </c>
      <c r="R5" s="58">
        <f t="shared" ref="R5:R36" si="5">BSVega(B5, J5, K5, C5, (I5-$B$1)/365,G5, D5)</f>
        <v>0</v>
      </c>
      <c r="S5" s="58">
        <f t="shared" ref="S5:S36" si="6">BSVolga(B5, J5, K5, C5, (I5-$B$1)/365,G5, D5)</f>
        <v>0</v>
      </c>
      <c r="T5" s="58">
        <f t="shared" ref="T5:T36" si="7">BSTheta(B5,J5,K5, C5, (I5-$B$1)/365, G5, H5, D5)</f>
        <v>6.0049808010531155E-2</v>
      </c>
      <c r="U5" s="2">
        <f t="shared" ref="U5:U36" si="8">BSRho(B5, J5, K5, C5, (I5-$B$1)/365, G5, H5, D5)</f>
        <v>2.0416934723580598</v>
      </c>
      <c r="V5" s="65">
        <f t="shared" ref="V5:V36" si="9">$F5*$P5</f>
        <v>27397.72490480484</v>
      </c>
      <c r="W5" s="65">
        <f t="shared" ref="W5:W36" si="10">$F5*$Q5</f>
        <v>0</v>
      </c>
      <c r="X5" s="66">
        <f t="shared" ref="X5:X36" si="11">$F5*R5</f>
        <v>0</v>
      </c>
      <c r="Y5" s="66">
        <f t="shared" ref="Y5:Y36" si="12">$F5*S5</f>
        <v>0</v>
      </c>
      <c r="Z5" s="66">
        <f t="shared" ref="Z5:Z36" si="13">$F5*T5</f>
        <v>1.5012452002632788</v>
      </c>
      <c r="AA5" s="66">
        <f t="shared" ref="AA5:AA36" si="14">$F5*U5</f>
        <v>51.042336808951497</v>
      </c>
      <c r="AB5" s="66">
        <f t="shared" ref="AB5:AB36" si="15">(BSPrice($B5*0.8,$J5, $K5, $C5, ($I5-$B$1)/365, $G5, $H5, $D5) - BSPrice($B5,$J5, $K5, $C5, ($I5-$B$1)/365, $G5, $H5, $D5)) * $F5</f>
        <v>-5479.5449809609663</v>
      </c>
      <c r="AC5" s="66">
        <f t="shared" ref="AC5:AC36" si="16">(BSPrice($B5*0.9,$J5, $K5, $C5, ($I5-$B$1)/365, $G5, $H5, $D5) - BSPrice($B5,$J5, $K5, $C5, ($I5-$B$1)/365, $G5, $H5, $D5)) * $F5</f>
        <v>-2739.7724904804845</v>
      </c>
      <c r="AD5" s="66">
        <f t="shared" ref="AD5:AD36" si="17">(BSPrice($B5*0.95,$J5, $K5, $C5, ($I5-$B$1)/365, $G5, $H5, $D5) - BSPrice($B5,$J5, $K5, $C5, ($I5-$B$1)/365, $G5, $H5, $D5)) * $F5</f>
        <v>-1369.8862452402409</v>
      </c>
      <c r="AE5" s="66">
        <f t="shared" ref="AE5:AE36" si="18">(BSPrice($B5*0.98,$J5, $K5, $C5, ($I5-$B$1)/365, $G5, $H5, $D5) - BSPrice($B5,$J5, $K5, $C5, ($I5-$B$1)/365, $G5, $H5, $D5)) * $F5</f>
        <v>-547.95449809609522</v>
      </c>
      <c r="AF5" s="66">
        <f t="shared" ref="AF5:AF36" si="19">(BSPrice($B5*1.02,$J5, $K5, $C5, ($I5-$B$1)/365, $G5, $H5, $D5) - BSPrice($B5,$J5, $K5, $C5, ($I5-$B$1)/365, $G5, $H5, $D5)) * $F5</f>
        <v>547.95449809609522</v>
      </c>
      <c r="AG5" s="66">
        <f t="shared" ref="AG5:AG36" si="20">(BSPrice($B5*1.05,$J5, $K5, $C5, ($I5-$B$1)/365, $G5, $H5, $D5) - BSPrice($B5,$J5, $K5, $C5, ($I5-$B$1)/365, $G5, $H5, $D5)) * $F5</f>
        <v>1369.8862452402409</v>
      </c>
      <c r="AH5" s="66">
        <f t="shared" ref="AH5:AH36" si="21">(BSPrice($B5*1.1,$J5, $K5, $C5, ($I5-$B$1)/365, $G5, $H5, $D5) - BSPrice($B5,$J5, $K5, $C5, ($I5-$B$1)/365, $G5, $H5, $D5)) * $F5</f>
        <v>2739.7724904804872</v>
      </c>
      <c r="AI5" s="66">
        <f t="shared" ref="AI5:AI36" si="22">(BSPrice($B5*1.2,$J5, $K5, $C5, ($I5-$B$1)/365, $G5, $H5, $D5) - BSPrice($B5,$J5, $K5, $C5, ($I5-$B$1)/365, $G5, $H5, $D5)) * $F5</f>
        <v>5479.544980960969</v>
      </c>
      <c r="AJ5" s="66">
        <f t="shared" ref="AJ5:AJ36" si="23">(BSPrice($B5,$J5-0.1, $K5, $C5, ($I5-$B$1)/365, $G5, $H5, $D5) - BSPrice($B5,$J5, $K5, $C5, ($I5-$B$1)/365, $G5, $H5, $D5)) * $F5</f>
        <v>0</v>
      </c>
      <c r="AK5" s="66">
        <f t="shared" ref="AK5:AK36" si="24">(BSPrice($B5,$J5-0.05,$K5,$C5,($I5-$B$1)/365,$G5,$H5,$D5)-BSPrice($B5,$J5,$K5,$C5,($I5-$B$1)/365,$G5,$H5,$D5))*$F5</f>
        <v>0</v>
      </c>
      <c r="AL5" s="66">
        <f t="shared" ref="AL5:AL36" si="25">(BSPrice($B5,$J5-0.02, $K5, $C5, ($I5-$B$1)/365, $G5, $H5, $D5) - BSPrice($B5,$J5, $K5, $C5, ($I5-$B$1)/365, $G5, $H5, $D5)) * $F5</f>
        <v>0</v>
      </c>
      <c r="AM5" s="66">
        <f t="shared" ref="AM5:AM36" si="26">(BSPrice($B5,$J5-0.01, $K5, $C5, ($I5-$B$1)/365, $G5, $H5, $D5) - BSPrice($B5,$J5, $K5, $C5, ($I5-$B$1)/365, $G5, $H5, $D5)) * $F5</f>
        <v>0</v>
      </c>
      <c r="AN5" s="66">
        <f t="shared" ref="AN5:AN36" si="27">(BSPrice($B5,$J5+0.01, $K5, $C5, ($I5-$B$1)/365, $G5, $H5, $D5) - BSPrice($B5,$J5, $K5, $C5, ($I5-$B$1)/365, $G5, $H5, $D5)) * $F5</f>
        <v>0</v>
      </c>
      <c r="AO5" s="66">
        <f t="shared" ref="AO5:AO36" si="28">(BSPrice($B5,$J5+0.02, $K5, $C5, ($I5-$B$1)/365, $G5, $H5, $D5) - BSPrice($B5,$J5, $K5, $C5, ($I5-$B$1)/365, $G5, $H5, $D5)) * $F5</f>
        <v>0</v>
      </c>
      <c r="AP5" s="66">
        <f t="shared" ref="AP5:AP36" si="29">(BSPrice($B5,$J5+0.05, $K5, $C5, ($I5-$B$1)/365, $G5, $H5, $D5) - BSPrice($B5,$J5, $K5, $C5, ($I5-$B$1)/365, $G5, $H5, $D5)) * $F5</f>
        <v>0</v>
      </c>
      <c r="AQ5" s="66">
        <f t="shared" ref="AQ5:AQ36" si="30">(BSPrice($B5,$J5+0.1, $K5, $C5, ($I5-$B$1)/365, $G5, $H5, $D5) - BSPrice($B5,$J5, $K5, $C5, ($I5-$B$1)/365, $G5, $H5, $D5)) * $F5</f>
        <v>0</v>
      </c>
      <c r="AR5">
        <f>(BSPrice($B5*0.8,$J5, $K5, $C5, ($I5-$B$1)/365, $G5, $H5, $D5) - BSPrice($B5,$J5, $K5, $C5, ($I5-$B$1)/365, $G5, $H5, $D5)) * $F5</f>
        <v>-5479.5449809609663</v>
      </c>
    </row>
    <row r="6" spans="1:44" x14ac:dyDescent="0.35">
      <c r="A6" s="3" t="s">
        <v>55</v>
      </c>
      <c r="B6" s="4">
        <f>VLOOKUP(A6,PriceData!$K$4:$L$6,2,FALSE)</f>
        <v>1100</v>
      </c>
      <c r="C6" s="46">
        <f>VLOOKUP(A6,PriceData!$K$4:$M$6,3,FALSE)</f>
        <v>0.02</v>
      </c>
      <c r="D6" s="4" t="s">
        <v>59</v>
      </c>
      <c r="E6" s="4" t="s">
        <v>57</v>
      </c>
      <c r="F6" s="4">
        <v>200</v>
      </c>
      <c r="G6" s="4">
        <v>935</v>
      </c>
      <c r="H6" s="4" t="s">
        <v>60</v>
      </c>
      <c r="I6" s="5">
        <v>40256</v>
      </c>
      <c r="J6" s="46">
        <f t="shared" si="0"/>
        <v>0.53252581704856539</v>
      </c>
      <c r="K6" s="30">
        <f>VLOOKUP(I6,PriceData!$A$5:$D$7,MATCH($E6,PriceData!$A$4:$D$4,0),FALSE)</f>
        <v>1.0999999999999999E-2</v>
      </c>
      <c r="L6" s="2">
        <f t="shared" si="1"/>
        <v>33.099391475391343</v>
      </c>
      <c r="M6" s="2">
        <f t="shared" si="2"/>
        <v>6619.8782950782688</v>
      </c>
      <c r="N6" s="4" t="s">
        <v>58</v>
      </c>
      <c r="O6" s="4"/>
      <c r="P6" s="60">
        <f t="shared" si="3"/>
        <v>-227.53807010424387</v>
      </c>
      <c r="Q6" s="60">
        <f t="shared" si="4"/>
        <v>682.4660394628205</v>
      </c>
      <c r="R6" s="58">
        <f t="shared" si="5"/>
        <v>1.3541530629344063</v>
      </c>
      <c r="S6" s="58">
        <f t="shared" si="6"/>
        <v>121.15868454404917</v>
      </c>
      <c r="T6" s="58">
        <f t="shared" si="7"/>
        <v>-0.53484938408966598</v>
      </c>
      <c r="U6" s="2">
        <f t="shared" si="8"/>
        <v>-0.48557116129904643</v>
      </c>
      <c r="V6" s="65">
        <f t="shared" si="9"/>
        <v>-45507.614020848778</v>
      </c>
      <c r="W6" s="65">
        <f t="shared" si="10"/>
        <v>136493.2078925641</v>
      </c>
      <c r="X6" s="66">
        <f t="shared" si="11"/>
        <v>270.83061258688127</v>
      </c>
      <c r="Y6" s="66">
        <f t="shared" si="12"/>
        <v>24231.736908809835</v>
      </c>
      <c r="Z6" s="66">
        <f t="shared" si="13"/>
        <v>-106.9698768179332</v>
      </c>
      <c r="AA6" s="66">
        <f t="shared" si="14"/>
        <v>-97.114232259809285</v>
      </c>
      <c r="AB6" s="66">
        <f t="shared" si="15"/>
        <v>16176.792892622467</v>
      </c>
      <c r="AC6" s="66">
        <f t="shared" si="16"/>
        <v>6125.4787613437029</v>
      </c>
      <c r="AD6" s="66">
        <f t="shared" si="17"/>
        <v>2642.7870083868756</v>
      </c>
      <c r="AE6" s="66">
        <f t="shared" si="18"/>
        <v>966.4139176153185</v>
      </c>
      <c r="AF6" s="66">
        <f t="shared" si="19"/>
        <v>-857.19662292378302</v>
      </c>
      <c r="AG6" s="66">
        <f t="shared" si="20"/>
        <v>-1959.4508150206252</v>
      </c>
      <c r="AH6" s="66">
        <f t="shared" si="21"/>
        <v>-3382.6881424429357</v>
      </c>
      <c r="AI6" s="66">
        <f t="shared" si="22"/>
        <v>-5110.6296095527168</v>
      </c>
      <c r="AJ6" s="66">
        <f t="shared" si="23"/>
        <v>-2563.8568277909426</v>
      </c>
      <c r="AK6" s="66">
        <f t="shared" si="24"/>
        <v>-1321.1729135165683</v>
      </c>
      <c r="AL6" s="66">
        <f t="shared" si="25"/>
        <v>-536.65029813618048</v>
      </c>
      <c r="AM6" s="66">
        <f t="shared" si="26"/>
        <v>-269.59875384072802</v>
      </c>
      <c r="AN6" s="66">
        <f t="shared" si="27"/>
        <v>272.02250531653362</v>
      </c>
      <c r="AO6" s="66">
        <f t="shared" si="28"/>
        <v>546.35224139019556</v>
      </c>
      <c r="AP6" s="66">
        <f t="shared" si="29"/>
        <v>1382.114596725404</v>
      </c>
      <c r="AQ6" s="66">
        <f t="shared" si="30"/>
        <v>2812.0320499081627</v>
      </c>
    </row>
    <row r="7" spans="1:44" x14ac:dyDescent="0.35">
      <c r="A7" s="3" t="s">
        <v>55</v>
      </c>
      <c r="B7" s="4">
        <f>VLOOKUP(A7,PriceData!$K$4:$L$6,2,FALSE)</f>
        <v>1100</v>
      </c>
      <c r="C7" s="46">
        <f>VLOOKUP(A7,PriceData!$K$4:$M$6,3,FALSE)</f>
        <v>0.02</v>
      </c>
      <c r="D7" s="4" t="s">
        <v>59</v>
      </c>
      <c r="E7" s="4" t="s">
        <v>57</v>
      </c>
      <c r="F7" s="4">
        <v>-50</v>
      </c>
      <c r="G7" s="4">
        <v>1001</v>
      </c>
      <c r="H7" s="4" t="s">
        <v>60</v>
      </c>
      <c r="I7" s="5">
        <v>40256</v>
      </c>
      <c r="J7" s="46">
        <f t="shared" si="0"/>
        <v>0.47079318216922272</v>
      </c>
      <c r="K7" s="30">
        <f>VLOOKUP(I7,PriceData!$A$5:$D$7,MATCH($E7,PriceData!$A$4:$D$4,0),FALSE)</f>
        <v>1.0999999999999999E-2</v>
      </c>
      <c r="L7" s="2">
        <f t="shared" si="1"/>
        <v>44.908614206035793</v>
      </c>
      <c r="M7" s="2">
        <f t="shared" si="2"/>
        <v>-2245.4307103017895</v>
      </c>
      <c r="N7" s="4" t="s">
        <v>58</v>
      </c>
      <c r="P7" s="60">
        <f t="shared" si="3"/>
        <v>-316.28505947436707</v>
      </c>
      <c r="Q7" s="60">
        <f t="shared" si="4"/>
        <v>920.94642833417947</v>
      </c>
      <c r="R7" s="58">
        <f t="shared" si="5"/>
        <v>1.6155134450954702</v>
      </c>
      <c r="S7" s="58">
        <f t="shared" si="6"/>
        <v>67.766641768526227</v>
      </c>
      <c r="T7" s="58">
        <f t="shared" si="7"/>
        <v>-0.56569004325751393</v>
      </c>
      <c r="U7" s="2">
        <f t="shared" si="8"/>
        <v>-0.67290876192513405</v>
      </c>
      <c r="V7" s="65">
        <f t="shared" si="9"/>
        <v>15814.252973718354</v>
      </c>
      <c r="W7" s="65">
        <f t="shared" si="10"/>
        <v>-46047.321416708975</v>
      </c>
      <c r="X7" s="66">
        <f t="shared" si="11"/>
        <v>-80.775672254773511</v>
      </c>
      <c r="Y7" s="66">
        <f t="shared" si="12"/>
        <v>-3388.3320884263112</v>
      </c>
      <c r="Z7" s="66">
        <f t="shared" si="13"/>
        <v>28.284502162875697</v>
      </c>
      <c r="AA7" s="66">
        <f t="shared" si="14"/>
        <v>33.645438096256704</v>
      </c>
      <c r="AB7" s="66">
        <f t="shared" si="15"/>
        <v>-5357.9581345446995</v>
      </c>
      <c r="AC7" s="66">
        <f t="shared" si="16"/>
        <v>-2094.8540233587037</v>
      </c>
      <c r="AD7" s="66">
        <f t="shared" si="17"/>
        <v>-912.7971359862272</v>
      </c>
      <c r="AE7" s="66">
        <f t="shared" si="18"/>
        <v>-335.15906793332988</v>
      </c>
      <c r="AF7" s="66">
        <f t="shared" si="19"/>
        <v>298.32916912456824</v>
      </c>
      <c r="AG7" s="66">
        <f t="shared" si="20"/>
        <v>682.87633449354394</v>
      </c>
      <c r="AH7" s="66">
        <f t="shared" si="21"/>
        <v>1179.231253684982</v>
      </c>
      <c r="AI7" s="66">
        <f t="shared" si="22"/>
        <v>1774.0332923787548</v>
      </c>
      <c r="AJ7" s="66">
        <f t="shared" si="23"/>
        <v>786.35889970985886</v>
      </c>
      <c r="AK7" s="66">
        <f t="shared" si="24"/>
        <v>399.14408523136444</v>
      </c>
      <c r="AL7" s="66">
        <f t="shared" si="25"/>
        <v>160.84363834349062</v>
      </c>
      <c r="AM7" s="66">
        <f t="shared" si="26"/>
        <v>80.602573303877989</v>
      </c>
      <c r="AN7" s="66">
        <f t="shared" si="27"/>
        <v>-80.94154369867681</v>
      </c>
      <c r="AO7" s="66">
        <f t="shared" si="28"/>
        <v>-162.20116843045105</v>
      </c>
      <c r="AP7" s="66">
        <f t="shared" si="29"/>
        <v>-407.7013723889678</v>
      </c>
      <c r="AQ7" s="66">
        <f t="shared" si="30"/>
        <v>-821.66237381289307</v>
      </c>
    </row>
    <row r="8" spans="1:44" x14ac:dyDescent="0.35">
      <c r="A8" s="3" t="s">
        <v>55</v>
      </c>
      <c r="B8" s="4">
        <f>VLOOKUP(A8,PriceData!$K$4:$L$6,2,FALSE)</f>
        <v>1100</v>
      </c>
      <c r="C8" s="46">
        <f>VLOOKUP(A8,PriceData!$K$4:$M$6,3,FALSE)</f>
        <v>0.02</v>
      </c>
      <c r="D8" s="4" t="s">
        <v>59</v>
      </c>
      <c r="E8" s="4" t="s">
        <v>57</v>
      </c>
      <c r="F8" s="4">
        <v>25</v>
      </c>
      <c r="G8" s="4">
        <v>1100</v>
      </c>
      <c r="H8" s="4" t="s">
        <v>60</v>
      </c>
      <c r="I8" s="5">
        <v>40256</v>
      </c>
      <c r="J8" s="46">
        <f t="shared" si="0"/>
        <v>0.4092008007118651</v>
      </c>
      <c r="K8" s="30">
        <f>VLOOKUP(I8,PriceData!$A$5:$D$7,MATCH($E8,PriceData!$A$4:$D$4,0),FALSE)</f>
        <v>1.0999999999999999E-2</v>
      </c>
      <c r="L8" s="2">
        <f t="shared" si="1"/>
        <v>78.107324583229797</v>
      </c>
      <c r="M8" s="2">
        <f t="shared" si="2"/>
        <v>1952.683114580745</v>
      </c>
      <c r="N8" s="4" t="s">
        <v>61</v>
      </c>
      <c r="P8" s="60">
        <f t="shared" si="3"/>
        <v>-513.53069183161335</v>
      </c>
      <c r="Q8" s="60">
        <f t="shared" si="4"/>
        <v>1233.8463888444114</v>
      </c>
      <c r="R8" s="58">
        <f t="shared" si="5"/>
        <v>1.8812374388163944</v>
      </c>
      <c r="S8" s="58">
        <f t="shared" si="6"/>
        <v>-3.5439559316827283</v>
      </c>
      <c r="T8" s="58">
        <f t="shared" si="7"/>
        <v>-0.57634073587656798</v>
      </c>
      <c r="U8" s="2">
        <f t="shared" si="8"/>
        <v>-1.1022297292112146</v>
      </c>
      <c r="V8" s="65">
        <f t="shared" si="9"/>
        <v>-12838.267295790334</v>
      </c>
      <c r="W8" s="65">
        <f t="shared" si="10"/>
        <v>30846.159721110285</v>
      </c>
      <c r="X8" s="66">
        <f t="shared" si="11"/>
        <v>47.030935970409857</v>
      </c>
      <c r="Y8" s="66">
        <f t="shared" si="12"/>
        <v>-88.598898292068213</v>
      </c>
      <c r="Z8" s="66">
        <f t="shared" si="13"/>
        <v>-14.4085183969142</v>
      </c>
      <c r="AA8" s="66">
        <f t="shared" si="14"/>
        <v>-27.555743230280367</v>
      </c>
      <c r="AB8" s="66">
        <f t="shared" si="15"/>
        <v>3781.141604588538</v>
      </c>
      <c r="AC8" s="66">
        <f t="shared" si="16"/>
        <v>1598.8655058896086</v>
      </c>
      <c r="AD8" s="66">
        <f t="shared" si="17"/>
        <v>720.39604323625497</v>
      </c>
      <c r="AE8" s="66">
        <f t="shared" si="18"/>
        <v>269.21068639842929</v>
      </c>
      <c r="AF8" s="66">
        <f t="shared" si="19"/>
        <v>-244.55719971669225</v>
      </c>
      <c r="AG8" s="66">
        <f t="shared" si="20"/>
        <v>-567.07741917712724</v>
      </c>
      <c r="AH8" s="66">
        <f t="shared" si="21"/>
        <v>-996.3354308569692</v>
      </c>
      <c r="AI8" s="66">
        <f t="shared" si="22"/>
        <v>-1530.5610969160689</v>
      </c>
      <c r="AJ8" s="66">
        <f t="shared" si="23"/>
        <v>-470.71439827794848</v>
      </c>
      <c r="AK8" s="66">
        <f t="shared" si="24"/>
        <v>-235.26071625771863</v>
      </c>
      <c r="AL8" s="66">
        <f t="shared" si="25"/>
        <v>-94.079291151774669</v>
      </c>
      <c r="AM8" s="66">
        <f t="shared" si="26"/>
        <v>-47.035328382827402</v>
      </c>
      <c r="AN8" s="66">
        <f t="shared" si="27"/>
        <v>47.026468565542245</v>
      </c>
      <c r="AO8" s="66">
        <f t="shared" si="28"/>
        <v>94.043852754941781</v>
      </c>
      <c r="AP8" s="66">
        <f t="shared" si="29"/>
        <v>235.03926491669773</v>
      </c>
      <c r="AQ8" s="66">
        <f t="shared" si="30"/>
        <v>469.82917378943085</v>
      </c>
    </row>
    <row r="9" spans="1:44" x14ac:dyDescent="0.35">
      <c r="A9" s="3" t="s">
        <v>55</v>
      </c>
      <c r="B9" s="4">
        <f>VLOOKUP(A9,PriceData!$K$4:$L$6,2,FALSE)</f>
        <v>1100</v>
      </c>
      <c r="C9" s="46">
        <f>VLOOKUP(A9,PriceData!$K$4:$M$6,3,FALSE)</f>
        <v>0.02</v>
      </c>
      <c r="D9" s="4" t="s">
        <v>59</v>
      </c>
      <c r="E9" s="4" t="s">
        <v>57</v>
      </c>
      <c r="F9" s="4">
        <v>-25</v>
      </c>
      <c r="G9" s="4">
        <v>1034</v>
      </c>
      <c r="H9" s="4" t="s">
        <v>60</v>
      </c>
      <c r="I9" s="5">
        <v>40256</v>
      </c>
      <c r="J9" s="46">
        <f t="shared" si="0"/>
        <v>0.44598602021318745</v>
      </c>
      <c r="K9" s="30">
        <f>VLOOKUP(I9,PriceData!$A$5:$D$7,MATCH($E9,PriceData!$A$4:$D$4,0),FALSE)</f>
        <v>1.0999999999999999E-2</v>
      </c>
      <c r="L9" s="2">
        <f t="shared" si="1"/>
        <v>53.507243347722067</v>
      </c>
      <c r="M9" s="2">
        <f t="shared" si="2"/>
        <v>-1337.6810836930517</v>
      </c>
      <c r="N9" s="4" t="s">
        <v>58</v>
      </c>
      <c r="P9" s="60">
        <f t="shared" si="3"/>
        <v>-374.01225687551062</v>
      </c>
      <c r="Q9" s="60">
        <f t="shared" si="4"/>
        <v>1044.4936390503108</v>
      </c>
      <c r="R9" s="58">
        <f t="shared" si="5"/>
        <v>1.7356937075521404</v>
      </c>
      <c r="S9" s="58">
        <f t="shared" si="6"/>
        <v>34.454504586982289</v>
      </c>
      <c r="T9" s="58">
        <f t="shared" si="7"/>
        <v>-0.57679726778176055</v>
      </c>
      <c r="U9" s="2">
        <f t="shared" si="8"/>
        <v>-0.79647468534739219</v>
      </c>
      <c r="V9" s="65">
        <f t="shared" si="9"/>
        <v>9350.3064218877662</v>
      </c>
      <c r="W9" s="65">
        <f t="shared" si="10"/>
        <v>-26112.340976257768</v>
      </c>
      <c r="X9" s="66">
        <f t="shared" si="11"/>
        <v>-43.39234268880351</v>
      </c>
      <c r="Y9" s="66">
        <f t="shared" si="12"/>
        <v>-861.36261467455722</v>
      </c>
      <c r="Z9" s="66">
        <f t="shared" si="13"/>
        <v>14.419931694544013</v>
      </c>
      <c r="AA9" s="66">
        <f t="shared" si="14"/>
        <v>19.911867133684805</v>
      </c>
      <c r="AB9" s="66">
        <f t="shared" si="15"/>
        <v>-3046.3948634335125</v>
      </c>
      <c r="AC9" s="66">
        <f t="shared" si="16"/>
        <v>-1219.0884859455039</v>
      </c>
      <c r="AD9" s="66">
        <f t="shared" si="17"/>
        <v>-535.96683520828208</v>
      </c>
      <c r="AE9" s="66">
        <f t="shared" si="18"/>
        <v>-197.66334993039294</v>
      </c>
      <c r="AF9" s="66">
        <f t="shared" si="19"/>
        <v>176.78330211312385</v>
      </c>
      <c r="AG9" s="66">
        <f t="shared" si="20"/>
        <v>405.79041504388442</v>
      </c>
      <c r="AH9" s="66">
        <f t="shared" si="21"/>
        <v>703.08479702320597</v>
      </c>
      <c r="AI9" s="66">
        <f t="shared" si="22"/>
        <v>1060.7485918432189</v>
      </c>
      <c r="AJ9" s="66">
        <f t="shared" si="23"/>
        <v>428.26168469382395</v>
      </c>
      <c r="AK9" s="66">
        <f t="shared" si="24"/>
        <v>215.73542901325595</v>
      </c>
      <c r="AL9" s="66">
        <f t="shared" si="25"/>
        <v>86.603464931891949</v>
      </c>
      <c r="AM9" s="66">
        <f t="shared" si="26"/>
        <v>43.348179858877245</v>
      </c>
      <c r="AN9" s="66">
        <f t="shared" si="27"/>
        <v>-43.434360729149546</v>
      </c>
      <c r="AO9" s="66">
        <f t="shared" si="28"/>
        <v>-86.948724680486578</v>
      </c>
      <c r="AP9" s="66">
        <f t="shared" si="29"/>
        <v>-217.91701934110392</v>
      </c>
      <c r="AQ9" s="66">
        <f t="shared" si="30"/>
        <v>-437.34208459603394</v>
      </c>
    </row>
    <row r="10" spans="1:44" x14ac:dyDescent="0.35">
      <c r="A10" s="3" t="s">
        <v>55</v>
      </c>
      <c r="B10" s="4">
        <f>VLOOKUP(A10,PriceData!$K$4:$L$6,2,FALSE)</f>
        <v>1100</v>
      </c>
      <c r="C10" s="46">
        <f>VLOOKUP(A10,PriceData!$K$4:$M$6,3,FALSE)</f>
        <v>0.02</v>
      </c>
      <c r="D10" s="4" t="s">
        <v>59</v>
      </c>
      <c r="E10" s="4" t="s">
        <v>57</v>
      </c>
      <c r="F10" s="4">
        <v>25</v>
      </c>
      <c r="G10" s="4">
        <v>1232</v>
      </c>
      <c r="H10" s="4" t="s">
        <v>62</v>
      </c>
      <c r="I10" s="5">
        <v>40256</v>
      </c>
      <c r="J10" s="46">
        <f t="shared" si="0"/>
        <v>0.37936391354619808</v>
      </c>
      <c r="K10" s="30">
        <f>VLOOKUP(I10,PriceData!$A$5:$D$7,MATCH($E10,PriceData!$A$4:$D$4,0),FALSE)</f>
        <v>1.0999999999999999E-2</v>
      </c>
      <c r="L10" s="2">
        <f t="shared" si="1"/>
        <v>26.997775797652309</v>
      </c>
      <c r="M10" s="2">
        <f t="shared" si="2"/>
        <v>674.94439494130779</v>
      </c>
      <c r="N10" s="4" t="s">
        <v>58</v>
      </c>
      <c r="P10" s="60">
        <f t="shared" si="3"/>
        <v>293.12405656172189</v>
      </c>
      <c r="Q10" s="60">
        <f t="shared" si="4"/>
        <v>1101.2604335686806</v>
      </c>
      <c r="R10" s="58">
        <f t="shared" si="5"/>
        <v>1.5566540174262706</v>
      </c>
      <c r="S10" s="58">
        <f t="shared" si="6"/>
        <v>199.66536437002807</v>
      </c>
      <c r="T10" s="58">
        <f t="shared" si="7"/>
        <v>-0.42617803435527768</v>
      </c>
      <c r="U10" s="2">
        <f t="shared" si="8"/>
        <v>0.49579690662895154</v>
      </c>
      <c r="V10" s="65">
        <f t="shared" si="9"/>
        <v>7328.101414043047</v>
      </c>
      <c r="W10" s="65">
        <f t="shared" si="10"/>
        <v>27531.510839217015</v>
      </c>
      <c r="X10" s="66">
        <f t="shared" si="11"/>
        <v>38.916350435656767</v>
      </c>
      <c r="Y10" s="66">
        <f t="shared" si="12"/>
        <v>4991.6341092507018</v>
      </c>
      <c r="Z10" s="66">
        <f t="shared" si="13"/>
        <v>-10.654450858881942</v>
      </c>
      <c r="AA10" s="66">
        <f t="shared" si="14"/>
        <v>12.394922665723788</v>
      </c>
      <c r="AB10" s="66">
        <f t="shared" si="15"/>
        <v>-644.76858251610759</v>
      </c>
      <c r="AC10" s="66">
        <f t="shared" si="16"/>
        <v>-489.33595206787714</v>
      </c>
      <c r="AD10" s="66">
        <f t="shared" si="17"/>
        <v>-301.20670351051473</v>
      </c>
      <c r="AE10" s="66">
        <f t="shared" si="18"/>
        <v>-135.76576172426087</v>
      </c>
      <c r="AF10" s="66">
        <f t="shared" si="19"/>
        <v>157.76729041105284</v>
      </c>
      <c r="AG10" s="66">
        <f t="shared" si="20"/>
        <v>437.9469910669286</v>
      </c>
      <c r="AH10" s="66">
        <f t="shared" si="21"/>
        <v>1025.7164230493074</v>
      </c>
      <c r="AI10" s="66">
        <f t="shared" si="22"/>
        <v>2643.1618933716736</v>
      </c>
      <c r="AJ10" s="66">
        <f t="shared" si="23"/>
        <v>-357.18107480354888</v>
      </c>
      <c r="AK10" s="66">
        <f t="shared" si="24"/>
        <v>-187.5592700871664</v>
      </c>
      <c r="AL10" s="66">
        <f t="shared" si="25"/>
        <v>-76.787406300928041</v>
      </c>
      <c r="AM10" s="66">
        <f t="shared" si="26"/>
        <v>-38.661019108664618</v>
      </c>
      <c r="AN10" s="66">
        <f t="shared" si="27"/>
        <v>39.160412142562961</v>
      </c>
      <c r="AO10" s="66">
        <f t="shared" si="28"/>
        <v>78.787736948457621</v>
      </c>
      <c r="AP10" s="66">
        <f t="shared" si="29"/>
        <v>200.18281301753689</v>
      </c>
      <c r="AQ10" s="66">
        <f t="shared" si="30"/>
        <v>409.4542762537003</v>
      </c>
    </row>
    <row r="11" spans="1:44" x14ac:dyDescent="0.35">
      <c r="A11" s="3" t="s">
        <v>55</v>
      </c>
      <c r="B11" s="4">
        <f>VLOOKUP(A11,PriceData!$K$4:$L$6,2,FALSE)</f>
        <v>1100</v>
      </c>
      <c r="C11" s="46">
        <f>VLOOKUP(A11,PriceData!$K$4:$M$6,3,FALSE)</f>
        <v>0.02</v>
      </c>
      <c r="D11" s="4" t="s">
        <v>59</v>
      </c>
      <c r="E11" s="4" t="s">
        <v>57</v>
      </c>
      <c r="F11" s="4">
        <v>25</v>
      </c>
      <c r="G11" s="4">
        <v>1100</v>
      </c>
      <c r="H11" s="4" t="s">
        <v>62</v>
      </c>
      <c r="I11" s="5">
        <v>40256</v>
      </c>
      <c r="J11" s="46">
        <f t="shared" si="0"/>
        <v>0.4092008007118651</v>
      </c>
      <c r="K11" s="30">
        <f>VLOOKUP(I11,PriceData!$A$5:$D$7,MATCH($E11,PriceData!$A$4:$D$4,0),FALSE)</f>
        <v>1.0999999999999999E-2</v>
      </c>
      <c r="L11" s="2">
        <f t="shared" si="1"/>
        <v>76.268259097077362</v>
      </c>
      <c r="M11" s="2">
        <f t="shared" si="2"/>
        <v>1906.706477426934</v>
      </c>
      <c r="N11" s="4" t="s">
        <v>58</v>
      </c>
      <c r="P11" s="60">
        <f t="shared" si="3"/>
        <v>582.37830436058039</v>
      </c>
      <c r="Q11" s="60">
        <f t="shared" si="4"/>
        <v>1233.8463888444114</v>
      </c>
      <c r="R11" s="58">
        <f t="shared" si="5"/>
        <v>1.8812374388163944</v>
      </c>
      <c r="S11" s="58">
        <f t="shared" si="6"/>
        <v>-3.5439559316827283</v>
      </c>
      <c r="T11" s="58">
        <f t="shared" si="7"/>
        <v>-0.54937374616319246</v>
      </c>
      <c r="U11" s="2">
        <f t="shared" si="8"/>
        <v>0.94288994734022469</v>
      </c>
      <c r="V11" s="65">
        <f t="shared" si="9"/>
        <v>14559.457609014509</v>
      </c>
      <c r="W11" s="65">
        <f t="shared" si="10"/>
        <v>30846.159721110285</v>
      </c>
      <c r="X11" s="66">
        <f t="shared" si="11"/>
        <v>47.030935970409857</v>
      </c>
      <c r="Y11" s="66">
        <f t="shared" si="12"/>
        <v>-88.598898292068213</v>
      </c>
      <c r="Z11" s="66">
        <f t="shared" si="13"/>
        <v>-13.734343654079812</v>
      </c>
      <c r="AA11" s="66">
        <f t="shared" si="14"/>
        <v>23.572248683505617</v>
      </c>
      <c r="AB11" s="66">
        <f t="shared" si="15"/>
        <v>-1698.4033763724326</v>
      </c>
      <c r="AC11" s="66">
        <f t="shared" si="16"/>
        <v>-1140.9069845908803</v>
      </c>
      <c r="AD11" s="66">
        <f t="shared" si="17"/>
        <v>-649.49020200398741</v>
      </c>
      <c r="AE11" s="66">
        <f t="shared" si="18"/>
        <v>-278.74381169766878</v>
      </c>
      <c r="AF11" s="66">
        <f t="shared" si="19"/>
        <v>303.39729837940013</v>
      </c>
      <c r="AG11" s="66">
        <f t="shared" si="20"/>
        <v>802.80882606310797</v>
      </c>
      <c r="AH11" s="66">
        <f t="shared" si="21"/>
        <v>1743.4370596235169</v>
      </c>
      <c r="AI11" s="66">
        <f t="shared" si="22"/>
        <v>3948.9838840448983</v>
      </c>
      <c r="AJ11" s="66">
        <f t="shared" si="23"/>
        <v>-470.71439827795132</v>
      </c>
      <c r="AK11" s="66">
        <f t="shared" si="24"/>
        <v>-235.26071625771863</v>
      </c>
      <c r="AL11" s="66">
        <f t="shared" si="25"/>
        <v>-94.079291151777511</v>
      </c>
      <c r="AM11" s="66">
        <f t="shared" si="26"/>
        <v>-47.035328382830244</v>
      </c>
      <c r="AN11" s="66">
        <f t="shared" si="27"/>
        <v>47.026468565540824</v>
      </c>
      <c r="AO11" s="66">
        <f t="shared" si="28"/>
        <v>94.043852754938939</v>
      </c>
      <c r="AP11" s="66">
        <f t="shared" si="29"/>
        <v>235.03926491669631</v>
      </c>
      <c r="AQ11" s="66">
        <f t="shared" si="30"/>
        <v>469.82917378942375</v>
      </c>
    </row>
    <row r="12" spans="1:44" x14ac:dyDescent="0.35">
      <c r="A12" s="3" t="s">
        <v>55</v>
      </c>
      <c r="B12" s="4">
        <f>VLOOKUP(A12,PriceData!$K$4:$L$6,2,FALSE)</f>
        <v>1100</v>
      </c>
      <c r="C12" s="46">
        <f>VLOOKUP(A12,PriceData!$K$4:$M$6,3,FALSE)</f>
        <v>0.02</v>
      </c>
      <c r="D12" s="4" t="s">
        <v>59</v>
      </c>
      <c r="E12" s="4" t="s">
        <v>57</v>
      </c>
      <c r="F12" s="4">
        <v>-50</v>
      </c>
      <c r="G12" s="4">
        <v>1034</v>
      </c>
      <c r="H12" s="4" t="s">
        <v>60</v>
      </c>
      <c r="I12" s="5">
        <v>40256</v>
      </c>
      <c r="J12" s="46">
        <f t="shared" si="0"/>
        <v>0.44598602021318745</v>
      </c>
      <c r="K12" s="30">
        <f>VLOOKUP(I12,PriceData!$A$5:$D$7,MATCH($E12,PriceData!$A$4:$D$4,0),FALSE)</f>
        <v>1.0999999999999999E-2</v>
      </c>
      <c r="L12" s="2">
        <f t="shared" si="1"/>
        <v>53.507243347722067</v>
      </c>
      <c r="M12" s="2">
        <f t="shared" si="2"/>
        <v>-2675.3621673861035</v>
      </c>
      <c r="N12" s="4" t="s">
        <v>58</v>
      </c>
      <c r="P12" s="60">
        <f t="shared" si="3"/>
        <v>-374.01225687551062</v>
      </c>
      <c r="Q12" s="60">
        <f t="shared" si="4"/>
        <v>1044.4936390503108</v>
      </c>
      <c r="R12" s="58">
        <f t="shared" si="5"/>
        <v>1.7356937075521404</v>
      </c>
      <c r="S12" s="58">
        <f t="shared" si="6"/>
        <v>34.454504586982289</v>
      </c>
      <c r="T12" s="58">
        <f t="shared" si="7"/>
        <v>-0.57679726778176055</v>
      </c>
      <c r="U12" s="2">
        <f t="shared" si="8"/>
        <v>-0.79647468534739219</v>
      </c>
      <c r="V12" s="65">
        <f t="shared" si="9"/>
        <v>18700.612843775532</v>
      </c>
      <c r="W12" s="65">
        <f t="shared" si="10"/>
        <v>-52224.681952515537</v>
      </c>
      <c r="X12" s="66">
        <f t="shared" si="11"/>
        <v>-86.784685377607019</v>
      </c>
      <c r="Y12" s="66">
        <f t="shared" si="12"/>
        <v>-1722.7252293491144</v>
      </c>
      <c r="Z12" s="66">
        <f t="shared" si="13"/>
        <v>28.839863389088027</v>
      </c>
      <c r="AA12" s="66">
        <f t="shared" si="14"/>
        <v>39.823734267369609</v>
      </c>
      <c r="AB12" s="66">
        <f t="shared" si="15"/>
        <v>-6092.7897268670249</v>
      </c>
      <c r="AC12" s="66">
        <f t="shared" si="16"/>
        <v>-2438.1769718910077</v>
      </c>
      <c r="AD12" s="66">
        <f t="shared" si="17"/>
        <v>-1071.9336704165642</v>
      </c>
      <c r="AE12" s="66">
        <f t="shared" si="18"/>
        <v>-395.32669986078588</v>
      </c>
      <c r="AF12" s="66">
        <f t="shared" si="19"/>
        <v>353.5666042262477</v>
      </c>
      <c r="AG12" s="66">
        <f t="shared" si="20"/>
        <v>811.58083008776885</v>
      </c>
      <c r="AH12" s="66">
        <f t="shared" si="21"/>
        <v>1406.1695940464119</v>
      </c>
      <c r="AI12" s="66">
        <f t="shared" si="22"/>
        <v>2121.4971836864379</v>
      </c>
      <c r="AJ12" s="66">
        <f t="shared" si="23"/>
        <v>856.5233693876479</v>
      </c>
      <c r="AK12" s="66">
        <f t="shared" si="24"/>
        <v>431.47085802651191</v>
      </c>
      <c r="AL12" s="66">
        <f t="shared" si="25"/>
        <v>173.2069298637839</v>
      </c>
      <c r="AM12" s="66">
        <f t="shared" si="26"/>
        <v>86.69635971775449</v>
      </c>
      <c r="AN12" s="66">
        <f t="shared" si="27"/>
        <v>-86.868721458299092</v>
      </c>
      <c r="AO12" s="66">
        <f t="shared" si="28"/>
        <v>-173.89744936097316</v>
      </c>
      <c r="AP12" s="66">
        <f t="shared" si="29"/>
        <v>-435.83403868220785</v>
      </c>
      <c r="AQ12" s="66">
        <f t="shared" si="30"/>
        <v>-874.68416919206788</v>
      </c>
    </row>
    <row r="13" spans="1:44" x14ac:dyDescent="0.35">
      <c r="A13" s="3" t="s">
        <v>55</v>
      </c>
      <c r="B13" s="4">
        <f>VLOOKUP(A13,PriceData!$K$4:$L$6,2,FALSE)</f>
        <v>1100</v>
      </c>
      <c r="C13" s="46">
        <f>VLOOKUP(A13,PriceData!$K$4:$M$6,3,FALSE)</f>
        <v>0.02</v>
      </c>
      <c r="D13" s="4" t="s">
        <v>59</v>
      </c>
      <c r="E13" s="4" t="s">
        <v>57</v>
      </c>
      <c r="F13" s="4">
        <v>-50</v>
      </c>
      <c r="G13" s="4">
        <v>1034</v>
      </c>
      <c r="H13" s="4" t="s">
        <v>60</v>
      </c>
      <c r="I13" s="5">
        <v>40256</v>
      </c>
      <c r="J13" s="46">
        <f t="shared" si="0"/>
        <v>0.44598602021318745</v>
      </c>
      <c r="K13" s="30">
        <f>VLOOKUP(I13,PriceData!$A$5:$D$7,MATCH($E13,PriceData!$A$4:$D$4,0),FALSE)</f>
        <v>1.0999999999999999E-2</v>
      </c>
      <c r="L13" s="2">
        <f t="shared" si="1"/>
        <v>53.507243347722067</v>
      </c>
      <c r="M13" s="2">
        <f t="shared" si="2"/>
        <v>-2675.3621673861035</v>
      </c>
      <c r="N13" s="4" t="s">
        <v>61</v>
      </c>
      <c r="P13" s="60">
        <f t="shared" si="3"/>
        <v>-374.01225687551062</v>
      </c>
      <c r="Q13" s="60">
        <f t="shared" si="4"/>
        <v>1044.4936390503108</v>
      </c>
      <c r="R13" s="58">
        <f t="shared" si="5"/>
        <v>1.7356937075521404</v>
      </c>
      <c r="S13" s="58">
        <f t="shared" si="6"/>
        <v>34.454504586982289</v>
      </c>
      <c r="T13" s="58">
        <f t="shared" si="7"/>
        <v>-0.57679726778176055</v>
      </c>
      <c r="U13" s="2">
        <f t="shared" si="8"/>
        <v>-0.79647468534739219</v>
      </c>
      <c r="V13" s="65">
        <f t="shared" si="9"/>
        <v>18700.612843775532</v>
      </c>
      <c r="W13" s="65">
        <f t="shared" si="10"/>
        <v>-52224.681952515537</v>
      </c>
      <c r="X13" s="66">
        <f t="shared" si="11"/>
        <v>-86.784685377607019</v>
      </c>
      <c r="Y13" s="66">
        <f t="shared" si="12"/>
        <v>-1722.7252293491144</v>
      </c>
      <c r="Z13" s="66">
        <f t="shared" si="13"/>
        <v>28.839863389088027</v>
      </c>
      <c r="AA13" s="66">
        <f t="shared" si="14"/>
        <v>39.823734267369609</v>
      </c>
      <c r="AB13" s="66">
        <f t="shared" si="15"/>
        <v>-6092.7897268670249</v>
      </c>
      <c r="AC13" s="66">
        <f t="shared" si="16"/>
        <v>-2438.1769718910077</v>
      </c>
      <c r="AD13" s="66">
        <f t="shared" si="17"/>
        <v>-1071.9336704165642</v>
      </c>
      <c r="AE13" s="66">
        <f t="shared" si="18"/>
        <v>-395.32669986078588</v>
      </c>
      <c r="AF13" s="66">
        <f t="shared" si="19"/>
        <v>353.5666042262477</v>
      </c>
      <c r="AG13" s="66">
        <f t="shared" si="20"/>
        <v>811.58083008776885</v>
      </c>
      <c r="AH13" s="66">
        <f t="shared" si="21"/>
        <v>1406.1695940464119</v>
      </c>
      <c r="AI13" s="66">
        <f t="shared" si="22"/>
        <v>2121.4971836864379</v>
      </c>
      <c r="AJ13" s="66">
        <f t="shared" si="23"/>
        <v>856.5233693876479</v>
      </c>
      <c r="AK13" s="66">
        <f t="shared" si="24"/>
        <v>431.47085802651191</v>
      </c>
      <c r="AL13" s="66">
        <f t="shared" si="25"/>
        <v>173.2069298637839</v>
      </c>
      <c r="AM13" s="66">
        <f t="shared" si="26"/>
        <v>86.69635971775449</v>
      </c>
      <c r="AN13" s="66">
        <f t="shared" si="27"/>
        <v>-86.868721458299092</v>
      </c>
      <c r="AO13" s="66">
        <f t="shared" si="28"/>
        <v>-173.89744936097316</v>
      </c>
      <c r="AP13" s="66">
        <f t="shared" si="29"/>
        <v>-435.83403868220785</v>
      </c>
      <c r="AQ13" s="66">
        <f t="shared" si="30"/>
        <v>-874.68416919206788</v>
      </c>
    </row>
    <row r="14" spans="1:44" x14ac:dyDescent="0.35">
      <c r="A14" s="3" t="s">
        <v>55</v>
      </c>
      <c r="B14" s="4">
        <f>VLOOKUP(A14,PriceData!$K$4:$L$6,2,FALSE)</f>
        <v>1100</v>
      </c>
      <c r="C14" s="46">
        <f>VLOOKUP(A14,PriceData!$K$4:$M$6,3,FALSE)</f>
        <v>0.02</v>
      </c>
      <c r="D14" s="4" t="s">
        <v>59</v>
      </c>
      <c r="E14" s="4" t="s">
        <v>57</v>
      </c>
      <c r="F14" s="4">
        <v>-50</v>
      </c>
      <c r="G14" s="4">
        <v>1100</v>
      </c>
      <c r="H14" s="4" t="s">
        <v>62</v>
      </c>
      <c r="I14" s="5">
        <v>40256</v>
      </c>
      <c r="J14" s="46">
        <f t="shared" si="0"/>
        <v>0.4092008007118651</v>
      </c>
      <c r="K14" s="30">
        <f>VLOOKUP(I14,PriceData!$A$5:$D$7,MATCH($E14,PriceData!$A$4:$D$4,0),FALSE)</f>
        <v>1.0999999999999999E-2</v>
      </c>
      <c r="L14" s="2">
        <f t="shared" si="1"/>
        <v>76.268259097077362</v>
      </c>
      <c r="M14" s="2">
        <f t="shared" si="2"/>
        <v>-3813.4129548538681</v>
      </c>
      <c r="N14" s="4" t="s">
        <v>61</v>
      </c>
      <c r="P14" s="60">
        <f t="shared" si="3"/>
        <v>582.37830436058039</v>
      </c>
      <c r="Q14" s="60">
        <f t="shared" si="4"/>
        <v>1233.8463888444114</v>
      </c>
      <c r="R14" s="62">
        <f t="shared" si="5"/>
        <v>1.8812374388163944</v>
      </c>
      <c r="S14" s="58">
        <f t="shared" si="6"/>
        <v>-3.5439559316827283</v>
      </c>
      <c r="T14" s="58">
        <f t="shared" si="7"/>
        <v>-0.54937374616319246</v>
      </c>
      <c r="U14" s="2">
        <f t="shared" si="8"/>
        <v>0.94288994734022469</v>
      </c>
      <c r="V14" s="65">
        <f t="shared" si="9"/>
        <v>-29118.915218029018</v>
      </c>
      <c r="W14" s="65">
        <f t="shared" si="10"/>
        <v>-61692.319442220571</v>
      </c>
      <c r="X14" s="66">
        <f t="shared" si="11"/>
        <v>-94.061871940819714</v>
      </c>
      <c r="Y14" s="66">
        <f t="shared" si="12"/>
        <v>177.19779658413643</v>
      </c>
      <c r="Z14" s="66">
        <f t="shared" si="13"/>
        <v>27.468687308159623</v>
      </c>
      <c r="AA14" s="66">
        <f t="shared" si="14"/>
        <v>-47.144497367011233</v>
      </c>
      <c r="AB14" s="66">
        <f t="shared" si="15"/>
        <v>3396.8067527448652</v>
      </c>
      <c r="AC14" s="66">
        <f t="shared" si="16"/>
        <v>2281.8139691817605</v>
      </c>
      <c r="AD14" s="66">
        <f t="shared" si="17"/>
        <v>1298.9804040079748</v>
      </c>
      <c r="AE14" s="66">
        <f t="shared" si="18"/>
        <v>557.48762339533755</v>
      </c>
      <c r="AF14" s="66">
        <f t="shared" si="19"/>
        <v>-606.79459675880025</v>
      </c>
      <c r="AG14" s="66">
        <f t="shared" si="20"/>
        <v>-1605.6176521262159</v>
      </c>
      <c r="AH14" s="66">
        <f t="shared" si="21"/>
        <v>-3486.8741192470338</v>
      </c>
      <c r="AI14" s="66">
        <f t="shared" si="22"/>
        <v>-7897.9677680897967</v>
      </c>
      <c r="AJ14" s="66">
        <f t="shared" si="23"/>
        <v>941.42879655590264</v>
      </c>
      <c r="AK14" s="66">
        <f t="shared" si="24"/>
        <v>470.52143251543725</v>
      </c>
      <c r="AL14" s="66">
        <f t="shared" si="25"/>
        <v>188.15858230355502</v>
      </c>
      <c r="AM14" s="66">
        <f t="shared" si="26"/>
        <v>94.070656765660488</v>
      </c>
      <c r="AN14" s="66">
        <f t="shared" si="27"/>
        <v>-94.052937131081649</v>
      </c>
      <c r="AO14" s="66">
        <f t="shared" si="28"/>
        <v>-188.08770550987788</v>
      </c>
      <c r="AP14" s="66">
        <f t="shared" si="29"/>
        <v>-470.07852983339262</v>
      </c>
      <c r="AQ14" s="66">
        <f t="shared" si="30"/>
        <v>-939.6583475788475</v>
      </c>
    </row>
    <row r="15" spans="1:44" x14ac:dyDescent="0.35">
      <c r="A15" s="3" t="s">
        <v>55</v>
      </c>
      <c r="B15" s="4">
        <f>VLOOKUP(A15,PriceData!$K$4:$L$6,2,FALSE)</f>
        <v>1100</v>
      </c>
      <c r="C15" s="46">
        <f>VLOOKUP(A15,PriceData!$K$4:$M$6,3,FALSE)</f>
        <v>0.02</v>
      </c>
      <c r="D15" s="4" t="s">
        <v>59</v>
      </c>
      <c r="E15" s="4" t="s">
        <v>57</v>
      </c>
      <c r="F15" s="4">
        <v>30</v>
      </c>
      <c r="G15" s="4">
        <v>1232</v>
      </c>
      <c r="H15" s="4" t="s">
        <v>62</v>
      </c>
      <c r="I15" s="5">
        <v>40256</v>
      </c>
      <c r="J15" s="46">
        <f t="shared" si="0"/>
        <v>0.37936391354619808</v>
      </c>
      <c r="K15" s="30">
        <f>VLOOKUP(I15,PriceData!$A$5:$D$7,MATCH($E15,PriceData!$A$4:$D$4,0),FALSE)</f>
        <v>1.0999999999999999E-2</v>
      </c>
      <c r="L15" s="2">
        <f t="shared" si="1"/>
        <v>26.997775797652309</v>
      </c>
      <c r="M15" s="2">
        <f t="shared" si="2"/>
        <v>809.93327392956928</v>
      </c>
      <c r="N15" s="4" t="s">
        <v>58</v>
      </c>
      <c r="P15" s="60">
        <f t="shared" si="3"/>
        <v>293.12405656172189</v>
      </c>
      <c r="Q15" s="60">
        <f t="shared" si="4"/>
        <v>1101.2604335686806</v>
      </c>
      <c r="R15" s="58">
        <f t="shared" si="5"/>
        <v>1.5566540174262706</v>
      </c>
      <c r="S15" s="58">
        <f t="shared" si="6"/>
        <v>199.66536437002807</v>
      </c>
      <c r="T15" s="58">
        <f t="shared" si="7"/>
        <v>-0.42617803435527768</v>
      </c>
      <c r="U15" s="2">
        <f t="shared" si="8"/>
        <v>0.49579690662895154</v>
      </c>
      <c r="V15" s="65">
        <f t="shared" si="9"/>
        <v>8793.7216968516568</v>
      </c>
      <c r="W15" s="65">
        <f t="shared" si="10"/>
        <v>33037.813007060417</v>
      </c>
      <c r="X15" s="66">
        <f t="shared" si="11"/>
        <v>46.699620522788116</v>
      </c>
      <c r="Y15" s="66">
        <f t="shared" si="12"/>
        <v>5989.9609311008426</v>
      </c>
      <c r="Z15" s="66">
        <f t="shared" si="13"/>
        <v>-12.78534103065833</v>
      </c>
      <c r="AA15" s="66">
        <f t="shared" si="14"/>
        <v>14.873907198868546</v>
      </c>
      <c r="AB15" s="66">
        <f t="shared" si="15"/>
        <v>-773.72229901932917</v>
      </c>
      <c r="AC15" s="66">
        <f t="shared" si="16"/>
        <v>-587.20314248145257</v>
      </c>
      <c r="AD15" s="66">
        <f t="shared" si="17"/>
        <v>-361.44804421261767</v>
      </c>
      <c r="AE15" s="66">
        <f t="shared" si="18"/>
        <v>-162.91891406911304</v>
      </c>
      <c r="AF15" s="66">
        <f t="shared" si="19"/>
        <v>189.32074849326341</v>
      </c>
      <c r="AG15" s="66">
        <f t="shared" si="20"/>
        <v>525.53638928031432</v>
      </c>
      <c r="AH15" s="66">
        <f t="shared" si="21"/>
        <v>1230.8597076591691</v>
      </c>
      <c r="AI15" s="66">
        <f t="shared" si="22"/>
        <v>3171.7942720460082</v>
      </c>
      <c r="AJ15" s="66">
        <f t="shared" si="23"/>
        <v>-428.61728976425866</v>
      </c>
      <c r="AK15" s="66">
        <f t="shared" si="24"/>
        <v>-225.07112410459968</v>
      </c>
      <c r="AL15" s="66">
        <f t="shared" si="25"/>
        <v>-92.144887561113649</v>
      </c>
      <c r="AM15" s="66">
        <f t="shared" si="26"/>
        <v>-46.393222930397542</v>
      </c>
      <c r="AN15" s="66">
        <f t="shared" si="27"/>
        <v>46.992494571075554</v>
      </c>
      <c r="AO15" s="66">
        <f t="shared" si="28"/>
        <v>94.545284338149145</v>
      </c>
      <c r="AP15" s="66">
        <f t="shared" si="29"/>
        <v>240.21937562104426</v>
      </c>
      <c r="AQ15" s="66">
        <f t="shared" si="30"/>
        <v>491.34513150444036</v>
      </c>
    </row>
    <row r="16" spans="1:44" x14ac:dyDescent="0.35">
      <c r="A16" s="3" t="s">
        <v>55</v>
      </c>
      <c r="B16" s="4">
        <f>VLOOKUP(A16,PriceData!$K$4:$L$6,2,FALSE)</f>
        <v>1100</v>
      </c>
      <c r="C16" s="46">
        <f>VLOOKUP(A16,PriceData!$K$4:$M$6,3,FALSE)</f>
        <v>0.02</v>
      </c>
      <c r="D16" s="4" t="s">
        <v>59</v>
      </c>
      <c r="E16" s="4" t="s">
        <v>57</v>
      </c>
      <c r="F16" s="4">
        <v>25</v>
      </c>
      <c r="G16" s="4">
        <v>935</v>
      </c>
      <c r="H16" s="4" t="s">
        <v>60</v>
      </c>
      <c r="I16" s="5">
        <v>40256</v>
      </c>
      <c r="J16" s="46">
        <f t="shared" si="0"/>
        <v>0.53252581704856539</v>
      </c>
      <c r="K16" s="30">
        <f>VLOOKUP(I16,PriceData!$A$5:$D$7,MATCH($E16,PriceData!$A$4:$D$4,0),FALSE)</f>
        <v>1.0999999999999999E-2</v>
      </c>
      <c r="L16" s="2">
        <f t="shared" si="1"/>
        <v>33.099391475391343</v>
      </c>
      <c r="M16" s="2">
        <f t="shared" si="2"/>
        <v>827.4847868847836</v>
      </c>
      <c r="N16" s="4" t="s">
        <v>58</v>
      </c>
      <c r="P16" s="60">
        <f t="shared" si="3"/>
        <v>-227.53807010424387</v>
      </c>
      <c r="Q16" s="60">
        <f t="shared" si="4"/>
        <v>682.4660394628205</v>
      </c>
      <c r="R16" s="58">
        <f t="shared" si="5"/>
        <v>1.3541530629344063</v>
      </c>
      <c r="S16" s="58">
        <f t="shared" si="6"/>
        <v>121.15868454404917</v>
      </c>
      <c r="T16" s="58">
        <f t="shared" si="7"/>
        <v>-0.53484938408966598</v>
      </c>
      <c r="U16" s="2">
        <f t="shared" si="8"/>
        <v>-0.48557116129904643</v>
      </c>
      <c r="V16" s="65">
        <f t="shared" si="9"/>
        <v>-5688.4517526060972</v>
      </c>
      <c r="W16" s="65">
        <f t="shared" si="10"/>
        <v>17061.650986570512</v>
      </c>
      <c r="X16" s="66">
        <f t="shared" si="11"/>
        <v>33.853826573360159</v>
      </c>
      <c r="Y16" s="66">
        <f t="shared" si="12"/>
        <v>3028.9671136012294</v>
      </c>
      <c r="Z16" s="66">
        <f t="shared" si="13"/>
        <v>-13.37123460224165</v>
      </c>
      <c r="AA16" s="66">
        <f t="shared" si="14"/>
        <v>-12.139279032476161</v>
      </c>
      <c r="AB16" s="66">
        <f t="shared" si="15"/>
        <v>2022.0991115778083</v>
      </c>
      <c r="AC16" s="66">
        <f t="shared" si="16"/>
        <v>765.68484516796286</v>
      </c>
      <c r="AD16" s="66">
        <f t="shared" si="17"/>
        <v>330.34837604835946</v>
      </c>
      <c r="AE16" s="66">
        <f t="shared" si="18"/>
        <v>120.80173970191481</v>
      </c>
      <c r="AF16" s="66">
        <f t="shared" si="19"/>
        <v>-107.14957786547288</v>
      </c>
      <c r="AG16" s="66">
        <f t="shared" si="20"/>
        <v>-244.93135187757815</v>
      </c>
      <c r="AH16" s="66">
        <f t="shared" si="21"/>
        <v>-422.83601780536696</v>
      </c>
      <c r="AI16" s="66">
        <f t="shared" si="22"/>
        <v>-638.8287011940896</v>
      </c>
      <c r="AJ16" s="66">
        <f t="shared" si="23"/>
        <v>-320.48210347386782</v>
      </c>
      <c r="AK16" s="66">
        <f t="shared" si="24"/>
        <v>-165.14661418957104</v>
      </c>
      <c r="AL16" s="66">
        <f t="shared" si="25"/>
        <v>-67.08128726702256</v>
      </c>
      <c r="AM16" s="66">
        <f t="shared" si="26"/>
        <v>-33.699844230091003</v>
      </c>
      <c r="AN16" s="66">
        <f t="shared" si="27"/>
        <v>34.002813164566703</v>
      </c>
      <c r="AO16" s="66">
        <f t="shared" si="28"/>
        <v>68.294030173774445</v>
      </c>
      <c r="AP16" s="66">
        <f t="shared" si="29"/>
        <v>172.7643245906755</v>
      </c>
      <c r="AQ16" s="66">
        <f t="shared" si="30"/>
        <v>351.50400623852033</v>
      </c>
    </row>
    <row r="17" spans="1:43" x14ac:dyDescent="0.35">
      <c r="A17" s="3" t="s">
        <v>55</v>
      </c>
      <c r="B17" s="4">
        <f>VLOOKUP(A17,PriceData!$K$4:$L$6,2,FALSE)</f>
        <v>1100</v>
      </c>
      <c r="C17" s="46">
        <f>VLOOKUP(A17,PriceData!$K$4:$M$6,3,FALSE)</f>
        <v>0.02</v>
      </c>
      <c r="D17" s="4" t="s">
        <v>59</v>
      </c>
      <c r="E17" s="4" t="s">
        <v>57</v>
      </c>
      <c r="F17" s="4">
        <v>-20</v>
      </c>
      <c r="G17" s="4">
        <v>1001</v>
      </c>
      <c r="H17" s="4" t="s">
        <v>62</v>
      </c>
      <c r="I17" s="5">
        <v>40256</v>
      </c>
      <c r="J17" s="46">
        <f t="shared" si="0"/>
        <v>0.47079318216922272</v>
      </c>
      <c r="K17" s="30">
        <f>VLOOKUP(I17,PriceData!$A$5:$D$7,MATCH($E17,PriceData!$A$4:$D$4,0),FALSE)</f>
        <v>1.0999999999999999E-2</v>
      </c>
      <c r="L17" s="2">
        <f t="shared" si="1"/>
        <v>141.86687427093443</v>
      </c>
      <c r="M17" s="2">
        <f t="shared" si="2"/>
        <v>-2837.3374854186886</v>
      </c>
      <c r="N17" s="4" t="s">
        <v>63</v>
      </c>
      <c r="P17" s="60">
        <f t="shared" si="3"/>
        <v>779.62393671782661</v>
      </c>
      <c r="Q17" s="60">
        <f t="shared" si="4"/>
        <v>920.94642833417947</v>
      </c>
      <c r="R17" s="58">
        <f t="shared" si="5"/>
        <v>1.6155134450954702</v>
      </c>
      <c r="S17" s="58">
        <f t="shared" si="6"/>
        <v>67.766641768526227</v>
      </c>
      <c r="T17" s="58">
        <f t="shared" si="7"/>
        <v>-0.53574559989739445</v>
      </c>
      <c r="U17" s="2">
        <f t="shared" si="8"/>
        <v>1.1881501437366759</v>
      </c>
      <c r="V17" s="65">
        <f t="shared" si="9"/>
        <v>-15592.478734356533</v>
      </c>
      <c r="W17" s="65">
        <f t="shared" si="10"/>
        <v>-18418.928566683589</v>
      </c>
      <c r="X17" s="66">
        <f t="shared" si="11"/>
        <v>-32.310268901909403</v>
      </c>
      <c r="Y17" s="66">
        <f t="shared" si="12"/>
        <v>-1355.3328353705247</v>
      </c>
      <c r="Z17" s="66">
        <f t="shared" si="13"/>
        <v>10.714911997947889</v>
      </c>
      <c r="AA17" s="66">
        <f t="shared" si="14"/>
        <v>-23.76300287473352</v>
      </c>
      <c r="AB17" s="66">
        <f t="shared" si="15"/>
        <v>2240.4527309508926</v>
      </c>
      <c r="AC17" s="66">
        <f t="shared" si="16"/>
        <v>1353.8763830409084</v>
      </c>
      <c r="AD17" s="66">
        <f t="shared" si="17"/>
        <v>730.79014179769956</v>
      </c>
      <c r="AE17" s="66">
        <f t="shared" si="18"/>
        <v>304.29997130354423</v>
      </c>
      <c r="AF17" s="66">
        <f t="shared" si="19"/>
        <v>-319.03193082705229</v>
      </c>
      <c r="AG17" s="66">
        <f t="shared" si="20"/>
        <v>-822.7584623947746</v>
      </c>
      <c r="AH17" s="66">
        <f t="shared" si="21"/>
        <v>-1720.1254909103955</v>
      </c>
      <c r="AI17" s="66">
        <f t="shared" si="22"/>
        <v>-3674.0226678172712</v>
      </c>
      <c r="AJ17" s="66">
        <f t="shared" si="23"/>
        <v>314.54355988394127</v>
      </c>
      <c r="AK17" s="66">
        <f t="shared" si="24"/>
        <v>159.65763409254578</v>
      </c>
      <c r="AL17" s="66">
        <f t="shared" si="25"/>
        <v>64.337455337395113</v>
      </c>
      <c r="AM17" s="66">
        <f t="shared" si="26"/>
        <v>32.241029321548922</v>
      </c>
      <c r="AN17" s="66">
        <f t="shared" si="27"/>
        <v>-32.376617479471861</v>
      </c>
      <c r="AO17" s="66">
        <f t="shared" si="28"/>
        <v>-64.880467372181556</v>
      </c>
      <c r="AP17" s="66">
        <f t="shared" si="29"/>
        <v>-163.08054895558826</v>
      </c>
      <c r="AQ17" s="66">
        <f t="shared" si="30"/>
        <v>-328.6649495251595</v>
      </c>
    </row>
    <row r="18" spans="1:43" x14ac:dyDescent="0.35">
      <c r="A18" s="3" t="s">
        <v>55</v>
      </c>
      <c r="B18" s="4">
        <f>VLOOKUP(A18,PriceData!$K$4:$L$6,2,FALSE)</f>
        <v>1100</v>
      </c>
      <c r="C18" s="46">
        <f>VLOOKUP(A18,PriceData!$K$4:$M$6,3,FALSE)</f>
        <v>0.02</v>
      </c>
      <c r="D18" s="4" t="s">
        <v>59</v>
      </c>
      <c r="E18" s="4" t="s">
        <v>57</v>
      </c>
      <c r="F18" s="4">
        <v>-50</v>
      </c>
      <c r="G18" s="4">
        <v>1100</v>
      </c>
      <c r="H18" s="4" t="s">
        <v>60</v>
      </c>
      <c r="I18" s="5">
        <v>40347</v>
      </c>
      <c r="J18" s="46">
        <f t="shared" si="0"/>
        <v>0.35896400835070608</v>
      </c>
      <c r="K18" s="30">
        <f>VLOOKUP(I18,PriceData!$A$5:$D$7,MATCH($E18,PriceData!$A$4:$D$4,0),FALSE)</f>
        <v>1.4999999999999999E-2</v>
      </c>
      <c r="L18" s="2">
        <f t="shared" si="1"/>
        <v>104.13231163075892</v>
      </c>
      <c r="M18" s="2">
        <f t="shared" si="2"/>
        <v>-5206.6155815379461</v>
      </c>
      <c r="N18" s="4" t="s">
        <v>58</v>
      </c>
      <c r="P18" s="60">
        <f t="shared" si="3"/>
        <v>-497.78902004007335</v>
      </c>
      <c r="Q18" s="60">
        <f t="shared" si="4"/>
        <v>912.62722217958503</v>
      </c>
      <c r="R18" s="58">
        <f t="shared" si="5"/>
        <v>2.8541617426172672</v>
      </c>
      <c r="S18" s="58">
        <f t="shared" si="6"/>
        <v>-11.090476100023295</v>
      </c>
      <c r="T18" s="58">
        <f t="shared" si="7"/>
        <v>-0.32472242880323304</v>
      </c>
      <c r="U18" s="63">
        <f t="shared" si="8"/>
        <v>-2.6220682667304742</v>
      </c>
      <c r="V18" s="65">
        <f t="shared" si="9"/>
        <v>24889.451002003669</v>
      </c>
      <c r="W18" s="65">
        <f t="shared" si="10"/>
        <v>-45631.361108979254</v>
      </c>
      <c r="X18" s="66">
        <f t="shared" si="11"/>
        <v>-142.70808713086336</v>
      </c>
      <c r="Y18" s="66">
        <f t="shared" si="12"/>
        <v>554.52380500116476</v>
      </c>
      <c r="Z18" s="66">
        <f t="shared" si="13"/>
        <v>16.236121440161654</v>
      </c>
      <c r="AA18" s="66">
        <f t="shared" si="14"/>
        <v>131.10341333652372</v>
      </c>
      <c r="AB18" s="66">
        <f t="shared" si="15"/>
        <v>-6869.145090382327</v>
      </c>
      <c r="AC18" s="66">
        <f t="shared" si="16"/>
        <v>-2961.206435890736</v>
      </c>
      <c r="AD18" s="66">
        <f t="shared" si="17"/>
        <v>-1360.96327795872</v>
      </c>
      <c r="AE18" s="66">
        <f t="shared" si="18"/>
        <v>-516.210428426254</v>
      </c>
      <c r="AF18" s="66">
        <f t="shared" si="19"/>
        <v>479.72263990859858</v>
      </c>
      <c r="AG18" s="66">
        <f t="shared" si="20"/>
        <v>1133.4818717497399</v>
      </c>
      <c r="AH18" s="66">
        <f t="shared" si="21"/>
        <v>2059.3603778600368</v>
      </c>
      <c r="AI18" s="66">
        <f t="shared" si="22"/>
        <v>3388.936317300343</v>
      </c>
      <c r="AJ18" s="66">
        <f t="shared" si="23"/>
        <v>1429.5908419437096</v>
      </c>
      <c r="AK18" s="66">
        <f t="shared" si="24"/>
        <v>714.200934882345</v>
      </c>
      <c r="AL18" s="66">
        <f t="shared" si="25"/>
        <v>285.52499469074917</v>
      </c>
      <c r="AM18" s="66">
        <f t="shared" si="26"/>
        <v>142.73555299699012</v>
      </c>
      <c r="AN18" s="66">
        <f t="shared" si="27"/>
        <v>-142.68010103045867</v>
      </c>
      <c r="AO18" s="66">
        <f t="shared" si="28"/>
        <v>-285.30319180202071</v>
      </c>
      <c r="AP18" s="66">
        <f t="shared" si="29"/>
        <v>-712.81488721438393</v>
      </c>
      <c r="AQ18" s="66">
        <f t="shared" si="30"/>
        <v>-1424.0499621541517</v>
      </c>
    </row>
    <row r="19" spans="1:43" x14ac:dyDescent="0.35">
      <c r="A19" s="3" t="s">
        <v>55</v>
      </c>
      <c r="B19" s="4">
        <f>VLOOKUP(A19,PriceData!$K$4:$L$6,2,FALSE)</f>
        <v>1100</v>
      </c>
      <c r="C19" s="46">
        <f>VLOOKUP(A19,PriceData!$K$4:$M$6,3,FALSE)</f>
        <v>0.02</v>
      </c>
      <c r="D19" s="4" t="s">
        <v>59</v>
      </c>
      <c r="E19" s="4" t="s">
        <v>57</v>
      </c>
      <c r="F19" s="4">
        <v>20</v>
      </c>
      <c r="G19" s="4">
        <v>1034</v>
      </c>
      <c r="H19" s="4" t="s">
        <v>62</v>
      </c>
      <c r="I19" s="5">
        <v>40347</v>
      </c>
      <c r="J19" s="46">
        <f t="shared" si="0"/>
        <v>0.3956302003368482</v>
      </c>
      <c r="K19" s="30">
        <f>VLOOKUP(I19,PriceData!$A$5:$D$7,MATCH($E19,PriceData!$A$4:$D$4,0),FALSE)</f>
        <v>1.4999999999999999E-2</v>
      </c>
      <c r="L19" s="2">
        <f t="shared" si="1"/>
        <v>144.43228295286826</v>
      </c>
      <c r="M19" s="2">
        <f t="shared" si="2"/>
        <v>2888.6456590573653</v>
      </c>
      <c r="N19" s="4" t="s">
        <v>58</v>
      </c>
      <c r="P19" s="60">
        <f t="shared" si="3"/>
        <v>698.18732002678712</v>
      </c>
      <c r="Q19" s="60">
        <f t="shared" si="4"/>
        <v>780.96803510235679</v>
      </c>
      <c r="R19" s="58">
        <f t="shared" si="5"/>
        <v>2.6918877747556711</v>
      </c>
      <c r="S19" s="58">
        <f t="shared" si="6"/>
        <v>23.96444496808888</v>
      </c>
      <c r="T19" s="58">
        <f t="shared" si="7"/>
        <v>-0.31940339284285374</v>
      </c>
      <c r="U19" s="2">
        <f t="shared" si="8"/>
        <v>2.4122479697192634</v>
      </c>
      <c r="V19" s="65">
        <f t="shared" si="9"/>
        <v>13963.746400535743</v>
      </c>
      <c r="W19" s="65">
        <f t="shared" si="10"/>
        <v>15619.360702047135</v>
      </c>
      <c r="X19" s="66">
        <f t="shared" si="11"/>
        <v>53.83775549511342</v>
      </c>
      <c r="Y19" s="66">
        <f t="shared" si="12"/>
        <v>479.28889936177762</v>
      </c>
      <c r="Z19" s="66">
        <f t="shared" si="13"/>
        <v>-6.3880678568570746</v>
      </c>
      <c r="AA19" s="66">
        <f t="shared" si="14"/>
        <v>48.244959394385269</v>
      </c>
      <c r="AB19" s="66">
        <f t="shared" si="15"/>
        <v>-2093.0855205649541</v>
      </c>
      <c r="AC19" s="66">
        <f t="shared" si="16"/>
        <v>-1228.9899176160327</v>
      </c>
      <c r="AD19" s="66">
        <f t="shared" si="17"/>
        <v>-657.65649628164624</v>
      </c>
      <c r="AE19" s="66">
        <f t="shared" si="18"/>
        <v>-272.92971908659638</v>
      </c>
      <c r="AF19" s="66">
        <f t="shared" si="19"/>
        <v>285.4224363563003</v>
      </c>
      <c r="AG19" s="66">
        <f t="shared" si="20"/>
        <v>735.64453709806685</v>
      </c>
      <c r="AH19" s="66">
        <f t="shared" si="21"/>
        <v>1539.6087200182751</v>
      </c>
      <c r="AI19" s="66">
        <f t="shared" si="22"/>
        <v>3312.7495583925315</v>
      </c>
      <c r="AJ19" s="66">
        <f t="shared" si="23"/>
        <v>-534.69935027050724</v>
      </c>
      <c r="AK19" s="66">
        <f t="shared" si="24"/>
        <v>-268.4502653653135</v>
      </c>
      <c r="AL19" s="66">
        <f t="shared" si="25"/>
        <v>-107.57136612726072</v>
      </c>
      <c r="AM19" s="66">
        <f t="shared" si="26"/>
        <v>-53.812778944457023</v>
      </c>
      <c r="AN19" s="66">
        <f t="shared" si="27"/>
        <v>53.860751973984407</v>
      </c>
      <c r="AO19" s="66">
        <f t="shared" si="28"/>
        <v>107.76378919792251</v>
      </c>
      <c r="AP19" s="66">
        <f t="shared" si="29"/>
        <v>269.67647905553349</v>
      </c>
      <c r="AQ19" s="66">
        <f t="shared" si="30"/>
        <v>539.96156361235535</v>
      </c>
    </row>
    <row r="20" spans="1:43" x14ac:dyDescent="0.35">
      <c r="A20" s="3" t="s">
        <v>55</v>
      </c>
      <c r="B20" s="4">
        <f>VLOOKUP(A20,PriceData!$K$4:$L$6,2,FALSE)</f>
        <v>1100</v>
      </c>
      <c r="C20" s="46">
        <f>VLOOKUP(A20,PriceData!$K$4:$M$6,3,FALSE)</f>
        <v>0.02</v>
      </c>
      <c r="D20" s="4" t="s">
        <v>59</v>
      </c>
      <c r="E20" s="4" t="s">
        <v>57</v>
      </c>
      <c r="F20" s="4">
        <v>25</v>
      </c>
      <c r="G20" s="4">
        <v>902</v>
      </c>
      <c r="H20" s="4" t="s">
        <v>60</v>
      </c>
      <c r="I20" s="5">
        <v>40347</v>
      </c>
      <c r="J20" s="46">
        <f t="shared" si="0"/>
        <v>0.51838666539148304</v>
      </c>
      <c r="K20" s="30">
        <f>VLOOKUP(I20,PriceData!$A$5:$D$7,MATCH($E20,PriceData!$A$4:$D$4,0),FALSE)</f>
        <v>1.4999999999999999E-2</v>
      </c>
      <c r="L20" s="2">
        <f t="shared" si="1"/>
        <v>59.069959177058593</v>
      </c>
      <c r="M20" s="2">
        <f t="shared" si="2"/>
        <v>1476.7489794264648</v>
      </c>
      <c r="N20" s="4" t="s">
        <v>61</v>
      </c>
      <c r="P20" s="60">
        <f t="shared" si="3"/>
        <v>-248.86143911000528</v>
      </c>
      <c r="Q20" s="60">
        <f t="shared" si="4"/>
        <v>481.77929671825308</v>
      </c>
      <c r="R20" s="58">
        <f t="shared" si="5"/>
        <v>2.1758863632760672</v>
      </c>
      <c r="S20" s="58">
        <f t="shared" si="6"/>
        <v>125.84709738360738</v>
      </c>
      <c r="T20" s="58">
        <f t="shared" si="7"/>
        <v>-0.3556829358286932</v>
      </c>
      <c r="U20" s="2">
        <f t="shared" si="8"/>
        <v>-1.3413997897984422</v>
      </c>
      <c r="V20" s="65">
        <f t="shared" si="9"/>
        <v>-6221.5359777501317</v>
      </c>
      <c r="W20" s="65">
        <f t="shared" si="10"/>
        <v>12044.482417956327</v>
      </c>
      <c r="X20" s="66">
        <f t="shared" si="11"/>
        <v>54.397159081901677</v>
      </c>
      <c r="Y20" s="66">
        <f t="shared" si="12"/>
        <v>3146.1774345901845</v>
      </c>
      <c r="Z20" s="66">
        <f t="shared" si="13"/>
        <v>-8.8920733957173308</v>
      </c>
      <c r="AA20" s="66">
        <f t="shared" si="14"/>
        <v>-33.534994744961054</v>
      </c>
      <c r="AB20" s="66">
        <f t="shared" si="15"/>
        <v>1832.1225049032748</v>
      </c>
      <c r="AC20" s="66">
        <f t="shared" si="16"/>
        <v>755.73307209256905</v>
      </c>
      <c r="AD20" s="66">
        <f t="shared" si="17"/>
        <v>342.80921821624588</v>
      </c>
      <c r="AE20" s="66">
        <f t="shared" si="18"/>
        <v>129.35127610059141</v>
      </c>
      <c r="AF20" s="66">
        <f t="shared" si="19"/>
        <v>-119.71417440000707</v>
      </c>
      <c r="AG20" s="66">
        <f t="shared" si="20"/>
        <v>-282.52799739185122</v>
      </c>
      <c r="AH20" s="66">
        <f t="shared" si="21"/>
        <v>-513.92538224035957</v>
      </c>
      <c r="AI20" s="66">
        <f t="shared" si="22"/>
        <v>-855.33584811084461</v>
      </c>
      <c r="AJ20" s="66">
        <f t="shared" si="23"/>
        <v>-524.52508569965914</v>
      </c>
      <c r="AK20" s="66">
        <f t="shared" si="24"/>
        <v>-267.62852530545587</v>
      </c>
      <c r="AL20" s="66">
        <f t="shared" si="25"/>
        <v>-108.13924990035062</v>
      </c>
      <c r="AM20" s="66">
        <f t="shared" si="26"/>
        <v>-54.236673354875364</v>
      </c>
      <c r="AN20" s="66">
        <f t="shared" si="27"/>
        <v>54.551390751124984</v>
      </c>
      <c r="AO20" s="66">
        <f t="shared" si="28"/>
        <v>109.39931641727796</v>
      </c>
      <c r="AP20" s="66">
        <f t="shared" si="29"/>
        <v>275.55659607905341</v>
      </c>
      <c r="AQ20" s="66">
        <f t="shared" si="30"/>
        <v>557.00632075533326</v>
      </c>
    </row>
    <row r="21" spans="1:43" x14ac:dyDescent="0.35">
      <c r="A21" s="3" t="s">
        <v>55</v>
      </c>
      <c r="B21" s="4">
        <f>VLOOKUP(A21,PriceData!$K$4:$L$6,2,FALSE)</f>
        <v>1100</v>
      </c>
      <c r="C21" s="46">
        <f>VLOOKUP(A21,PriceData!$K$4:$M$6,3,FALSE)</f>
        <v>0.02</v>
      </c>
      <c r="D21" s="4" t="s">
        <v>59</v>
      </c>
      <c r="E21" s="4" t="s">
        <v>57</v>
      </c>
      <c r="F21" s="4">
        <v>25</v>
      </c>
      <c r="G21" s="4">
        <v>902</v>
      </c>
      <c r="H21" s="4" t="s">
        <v>60</v>
      </c>
      <c r="I21" s="5">
        <v>40347</v>
      </c>
      <c r="J21" s="46">
        <f t="shared" si="0"/>
        <v>0.51838666539148304</v>
      </c>
      <c r="K21" s="30">
        <f>VLOOKUP(I21,PriceData!$A$5:$D$7,MATCH($E21,PriceData!$A$4:$D$4,0),FALSE)</f>
        <v>1.4999999999999999E-2</v>
      </c>
      <c r="L21" s="2">
        <f t="shared" si="1"/>
        <v>59.069959177058593</v>
      </c>
      <c r="M21" s="2">
        <f t="shared" si="2"/>
        <v>1476.7489794264648</v>
      </c>
      <c r="N21" s="4" t="s">
        <v>58</v>
      </c>
      <c r="P21" s="60">
        <f t="shared" si="3"/>
        <v>-248.86143911000528</v>
      </c>
      <c r="Q21" s="60">
        <f t="shared" si="4"/>
        <v>481.77929671825308</v>
      </c>
      <c r="R21" s="58">
        <f t="shared" si="5"/>
        <v>2.1758863632760672</v>
      </c>
      <c r="S21" s="58">
        <f t="shared" si="6"/>
        <v>125.84709738360738</v>
      </c>
      <c r="T21" s="58">
        <f t="shared" si="7"/>
        <v>-0.3556829358286932</v>
      </c>
      <c r="U21" s="2">
        <f t="shared" si="8"/>
        <v>-1.3413997897984422</v>
      </c>
      <c r="V21" s="65">
        <f t="shared" si="9"/>
        <v>-6221.5359777501317</v>
      </c>
      <c r="W21" s="65">
        <f t="shared" si="10"/>
        <v>12044.482417956327</v>
      </c>
      <c r="X21" s="66">
        <f t="shared" si="11"/>
        <v>54.397159081901677</v>
      </c>
      <c r="Y21" s="66">
        <f t="shared" si="12"/>
        <v>3146.1774345901845</v>
      </c>
      <c r="Z21" s="66">
        <f t="shared" si="13"/>
        <v>-8.8920733957173308</v>
      </c>
      <c r="AA21" s="66">
        <f t="shared" si="14"/>
        <v>-33.534994744961054</v>
      </c>
      <c r="AB21" s="66">
        <f t="shared" si="15"/>
        <v>1832.1225049032748</v>
      </c>
      <c r="AC21" s="66">
        <f t="shared" si="16"/>
        <v>755.73307209256905</v>
      </c>
      <c r="AD21" s="66">
        <f t="shared" si="17"/>
        <v>342.80921821624588</v>
      </c>
      <c r="AE21" s="66">
        <f t="shared" si="18"/>
        <v>129.35127610059141</v>
      </c>
      <c r="AF21" s="66">
        <f t="shared" si="19"/>
        <v>-119.71417440000707</v>
      </c>
      <c r="AG21" s="66">
        <f t="shared" si="20"/>
        <v>-282.52799739185122</v>
      </c>
      <c r="AH21" s="66">
        <f t="shared" si="21"/>
        <v>-513.92538224035957</v>
      </c>
      <c r="AI21" s="66">
        <f t="shared" si="22"/>
        <v>-855.33584811084461</v>
      </c>
      <c r="AJ21" s="66">
        <f t="shared" si="23"/>
        <v>-524.52508569965914</v>
      </c>
      <c r="AK21" s="66">
        <f t="shared" si="24"/>
        <v>-267.62852530545587</v>
      </c>
      <c r="AL21" s="66">
        <f t="shared" si="25"/>
        <v>-108.13924990035062</v>
      </c>
      <c r="AM21" s="66">
        <f t="shared" si="26"/>
        <v>-54.236673354875364</v>
      </c>
      <c r="AN21" s="66">
        <f t="shared" si="27"/>
        <v>54.551390751124984</v>
      </c>
      <c r="AO21" s="66">
        <f t="shared" si="28"/>
        <v>109.39931641727796</v>
      </c>
      <c r="AP21" s="66">
        <f t="shared" si="29"/>
        <v>275.55659607905341</v>
      </c>
      <c r="AQ21" s="66">
        <f t="shared" si="30"/>
        <v>557.00632075533326</v>
      </c>
    </row>
    <row r="22" spans="1:43" x14ac:dyDescent="0.35">
      <c r="A22" s="3" t="s">
        <v>55</v>
      </c>
      <c r="B22" s="4">
        <f>VLOOKUP(A22,PriceData!$K$4:$L$6,2,FALSE)</f>
        <v>1100</v>
      </c>
      <c r="C22" s="46">
        <f>VLOOKUP(A22,PriceData!$K$4:$M$6,3,FALSE)</f>
        <v>0.02</v>
      </c>
      <c r="D22" s="4" t="s">
        <v>59</v>
      </c>
      <c r="E22" s="4" t="s">
        <v>57</v>
      </c>
      <c r="F22" s="4">
        <v>50</v>
      </c>
      <c r="G22" s="4">
        <v>1331</v>
      </c>
      <c r="H22" s="4" t="s">
        <v>62</v>
      </c>
      <c r="I22" s="5">
        <v>40347</v>
      </c>
      <c r="J22" s="46">
        <f t="shared" si="0"/>
        <v>0.32969444289961214</v>
      </c>
      <c r="K22" s="30">
        <f>VLOOKUP(I22,PriceData!$A$5:$D$7,MATCH($E22,PriceData!$A$4:$D$4,0),FALSE)</f>
        <v>1.4999999999999999E-2</v>
      </c>
      <c r="L22" s="2">
        <f t="shared" si="1"/>
        <v>26.825157221083771</v>
      </c>
      <c r="M22" s="2">
        <f t="shared" si="2"/>
        <v>1341.2578610541887</v>
      </c>
      <c r="N22" s="4" t="s">
        <v>58</v>
      </c>
      <c r="P22" s="60">
        <f t="shared" si="3"/>
        <v>238.28375127170557</v>
      </c>
      <c r="Q22" s="60">
        <f t="shared" si="4"/>
        <v>739.01958700862792</v>
      </c>
      <c r="R22" s="58">
        <f t="shared" si="5"/>
        <v>2.1227645761031813</v>
      </c>
      <c r="S22" s="58">
        <f t="shared" si="6"/>
        <v>497.81833808904207</v>
      </c>
      <c r="T22" s="58">
        <f t="shared" si="7"/>
        <v>-0.2157163549014337</v>
      </c>
      <c r="U22" s="2">
        <f t="shared" si="8"/>
        <v>0.92114839600133891</v>
      </c>
      <c r="V22" s="65">
        <f t="shared" si="9"/>
        <v>11914.187563585278</v>
      </c>
      <c r="W22" s="65">
        <f t="shared" si="10"/>
        <v>36950.979350431393</v>
      </c>
      <c r="X22" s="66">
        <f t="shared" si="11"/>
        <v>106.13822880515906</v>
      </c>
      <c r="Y22" s="66">
        <f t="shared" si="12"/>
        <v>24890.916904452104</v>
      </c>
      <c r="Z22" s="66">
        <f t="shared" si="13"/>
        <v>-10.785817745071686</v>
      </c>
      <c r="AA22" s="66">
        <f t="shared" si="14"/>
        <v>46.057419800066945</v>
      </c>
      <c r="AB22" s="66">
        <f t="shared" si="15"/>
        <v>-1216.4564534577103</v>
      </c>
      <c r="AC22" s="66">
        <f t="shared" si="16"/>
        <v>-858.12497237522507</v>
      </c>
      <c r="AD22" s="66">
        <f t="shared" si="17"/>
        <v>-507.59937833799427</v>
      </c>
      <c r="AE22" s="66">
        <f t="shared" si="18"/>
        <v>-223.7649783538032</v>
      </c>
      <c r="AF22" s="66">
        <f t="shared" si="19"/>
        <v>253.30895117636061</v>
      </c>
      <c r="AG22" s="66">
        <f t="shared" si="20"/>
        <v>691.70094004686575</v>
      </c>
      <c r="AH22" s="66">
        <f t="shared" si="21"/>
        <v>1586.8775894232442</v>
      </c>
      <c r="AI22" s="66">
        <f t="shared" si="22"/>
        <v>4019.2576644389901</v>
      </c>
      <c r="AJ22" s="66">
        <f t="shared" si="23"/>
        <v>-902.19570672478108</v>
      </c>
      <c r="AK22" s="66">
        <f t="shared" si="24"/>
        <v>-495.61966961093731</v>
      </c>
      <c r="AL22" s="66">
        <f t="shared" si="25"/>
        <v>-207.05906098690861</v>
      </c>
      <c r="AM22" s="66">
        <f t="shared" si="26"/>
        <v>-104.86434376147571</v>
      </c>
      <c r="AN22" s="66">
        <f t="shared" si="27"/>
        <v>107.3545194143918</v>
      </c>
      <c r="AO22" s="66">
        <f t="shared" si="28"/>
        <v>217.03276667935398</v>
      </c>
      <c r="AP22" s="66">
        <f t="shared" si="29"/>
        <v>558.5228083572033</v>
      </c>
      <c r="AQ22" s="66">
        <f t="shared" si="30"/>
        <v>1161.776101261526</v>
      </c>
    </row>
    <row r="23" spans="1:43" x14ac:dyDescent="0.35">
      <c r="A23" s="3" t="s">
        <v>55</v>
      </c>
      <c r="B23" s="4">
        <f>VLOOKUP(A23,PriceData!$K$4:$L$6,2,FALSE)</f>
        <v>1100</v>
      </c>
      <c r="C23" s="46">
        <f>VLOOKUP(A23,PriceData!$K$4:$M$6,3,FALSE)</f>
        <v>0.02</v>
      </c>
      <c r="D23" s="4" t="s">
        <v>59</v>
      </c>
      <c r="E23" s="4" t="s">
        <v>57</v>
      </c>
      <c r="F23" s="4">
        <v>50</v>
      </c>
      <c r="G23" s="4">
        <v>1298</v>
      </c>
      <c r="H23" s="4" t="s">
        <v>62</v>
      </c>
      <c r="I23" s="5">
        <v>40347</v>
      </c>
      <c r="J23" s="46">
        <f t="shared" si="0"/>
        <v>0.32830725519482734</v>
      </c>
      <c r="K23" s="30">
        <f>VLOOKUP(I23,PriceData!$A$5:$D$7,MATCH($E23,PriceData!$A$4:$D$4,0),FALSE)</f>
        <v>1.4999999999999999E-2</v>
      </c>
      <c r="L23" s="2">
        <f t="shared" si="1"/>
        <v>32.223915655975617</v>
      </c>
      <c r="M23" s="2">
        <f t="shared" si="2"/>
        <v>1611.1957827987808</v>
      </c>
      <c r="N23" s="4" t="s">
        <v>58</v>
      </c>
      <c r="P23" s="60">
        <f t="shared" si="3"/>
        <v>275.72170428980866</v>
      </c>
      <c r="Q23" s="60">
        <f t="shared" si="4"/>
        <v>804.39548343590673</v>
      </c>
      <c r="R23" s="58">
        <f t="shared" si="5"/>
        <v>2.3008290875624899</v>
      </c>
      <c r="S23" s="58">
        <f t="shared" si="6"/>
        <v>411.49977968015173</v>
      </c>
      <c r="T23" s="58">
        <f t="shared" si="7"/>
        <v>-0.23243924890555179</v>
      </c>
      <c r="U23" s="2">
        <f t="shared" si="8"/>
        <v>1.0607163943227247</v>
      </c>
      <c r="V23" s="65">
        <f t="shared" si="9"/>
        <v>13786.085214490433</v>
      </c>
      <c r="W23" s="65">
        <f t="shared" si="10"/>
        <v>40219.774171795339</v>
      </c>
      <c r="X23" s="66">
        <f t="shared" si="11"/>
        <v>115.0414543781245</v>
      </c>
      <c r="Y23" s="66">
        <f t="shared" si="12"/>
        <v>20574.988984007585</v>
      </c>
      <c r="Z23" s="66">
        <f t="shared" si="13"/>
        <v>-11.621962445277589</v>
      </c>
      <c r="AA23" s="66">
        <f t="shared" si="14"/>
        <v>53.035819716136231</v>
      </c>
      <c r="AB23" s="66">
        <f t="shared" si="15"/>
        <v>-1449.3948591380129</v>
      </c>
      <c r="AC23" s="66">
        <f t="shared" si="16"/>
        <v>-1009.9695494241637</v>
      </c>
      <c r="AD23" s="66">
        <f t="shared" si="17"/>
        <v>-592.60922736984867</v>
      </c>
      <c r="AE23" s="66">
        <f t="shared" si="18"/>
        <v>-259.86604139476981</v>
      </c>
      <c r="AF23" s="66">
        <f t="shared" si="19"/>
        <v>292.0214183990808</v>
      </c>
      <c r="AG23" s="66">
        <f t="shared" si="20"/>
        <v>792.91357049043972</v>
      </c>
      <c r="AH23" s="66">
        <f t="shared" si="21"/>
        <v>1801.876876368739</v>
      </c>
      <c r="AI23" s="66">
        <f t="shared" si="22"/>
        <v>4480.487862416514</v>
      </c>
      <c r="AJ23" s="66">
        <f t="shared" si="23"/>
        <v>-1014.6678446855987</v>
      </c>
      <c r="AK23" s="66">
        <f t="shared" si="24"/>
        <v>-545.84306578470751</v>
      </c>
      <c r="AL23" s="66">
        <f t="shared" si="25"/>
        <v>-225.75015518196295</v>
      </c>
      <c r="AM23" s="66">
        <f t="shared" si="26"/>
        <v>-113.9860875823075</v>
      </c>
      <c r="AN23" s="66">
        <f t="shared" si="27"/>
        <v>116.04472557920786</v>
      </c>
      <c r="AO23" s="66">
        <f t="shared" si="28"/>
        <v>233.99838837841997</v>
      </c>
      <c r="AP23" s="66">
        <f t="shared" si="29"/>
        <v>597.99611057304242</v>
      </c>
      <c r="AQ23" s="66">
        <f t="shared" si="30"/>
        <v>1232.0146041399526</v>
      </c>
    </row>
    <row r="24" spans="1:43" x14ac:dyDescent="0.35">
      <c r="A24" s="3" t="s">
        <v>55</v>
      </c>
      <c r="B24" s="4">
        <f>VLOOKUP(A24,PriceData!$K$4:$L$6,2,FALSE)</f>
        <v>1100</v>
      </c>
      <c r="C24" s="46">
        <f>VLOOKUP(A24,PriceData!$K$4:$M$6,3,FALSE)</f>
        <v>0.02</v>
      </c>
      <c r="D24" s="4" t="s">
        <v>59</v>
      </c>
      <c r="E24" s="4" t="s">
        <v>57</v>
      </c>
      <c r="F24" s="4">
        <v>-30</v>
      </c>
      <c r="G24" s="4">
        <v>1232</v>
      </c>
      <c r="H24" s="4" t="s">
        <v>62</v>
      </c>
      <c r="I24" s="5">
        <v>40347</v>
      </c>
      <c r="J24" s="46">
        <f t="shared" si="0"/>
        <v>0.32932352495643258</v>
      </c>
      <c r="K24" s="30">
        <f>VLOOKUP(I24,PriceData!$A$5:$D$7,MATCH($E24,PriceData!$A$4:$D$4,0),FALSE)</f>
        <v>1.4999999999999999E-2</v>
      </c>
      <c r="L24" s="2">
        <f t="shared" si="1"/>
        <v>47.133791884368577</v>
      </c>
      <c r="M24" s="2">
        <f t="shared" si="2"/>
        <v>-1414.0137565310574</v>
      </c>
      <c r="N24" s="4" t="s">
        <v>58</v>
      </c>
      <c r="P24" s="60">
        <f t="shared" si="3"/>
        <v>366.66046110152155</v>
      </c>
      <c r="Q24" s="60">
        <f t="shared" si="4"/>
        <v>915.18511570031228</v>
      </c>
      <c r="R24" s="58">
        <f t="shared" si="5"/>
        <v>2.6258260897602135</v>
      </c>
      <c r="S24" s="58">
        <f t="shared" si="6"/>
        <v>215.75139899873821</v>
      </c>
      <c r="T24" s="58">
        <f t="shared" si="7"/>
        <v>-0.26497304874944189</v>
      </c>
      <c r="U24" s="2">
        <f t="shared" si="8"/>
        <v>1.3919106960418444</v>
      </c>
      <c r="V24" s="65">
        <f t="shared" si="9"/>
        <v>-10999.813833045646</v>
      </c>
      <c r="W24" s="65">
        <f t="shared" si="10"/>
        <v>-27455.553471009367</v>
      </c>
      <c r="X24" s="66">
        <f t="shared" si="11"/>
        <v>-78.774782692806411</v>
      </c>
      <c r="Y24" s="66">
        <f t="shared" si="12"/>
        <v>-6472.5419699621461</v>
      </c>
      <c r="Z24" s="66">
        <f t="shared" si="13"/>
        <v>7.9491914624832569</v>
      </c>
      <c r="AA24" s="66">
        <f t="shared" si="14"/>
        <v>-41.757320881255332</v>
      </c>
      <c r="AB24" s="66">
        <f t="shared" si="15"/>
        <v>1241.9847721473295</v>
      </c>
      <c r="AC24" s="66">
        <f t="shared" si="16"/>
        <v>838.83459999185197</v>
      </c>
      <c r="AD24" s="66">
        <f t="shared" si="17"/>
        <v>482.7349908729559</v>
      </c>
      <c r="AE24" s="66">
        <f t="shared" si="18"/>
        <v>209.09100060267747</v>
      </c>
      <c r="AF24" s="66">
        <f t="shared" si="19"/>
        <v>-231.03992144055553</v>
      </c>
      <c r="AG24" s="66">
        <f t="shared" si="20"/>
        <v>-619.40913977131231</v>
      </c>
      <c r="AH24" s="66">
        <f t="shared" si="21"/>
        <v>-1378.4404210216026</v>
      </c>
      <c r="AI24" s="66">
        <f t="shared" si="22"/>
        <v>-3295.6031531688045</v>
      </c>
      <c r="AJ24" s="66">
        <f t="shared" si="23"/>
        <v>742.54496844486198</v>
      </c>
      <c r="AK24" s="66">
        <f t="shared" si="24"/>
        <v>384.41576620657429</v>
      </c>
      <c r="AL24" s="66">
        <f t="shared" si="25"/>
        <v>156.1747550395495</v>
      </c>
      <c r="AM24" s="66">
        <f t="shared" si="26"/>
        <v>78.441387299612302</v>
      </c>
      <c r="AN24" s="66">
        <f t="shared" si="27"/>
        <v>-79.089140134578884</v>
      </c>
      <c r="AO24" s="66">
        <f t="shared" si="28"/>
        <v>-158.77176496426728</v>
      </c>
      <c r="AP24" s="66">
        <f t="shared" si="29"/>
        <v>-400.91347853382729</v>
      </c>
      <c r="AQ24" s="66">
        <f t="shared" si="30"/>
        <v>-812.5775965364943</v>
      </c>
    </row>
    <row r="25" spans="1:43" x14ac:dyDescent="0.35">
      <c r="A25" s="3" t="s">
        <v>55</v>
      </c>
      <c r="B25" s="4">
        <f>VLOOKUP(A25,PriceData!$K$4:$L$6,2,FALSE)</f>
        <v>1100</v>
      </c>
      <c r="C25" s="46">
        <f>VLOOKUP(A25,PriceData!$K$4:$M$6,3,FALSE)</f>
        <v>0.02</v>
      </c>
      <c r="D25" s="4" t="s">
        <v>59</v>
      </c>
      <c r="E25" s="4" t="s">
        <v>57</v>
      </c>
      <c r="F25" s="4">
        <v>-30</v>
      </c>
      <c r="G25" s="4">
        <v>1001</v>
      </c>
      <c r="H25" s="4" t="s">
        <v>60</v>
      </c>
      <c r="I25" s="5">
        <v>40347</v>
      </c>
      <c r="J25" s="46">
        <f t="shared" si="0"/>
        <v>0.42038432876631615</v>
      </c>
      <c r="K25" s="30">
        <f>VLOOKUP(I25,PriceData!$A$5:$D$7,MATCH($E25,PriceData!$A$4:$D$4,0),FALSE)</f>
        <v>1.4999999999999999E-2</v>
      </c>
      <c r="L25" s="2">
        <f t="shared" si="1"/>
        <v>73.271161371525523</v>
      </c>
      <c r="M25" s="2">
        <f t="shared" si="2"/>
        <v>-2198.1348411457657</v>
      </c>
      <c r="N25" s="4" t="s">
        <v>63</v>
      </c>
      <c r="P25" s="60">
        <f t="shared" si="3"/>
        <v>-347.74279025404621</v>
      </c>
      <c r="Q25" s="60">
        <f t="shared" si="4"/>
        <v>701.71633499291147</v>
      </c>
      <c r="R25" s="58">
        <f t="shared" si="5"/>
        <v>2.570054658892404</v>
      </c>
      <c r="S25" s="58">
        <f t="shared" si="6"/>
        <v>55.644015063410578</v>
      </c>
      <c r="T25" s="58">
        <f t="shared" si="7"/>
        <v>-0.34150424954132458</v>
      </c>
      <c r="U25" s="2">
        <f t="shared" si="8"/>
        <v>-1.83400598105386</v>
      </c>
      <c r="V25" s="65">
        <f t="shared" si="9"/>
        <v>10432.283707621387</v>
      </c>
      <c r="W25" s="65">
        <f t="shared" si="10"/>
        <v>-21051.490049787346</v>
      </c>
      <c r="X25" s="66">
        <f t="shared" si="11"/>
        <v>-77.101639766772124</v>
      </c>
      <c r="Y25" s="66">
        <f t="shared" si="12"/>
        <v>-1669.3204519023172</v>
      </c>
      <c r="Z25" s="66">
        <f t="shared" si="13"/>
        <v>10.245127486239737</v>
      </c>
      <c r="AA25" s="66">
        <f t="shared" si="14"/>
        <v>55.020179431615801</v>
      </c>
      <c r="AB25" s="66">
        <f t="shared" si="15"/>
        <v>-3058.6960180237088</v>
      </c>
      <c r="AC25" s="66">
        <f t="shared" si="16"/>
        <v>-1271.7644611591049</v>
      </c>
      <c r="AD25" s="66">
        <f t="shared" si="17"/>
        <v>-576.56409658235816</v>
      </c>
      <c r="AE25" s="66">
        <f t="shared" si="18"/>
        <v>-217.21670134008207</v>
      </c>
      <c r="AF25" s="66">
        <f t="shared" si="19"/>
        <v>200.37720910061296</v>
      </c>
      <c r="AG25" s="66">
        <f t="shared" si="20"/>
        <v>471.37391102692675</v>
      </c>
      <c r="AH25" s="66">
        <f t="shared" si="21"/>
        <v>851.85952728761322</v>
      </c>
      <c r="AI25" s="66">
        <f t="shared" si="22"/>
        <v>1395.4698430598846</v>
      </c>
      <c r="AJ25" s="66">
        <f t="shared" si="23"/>
        <v>759.50093402643688</v>
      </c>
      <c r="AK25" s="66">
        <f t="shared" si="24"/>
        <v>383.07354329063173</v>
      </c>
      <c r="AL25" s="66">
        <f t="shared" si="25"/>
        <v>153.84864564986685</v>
      </c>
      <c r="AM25" s="66">
        <f t="shared" si="26"/>
        <v>77.015634399688793</v>
      </c>
      <c r="AN25" s="66">
        <f t="shared" si="27"/>
        <v>-77.182672730362469</v>
      </c>
      <c r="AO25" s="66">
        <f t="shared" si="28"/>
        <v>-154.51807693554201</v>
      </c>
      <c r="AP25" s="66">
        <f t="shared" si="29"/>
        <v>-387.31407362686241</v>
      </c>
      <c r="AQ25" s="66">
        <f t="shared" si="30"/>
        <v>-777.31179007672324</v>
      </c>
    </row>
    <row r="26" spans="1:43" x14ac:dyDescent="0.35">
      <c r="A26" s="3" t="s">
        <v>55</v>
      </c>
      <c r="B26" s="4">
        <f>VLOOKUP(A26,PriceData!$K$4:$L$6,2,FALSE)</f>
        <v>1100</v>
      </c>
      <c r="C26" s="46">
        <f>VLOOKUP(A26,PriceData!$K$4:$M$6,3,FALSE)</f>
        <v>0.02</v>
      </c>
      <c r="D26" s="4" t="s">
        <v>59</v>
      </c>
      <c r="E26" s="4" t="s">
        <v>57</v>
      </c>
      <c r="F26" s="4">
        <v>-50</v>
      </c>
      <c r="G26" s="4">
        <v>1100</v>
      </c>
      <c r="H26" s="4" t="s">
        <v>62</v>
      </c>
      <c r="I26" s="5">
        <v>40347</v>
      </c>
      <c r="J26" s="46">
        <f t="shared" si="0"/>
        <v>0.35896400835070608</v>
      </c>
      <c r="K26" s="30">
        <f>VLOOKUP(I26,PriceData!$A$5:$D$7,MATCH($E26,PriceData!$A$4:$D$4,0),FALSE)</f>
        <v>1.4999999999999999E-2</v>
      </c>
      <c r="L26" s="2">
        <f t="shared" si="1"/>
        <v>101.75461587020106</v>
      </c>
      <c r="M26" s="2">
        <f t="shared" si="2"/>
        <v>-5087.7307935100534</v>
      </c>
      <c r="N26" s="4" t="s">
        <v>58</v>
      </c>
      <c r="P26" s="60">
        <f t="shared" si="3"/>
        <v>592.6690449100837</v>
      </c>
      <c r="Q26" s="60">
        <f t="shared" si="4"/>
        <v>912.62722217958503</v>
      </c>
      <c r="R26" s="58">
        <f t="shared" si="5"/>
        <v>2.8541617426172672</v>
      </c>
      <c r="S26" s="58">
        <f t="shared" si="6"/>
        <v>-11.090476100023295</v>
      </c>
      <c r="T26" s="58">
        <f t="shared" si="7"/>
        <v>-0.30988236061599356</v>
      </c>
      <c r="U26" s="2">
        <f t="shared" si="8"/>
        <v>2.138503951160037</v>
      </c>
      <c r="V26" s="65">
        <f t="shared" si="9"/>
        <v>-29633.452245504184</v>
      </c>
      <c r="W26" s="65">
        <f t="shared" si="10"/>
        <v>-45631.361108979254</v>
      </c>
      <c r="X26" s="66">
        <f t="shared" si="11"/>
        <v>-142.70808713086336</v>
      </c>
      <c r="Y26" s="66">
        <f t="shared" si="12"/>
        <v>554.52380500116476</v>
      </c>
      <c r="Z26" s="66">
        <f t="shared" si="13"/>
        <v>15.494118030799678</v>
      </c>
      <c r="AA26" s="66">
        <f t="shared" si="14"/>
        <v>-106.92519755800186</v>
      </c>
      <c r="AB26" s="66">
        <f t="shared" si="15"/>
        <v>4035.4355591192402</v>
      </c>
      <c r="AC26" s="66">
        <f t="shared" si="16"/>
        <v>2491.0838888600465</v>
      </c>
      <c r="AD26" s="66">
        <f t="shared" si="17"/>
        <v>1365.1818844166712</v>
      </c>
      <c r="AE26" s="66">
        <f t="shared" si="18"/>
        <v>574.24763652389572</v>
      </c>
      <c r="AF26" s="66">
        <f t="shared" si="19"/>
        <v>-610.73542504156535</v>
      </c>
      <c r="AG26" s="66">
        <f t="shared" si="20"/>
        <v>-1592.66329062566</v>
      </c>
      <c r="AH26" s="66">
        <f t="shared" si="21"/>
        <v>-3392.9299468907575</v>
      </c>
      <c r="AI26" s="66">
        <f t="shared" si="22"/>
        <v>-7515.644332201231</v>
      </c>
      <c r="AJ26" s="66">
        <f t="shared" si="23"/>
        <v>1429.5908419437096</v>
      </c>
      <c r="AK26" s="66">
        <f t="shared" si="24"/>
        <v>714.20093488233931</v>
      </c>
      <c r="AL26" s="66">
        <f t="shared" si="25"/>
        <v>285.52499469074348</v>
      </c>
      <c r="AM26" s="66">
        <f t="shared" si="26"/>
        <v>142.73555299698728</v>
      </c>
      <c r="AN26" s="66">
        <f t="shared" si="27"/>
        <v>-142.68010103046436</v>
      </c>
      <c r="AO26" s="66">
        <f t="shared" si="28"/>
        <v>-285.30319180202071</v>
      </c>
      <c r="AP26" s="66">
        <f t="shared" si="29"/>
        <v>-712.81488721438393</v>
      </c>
      <c r="AQ26" s="66">
        <f t="shared" si="30"/>
        <v>-1424.0499621541544</v>
      </c>
    </row>
    <row r="27" spans="1:43" x14ac:dyDescent="0.35">
      <c r="A27" s="3" t="s">
        <v>55</v>
      </c>
      <c r="B27" s="4">
        <f>VLOOKUP(A27,PriceData!$K$4:$L$6,2,FALSE)</f>
        <v>1100</v>
      </c>
      <c r="C27" s="46">
        <f>VLOOKUP(A27,PriceData!$K$4:$M$6,3,FALSE)</f>
        <v>0.02</v>
      </c>
      <c r="D27" s="4" t="s">
        <v>59</v>
      </c>
      <c r="E27" s="4" t="s">
        <v>57</v>
      </c>
      <c r="F27" s="4">
        <v>-20</v>
      </c>
      <c r="G27" s="4">
        <v>1034</v>
      </c>
      <c r="H27" s="4" t="s">
        <v>60</v>
      </c>
      <c r="I27" s="5">
        <v>40347</v>
      </c>
      <c r="J27" s="46">
        <f t="shared" si="0"/>
        <v>0.3956302003368482</v>
      </c>
      <c r="K27" s="30">
        <f>VLOOKUP(I27,PriceData!$A$5:$D$7,MATCH($E27,PriceData!$A$4:$D$4,0),FALSE)</f>
        <v>1.4999999999999999E-2</v>
      </c>
      <c r="L27" s="2">
        <f t="shared" si="1"/>
        <v>81.239833070783277</v>
      </c>
      <c r="M27" s="2">
        <f t="shared" si="2"/>
        <v>-1624.7966614156655</v>
      </c>
      <c r="N27" s="4" t="s">
        <v>58</v>
      </c>
      <c r="P27" s="60">
        <f t="shared" si="3"/>
        <v>-392.27074492336976</v>
      </c>
      <c r="Q27" s="60">
        <f t="shared" si="4"/>
        <v>780.96803510235679</v>
      </c>
      <c r="R27" s="58">
        <f t="shared" si="5"/>
        <v>2.6918877747556711</v>
      </c>
      <c r="S27" s="58">
        <f t="shared" si="6"/>
        <v>23.96444496808888</v>
      </c>
      <c r="T27" s="58">
        <f t="shared" si="7"/>
        <v>-0.33693812454965388</v>
      </c>
      <c r="U27" s="2">
        <f t="shared" si="8"/>
        <v>-2.0626899150978177</v>
      </c>
      <c r="V27" s="65">
        <f t="shared" si="9"/>
        <v>7845.4148984673957</v>
      </c>
      <c r="W27" s="65">
        <f t="shared" si="10"/>
        <v>-15619.360702047135</v>
      </c>
      <c r="X27" s="66">
        <f t="shared" si="11"/>
        <v>-53.83775549511342</v>
      </c>
      <c r="Y27" s="66">
        <f t="shared" si="12"/>
        <v>-479.28889936177762</v>
      </c>
      <c r="Z27" s="66">
        <f t="shared" si="13"/>
        <v>6.7387624909930777</v>
      </c>
      <c r="AA27" s="66">
        <f t="shared" si="14"/>
        <v>41.253798301956351</v>
      </c>
      <c r="AB27" s="66">
        <f t="shared" si="15"/>
        <v>-2268.7467392356748</v>
      </c>
      <c r="AC27" s="66">
        <f t="shared" si="16"/>
        <v>-951.92621228428038</v>
      </c>
      <c r="AD27" s="66">
        <f t="shared" si="17"/>
        <v>-432.80156866851144</v>
      </c>
      <c r="AE27" s="66">
        <f t="shared" si="18"/>
        <v>-163.25350689346578</v>
      </c>
      <c r="AF27" s="66">
        <f t="shared" si="19"/>
        <v>150.760789623763</v>
      </c>
      <c r="AG27" s="66">
        <f t="shared" si="20"/>
        <v>354.81352785208969</v>
      </c>
      <c r="AH27" s="66">
        <f t="shared" si="21"/>
        <v>641.30740988204252</v>
      </c>
      <c r="AI27" s="66">
        <f t="shared" si="22"/>
        <v>1049.0827014080951</v>
      </c>
      <c r="AJ27" s="66">
        <f t="shared" si="23"/>
        <v>534.6993502705061</v>
      </c>
      <c r="AK27" s="66">
        <f t="shared" si="24"/>
        <v>268.45026536531236</v>
      </c>
      <c r="AL27" s="66">
        <f t="shared" si="25"/>
        <v>107.57136612725958</v>
      </c>
      <c r="AM27" s="66">
        <f t="shared" si="26"/>
        <v>53.812778944453612</v>
      </c>
      <c r="AN27" s="66">
        <f t="shared" si="27"/>
        <v>-53.860751973987817</v>
      </c>
      <c r="AO27" s="66">
        <f t="shared" si="28"/>
        <v>-107.76378919792137</v>
      </c>
      <c r="AP27" s="66">
        <f t="shared" si="29"/>
        <v>-269.67647905553463</v>
      </c>
      <c r="AQ27" s="66">
        <f t="shared" si="30"/>
        <v>-539.96156361235649</v>
      </c>
    </row>
    <row r="28" spans="1:43" x14ac:dyDescent="0.35">
      <c r="A28" s="3" t="s">
        <v>55</v>
      </c>
      <c r="B28" s="4">
        <f>VLOOKUP(A28,PriceData!$K$4:$L$6,2,FALSE)</f>
        <v>1100</v>
      </c>
      <c r="C28" s="46">
        <f>VLOOKUP(A28,PriceData!$K$4:$M$6,3,FALSE)</f>
        <v>0.02</v>
      </c>
      <c r="D28" s="4" t="s">
        <v>59</v>
      </c>
      <c r="E28" s="4" t="s">
        <v>57</v>
      </c>
      <c r="F28" s="4">
        <v>-20</v>
      </c>
      <c r="G28" s="4">
        <v>1034</v>
      </c>
      <c r="H28" s="4" t="s">
        <v>62</v>
      </c>
      <c r="I28" s="5">
        <v>40347</v>
      </c>
      <c r="J28" s="46">
        <f t="shared" si="0"/>
        <v>0.3956302003368482</v>
      </c>
      <c r="K28" s="30">
        <f>VLOOKUP(I28,PriceData!$A$5:$D$7,MATCH($E28,PriceData!$A$4:$D$4,0),FALSE)</f>
        <v>1.4999999999999999E-2</v>
      </c>
      <c r="L28" s="2">
        <f t="shared" si="1"/>
        <v>144.43228295286826</v>
      </c>
      <c r="M28" s="2">
        <f t="shared" si="2"/>
        <v>-2888.6456590573653</v>
      </c>
      <c r="N28" s="4" t="s">
        <v>64</v>
      </c>
      <c r="P28" s="60">
        <f t="shared" si="3"/>
        <v>698.18732002678712</v>
      </c>
      <c r="Q28" s="60">
        <f t="shared" si="4"/>
        <v>780.96803510235679</v>
      </c>
      <c r="R28" s="58">
        <f t="shared" si="5"/>
        <v>2.6918877747556711</v>
      </c>
      <c r="S28" s="58">
        <f t="shared" si="6"/>
        <v>23.96444496808888</v>
      </c>
      <c r="T28" s="58">
        <f t="shared" si="7"/>
        <v>-0.31940339284285374</v>
      </c>
      <c r="U28" s="2">
        <f t="shared" si="8"/>
        <v>2.4122479697192634</v>
      </c>
      <c r="V28" s="65">
        <f t="shared" si="9"/>
        <v>-13963.746400535743</v>
      </c>
      <c r="W28" s="65">
        <f t="shared" si="10"/>
        <v>-15619.360702047135</v>
      </c>
      <c r="X28" s="66">
        <f t="shared" si="11"/>
        <v>-53.83775549511342</v>
      </c>
      <c r="Y28" s="66">
        <f t="shared" si="12"/>
        <v>-479.28889936177762</v>
      </c>
      <c r="Z28" s="66">
        <f t="shared" si="13"/>
        <v>6.3880678568570746</v>
      </c>
      <c r="AA28" s="66">
        <f t="shared" si="14"/>
        <v>-48.244959394385269</v>
      </c>
      <c r="AB28" s="66">
        <f t="shared" si="15"/>
        <v>2093.0855205649541</v>
      </c>
      <c r="AC28" s="66">
        <f t="shared" si="16"/>
        <v>1228.9899176160327</v>
      </c>
      <c r="AD28" s="66">
        <f t="shared" si="17"/>
        <v>657.65649628164624</v>
      </c>
      <c r="AE28" s="66">
        <f t="shared" si="18"/>
        <v>272.92971908659638</v>
      </c>
      <c r="AF28" s="66">
        <f t="shared" si="19"/>
        <v>-285.4224363563003</v>
      </c>
      <c r="AG28" s="66">
        <f t="shared" si="20"/>
        <v>-735.64453709806685</v>
      </c>
      <c r="AH28" s="66">
        <f t="shared" si="21"/>
        <v>-1539.6087200182751</v>
      </c>
      <c r="AI28" s="66">
        <f t="shared" si="22"/>
        <v>-3312.7495583925315</v>
      </c>
      <c r="AJ28" s="66">
        <f t="shared" si="23"/>
        <v>534.69935027050724</v>
      </c>
      <c r="AK28" s="66">
        <f t="shared" si="24"/>
        <v>268.4502653653135</v>
      </c>
      <c r="AL28" s="66">
        <f t="shared" si="25"/>
        <v>107.57136612726072</v>
      </c>
      <c r="AM28" s="66">
        <f t="shared" si="26"/>
        <v>53.812778944457023</v>
      </c>
      <c r="AN28" s="66">
        <f t="shared" si="27"/>
        <v>-53.860751973984407</v>
      </c>
      <c r="AO28" s="66">
        <f t="shared" si="28"/>
        <v>-107.76378919792251</v>
      </c>
      <c r="AP28" s="66">
        <f t="shared" si="29"/>
        <v>-269.67647905553349</v>
      </c>
      <c r="AQ28" s="66">
        <f t="shared" si="30"/>
        <v>-539.96156361235535</v>
      </c>
    </row>
    <row r="29" spans="1:43" x14ac:dyDescent="0.35">
      <c r="A29" s="3" t="s">
        <v>55</v>
      </c>
      <c r="B29" s="4">
        <f>VLOOKUP(A29,PriceData!$K$4:$L$6,2,FALSE)</f>
        <v>1100</v>
      </c>
      <c r="C29" s="46">
        <f>VLOOKUP(A29,PriceData!$K$4:$M$6,3,FALSE)</f>
        <v>0.02</v>
      </c>
      <c r="D29" s="4" t="s">
        <v>59</v>
      </c>
      <c r="E29" s="4" t="s">
        <v>57</v>
      </c>
      <c r="F29" s="4">
        <v>-50</v>
      </c>
      <c r="G29" s="4">
        <v>1100</v>
      </c>
      <c r="H29" s="4" t="s">
        <v>60</v>
      </c>
      <c r="I29" s="5">
        <v>40438</v>
      </c>
      <c r="J29" s="46">
        <f t="shared" si="0"/>
        <v>0.32918394622393538</v>
      </c>
      <c r="K29" s="30">
        <f>VLOOKUP(I29,PriceData!$A$5:$D$7,MATCH($E29,PriceData!$A$4:$D$4,0),FALSE)</f>
        <v>1.7500000000000002E-2</v>
      </c>
      <c r="L29" s="2">
        <f t="shared" si="1"/>
        <v>118.59680567678924</v>
      </c>
      <c r="M29" s="2">
        <f t="shared" si="2"/>
        <v>-5929.8402838394622</v>
      </c>
      <c r="N29" s="4" t="s">
        <v>58</v>
      </c>
      <c r="P29" s="60">
        <f t="shared" si="3"/>
        <v>-486.43182499065125</v>
      </c>
      <c r="Q29" s="60">
        <f t="shared" si="4"/>
        <v>787.76257807430693</v>
      </c>
      <c r="R29" s="58">
        <f t="shared" si="5"/>
        <v>3.5523122484663197</v>
      </c>
      <c r="S29" s="58">
        <f t="shared" si="6"/>
        <v>-19.980728286368912</v>
      </c>
      <c r="T29" s="58">
        <f t="shared" si="7"/>
        <v>-0.23151840944527557</v>
      </c>
      <c r="U29" s="2">
        <f t="shared" si="8"/>
        <v>-4.1440317169002752</v>
      </c>
      <c r="V29" s="65">
        <f t="shared" si="9"/>
        <v>24321.591249532561</v>
      </c>
      <c r="W29" s="65">
        <f t="shared" si="10"/>
        <v>-39388.128903715347</v>
      </c>
      <c r="X29" s="66">
        <f t="shared" si="11"/>
        <v>-177.61561242331598</v>
      </c>
      <c r="Y29" s="66">
        <f t="shared" si="12"/>
        <v>999.03641431844562</v>
      </c>
      <c r="Z29" s="66">
        <f t="shared" si="13"/>
        <v>11.575920472263778</v>
      </c>
      <c r="AA29" s="66">
        <f t="shared" si="14"/>
        <v>207.20158584501377</v>
      </c>
      <c r="AB29" s="66">
        <f t="shared" si="15"/>
        <v>-6525.7043175777599</v>
      </c>
      <c r="AC29" s="66">
        <f t="shared" si="16"/>
        <v>-2841.635806580166</v>
      </c>
      <c r="AD29" s="66">
        <f t="shared" si="17"/>
        <v>-1316.7544207529374</v>
      </c>
      <c r="AE29" s="66">
        <f t="shared" si="18"/>
        <v>-502.33686711316921</v>
      </c>
      <c r="AF29" s="66">
        <f t="shared" si="19"/>
        <v>470.83667441358728</v>
      </c>
      <c r="AG29" s="66">
        <f t="shared" si="20"/>
        <v>1120.2167528955897</v>
      </c>
      <c r="AH29" s="66">
        <f t="shared" si="21"/>
        <v>2060.3323644505335</v>
      </c>
      <c r="AI29" s="66">
        <f t="shared" si="22"/>
        <v>3478.4057984120354</v>
      </c>
      <c r="AJ29" s="66">
        <f t="shared" si="23"/>
        <v>1780.6471107973352</v>
      </c>
      <c r="AK29" s="66">
        <f t="shared" si="24"/>
        <v>889.26405955456005</v>
      </c>
      <c r="AL29" s="66">
        <f t="shared" si="25"/>
        <v>355.42702094321612</v>
      </c>
      <c r="AM29" s="66">
        <f t="shared" si="26"/>
        <v>177.66506316395407</v>
      </c>
      <c r="AN29" s="66">
        <f t="shared" si="27"/>
        <v>-177.56516014717363</v>
      </c>
      <c r="AO29" s="66">
        <f t="shared" si="28"/>
        <v>-355.02741638073019</v>
      </c>
      <c r="AP29" s="66">
        <f t="shared" si="29"/>
        <v>-886.76686172520078</v>
      </c>
      <c r="AQ29" s="66">
        <f t="shared" si="30"/>
        <v>-1770.6631919971983</v>
      </c>
    </row>
    <row r="30" spans="1:43" x14ac:dyDescent="0.35">
      <c r="A30" s="3" t="s">
        <v>55</v>
      </c>
      <c r="B30" s="4">
        <f>VLOOKUP(A30,PriceData!$K$4:$L$6,2,FALSE)</f>
        <v>1100</v>
      </c>
      <c r="C30" s="46">
        <f>VLOOKUP(A30,PriceData!$K$4:$M$6,3,FALSE)</f>
        <v>0.02</v>
      </c>
      <c r="D30" s="4" t="s">
        <v>59</v>
      </c>
      <c r="E30" s="4" t="s">
        <v>57</v>
      </c>
      <c r="F30" s="4">
        <v>-50</v>
      </c>
      <c r="G30" s="4">
        <v>1232</v>
      </c>
      <c r="H30" s="4" t="s">
        <v>62</v>
      </c>
      <c r="I30" s="5">
        <v>40438</v>
      </c>
      <c r="J30" s="46">
        <f t="shared" si="0"/>
        <v>0.29936102282234395</v>
      </c>
      <c r="K30" s="30">
        <f>VLOOKUP(I30,PriceData!$A$5:$D$7,MATCH($E30,PriceData!$A$4:$D$4,0),FALSE)</f>
        <v>1.7500000000000002E-2</v>
      </c>
      <c r="L30" s="2">
        <f t="shared" si="1"/>
        <v>59.289572408836989</v>
      </c>
      <c r="M30" s="2">
        <f t="shared" si="2"/>
        <v>-2964.4786204418497</v>
      </c>
      <c r="N30" s="4" t="s">
        <v>63</v>
      </c>
      <c r="P30" s="60">
        <f t="shared" si="3"/>
        <v>397.94134081509833</v>
      </c>
      <c r="Q30" s="60">
        <f t="shared" si="4"/>
        <v>824.39306315836268</v>
      </c>
      <c r="R30" s="58">
        <f t="shared" si="5"/>
        <v>3.3807006930785297</v>
      </c>
      <c r="S30" s="58">
        <f t="shared" si="6"/>
        <v>226.15930520422793</v>
      </c>
      <c r="T30" s="58">
        <f t="shared" si="7"/>
        <v>-0.1968417271132874</v>
      </c>
      <c r="U30" s="2">
        <f t="shared" si="8"/>
        <v>2.3195326603168582</v>
      </c>
      <c r="V30" s="65">
        <f t="shared" si="9"/>
        <v>-19897.067040754915</v>
      </c>
      <c r="W30" s="65">
        <f t="shared" si="10"/>
        <v>-41219.653157918132</v>
      </c>
      <c r="X30" s="66">
        <f t="shared" si="11"/>
        <v>-169.03503465392649</v>
      </c>
      <c r="Y30" s="66">
        <f t="shared" si="12"/>
        <v>-11307.965260211397</v>
      </c>
      <c r="Z30" s="66">
        <f t="shared" si="13"/>
        <v>9.842086355664371</v>
      </c>
      <c r="AA30" s="66">
        <f t="shared" si="14"/>
        <v>-115.97663301584291</v>
      </c>
      <c r="AB30" s="66">
        <f t="shared" si="15"/>
        <v>2463.090691505085</v>
      </c>
      <c r="AC30" s="66">
        <f t="shared" si="16"/>
        <v>1588.4498398637816</v>
      </c>
      <c r="AD30" s="66">
        <f t="shared" si="17"/>
        <v>892.80697654870949</v>
      </c>
      <c r="AE30" s="66">
        <f t="shared" si="18"/>
        <v>381.50375604068643</v>
      </c>
      <c r="AF30" s="66">
        <f t="shared" si="19"/>
        <v>-414.46132408125891</v>
      </c>
      <c r="AG30" s="66">
        <f t="shared" si="20"/>
        <v>-1098.1982199473634</v>
      </c>
      <c r="AH30" s="66">
        <f t="shared" si="21"/>
        <v>-2401.6520789648439</v>
      </c>
      <c r="AI30" s="66">
        <f t="shared" si="22"/>
        <v>-5589.2226157340074</v>
      </c>
      <c r="AJ30" s="66">
        <f t="shared" si="23"/>
        <v>1606.119245635236</v>
      </c>
      <c r="AK30" s="66">
        <f t="shared" si="24"/>
        <v>828.17318739766961</v>
      </c>
      <c r="AL30" s="66">
        <f t="shared" si="25"/>
        <v>335.64222249501086</v>
      </c>
      <c r="AM30" s="66">
        <f t="shared" si="26"/>
        <v>168.44948627618805</v>
      </c>
      <c r="AN30" s="66">
        <f t="shared" si="27"/>
        <v>-169.58143760607527</v>
      </c>
      <c r="AO30" s="66">
        <f t="shared" si="28"/>
        <v>-340.18393234360644</v>
      </c>
      <c r="AP30" s="66">
        <f t="shared" si="29"/>
        <v>-857.17972353922391</v>
      </c>
      <c r="AQ30" s="66">
        <f t="shared" si="30"/>
        <v>-1731.7822372159044</v>
      </c>
    </row>
    <row r="31" spans="1:43" x14ac:dyDescent="0.35">
      <c r="A31" s="3" t="s">
        <v>55</v>
      </c>
      <c r="B31" s="4">
        <f>VLOOKUP(A31,PriceData!$K$4:$L$6,2,FALSE)</f>
        <v>1100</v>
      </c>
      <c r="C31" s="46">
        <f>VLOOKUP(A31,PriceData!$K$4:$M$6,3,FALSE)</f>
        <v>0.02</v>
      </c>
      <c r="D31" s="4" t="s">
        <v>59</v>
      </c>
      <c r="E31" s="4" t="s">
        <v>57</v>
      </c>
      <c r="F31" s="4">
        <v>-20</v>
      </c>
      <c r="G31" s="4">
        <v>1001</v>
      </c>
      <c r="H31" s="4" t="s">
        <v>60</v>
      </c>
      <c r="I31" s="5">
        <v>40438</v>
      </c>
      <c r="J31" s="46">
        <f t="shared" si="0"/>
        <v>0.39076411312591419</v>
      </c>
      <c r="K31" s="30">
        <f>VLOOKUP(I31,PriceData!$A$5:$D$7,MATCH($E31,PriceData!$A$4:$D$4,0),FALSE)</f>
        <v>1.7500000000000002E-2</v>
      </c>
      <c r="L31" s="2">
        <f t="shared" si="1"/>
        <v>90.608697206694444</v>
      </c>
      <c r="M31" s="2">
        <f t="shared" si="2"/>
        <v>-1812.1739441338889</v>
      </c>
      <c r="N31" s="4" t="s">
        <v>58</v>
      </c>
      <c r="P31" s="60">
        <f t="shared" si="3"/>
        <v>-354.8782990306853</v>
      </c>
      <c r="Q31" s="60">
        <f t="shared" si="4"/>
        <v>605.33736177943922</v>
      </c>
      <c r="R31" s="58">
        <f t="shared" si="5"/>
        <v>3.2403303742153859</v>
      </c>
      <c r="S31" s="58">
        <f t="shared" si="6"/>
        <v>46.302084905898745</v>
      </c>
      <c r="T31" s="58">
        <f t="shared" si="7"/>
        <v>-0.25132738565827906</v>
      </c>
      <c r="U31" s="2">
        <f t="shared" si="8"/>
        <v>-3.051280796146437</v>
      </c>
      <c r="V31" s="65">
        <f t="shared" si="9"/>
        <v>7097.5659806137064</v>
      </c>
      <c r="W31" s="65">
        <f t="shared" si="10"/>
        <v>-12106.747235588784</v>
      </c>
      <c r="X31" s="66">
        <f t="shared" si="11"/>
        <v>-64.806607484307719</v>
      </c>
      <c r="Y31" s="66">
        <f t="shared" si="12"/>
        <v>-926.04169811797487</v>
      </c>
      <c r="Z31" s="66">
        <f t="shared" si="13"/>
        <v>5.0265477131655807</v>
      </c>
      <c r="AA31" s="66">
        <f t="shared" si="14"/>
        <v>61.025615922928736</v>
      </c>
      <c r="AB31" s="66">
        <f t="shared" si="15"/>
        <v>-1973.6309371659684</v>
      </c>
      <c r="AC31" s="66">
        <f t="shared" si="16"/>
        <v>-840.16339896624004</v>
      </c>
      <c r="AD31" s="66">
        <f t="shared" si="17"/>
        <v>-386.33500472885771</v>
      </c>
      <c r="AE31" s="66">
        <f t="shared" si="18"/>
        <v>-146.87074896051286</v>
      </c>
      <c r="AF31" s="66">
        <f t="shared" si="19"/>
        <v>137.18583256479178</v>
      </c>
      <c r="AG31" s="66">
        <f t="shared" si="20"/>
        <v>325.82040490949453</v>
      </c>
      <c r="AH31" s="66">
        <f t="shared" si="21"/>
        <v>598.35341452289867</v>
      </c>
      <c r="AI31" s="66">
        <f t="shared" si="22"/>
        <v>1011.4435157894928</v>
      </c>
      <c r="AJ31" s="66">
        <f t="shared" si="23"/>
        <v>640.97149354270869</v>
      </c>
      <c r="AK31" s="66">
        <f t="shared" si="24"/>
        <v>322.60741817639428</v>
      </c>
      <c r="AL31" s="66">
        <f t="shared" si="25"/>
        <v>129.41207096405492</v>
      </c>
      <c r="AM31" s="66">
        <f t="shared" si="26"/>
        <v>64.758359209421315</v>
      </c>
      <c r="AN31" s="66">
        <f t="shared" si="27"/>
        <v>-64.851048364217831</v>
      </c>
      <c r="AO31" s="66">
        <f t="shared" si="28"/>
        <v>-129.78384983375577</v>
      </c>
      <c r="AP31" s="66">
        <f t="shared" si="29"/>
        <v>-324.97640691410538</v>
      </c>
      <c r="AQ31" s="66">
        <f t="shared" si="30"/>
        <v>-651.13481636467668</v>
      </c>
    </row>
    <row r="32" spans="1:43" x14ac:dyDescent="0.35">
      <c r="A32" s="3" t="s">
        <v>55</v>
      </c>
      <c r="B32" s="4">
        <f>VLOOKUP(A32,PriceData!$K$4:$L$6,2,FALSE)</f>
        <v>1100</v>
      </c>
      <c r="C32" s="46">
        <f>VLOOKUP(A32,PriceData!$K$4:$M$6,3,FALSE)</f>
        <v>0.02</v>
      </c>
      <c r="D32" s="4" t="s">
        <v>59</v>
      </c>
      <c r="E32" s="4" t="s">
        <v>57</v>
      </c>
      <c r="F32" s="4">
        <v>-50</v>
      </c>
      <c r="G32" s="4">
        <v>1067</v>
      </c>
      <c r="H32" s="4" t="s">
        <v>60</v>
      </c>
      <c r="I32" s="5">
        <v>40438</v>
      </c>
      <c r="J32" s="46">
        <f t="shared" si="0"/>
        <v>0.3454428185513545</v>
      </c>
      <c r="K32" s="30">
        <f>VLOOKUP(I32,PriceData!$A$5:$D$7,MATCH($E32,PriceData!$A$4:$D$4,0),FALSE)</f>
        <v>1.7500000000000002E-2</v>
      </c>
      <c r="L32" s="2">
        <f t="shared" si="1"/>
        <v>106.82093528205399</v>
      </c>
      <c r="M32" s="2">
        <f t="shared" si="2"/>
        <v>-5341.0467641026999</v>
      </c>
      <c r="N32" s="4" t="s">
        <v>58</v>
      </c>
      <c r="P32" s="60">
        <f t="shared" si="3"/>
        <v>-438.14776974407386</v>
      </c>
      <c r="Q32" s="60">
        <f t="shared" si="4"/>
        <v>734.93496720134749</v>
      </c>
      <c r="R32" s="58">
        <f t="shared" si="5"/>
        <v>3.4777809112600107</v>
      </c>
      <c r="S32" s="58">
        <f t="shared" si="6"/>
        <v>-10.392413374442203</v>
      </c>
      <c r="T32" s="58">
        <f t="shared" si="7"/>
        <v>-0.23815434848788067</v>
      </c>
      <c r="U32" s="2">
        <f t="shared" si="8"/>
        <v>-3.7326623631926568</v>
      </c>
      <c r="V32" s="65">
        <f t="shared" si="9"/>
        <v>21907.388487203694</v>
      </c>
      <c r="W32" s="65">
        <f t="shared" si="10"/>
        <v>-36746.748360067373</v>
      </c>
      <c r="X32" s="66">
        <f t="shared" si="11"/>
        <v>-173.88904556300054</v>
      </c>
      <c r="Y32" s="66">
        <f t="shared" si="12"/>
        <v>519.62066872211017</v>
      </c>
      <c r="Z32" s="66">
        <f t="shared" si="13"/>
        <v>11.907717424394033</v>
      </c>
      <c r="AA32" s="66">
        <f t="shared" si="14"/>
        <v>186.63311815963283</v>
      </c>
      <c r="AB32" s="66">
        <f t="shared" si="15"/>
        <v>-5981.3718183015881</v>
      </c>
      <c r="AC32" s="66">
        <f t="shared" si="16"/>
        <v>-2578.2218016231441</v>
      </c>
      <c r="AD32" s="66">
        <f t="shared" si="17"/>
        <v>-1189.9218885197483</v>
      </c>
      <c r="AE32" s="66">
        <f t="shared" si="18"/>
        <v>-453.02434697494505</v>
      </c>
      <c r="AF32" s="66">
        <f t="shared" si="19"/>
        <v>423.63376614927972</v>
      </c>
      <c r="AG32" s="66">
        <f t="shared" si="20"/>
        <v>1006.4551230999797</v>
      </c>
      <c r="AH32" s="66">
        <f t="shared" si="21"/>
        <v>1847.5946007458247</v>
      </c>
      <c r="AI32" s="66">
        <f t="shared" si="22"/>
        <v>3112.5749136997997</v>
      </c>
      <c r="AJ32" s="66">
        <f t="shared" si="23"/>
        <v>1739.9558775634573</v>
      </c>
      <c r="AK32" s="66">
        <f t="shared" si="24"/>
        <v>869.92521641501526</v>
      </c>
      <c r="AL32" s="66">
        <f t="shared" si="25"/>
        <v>347.87180605590322</v>
      </c>
      <c r="AM32" s="66">
        <f t="shared" si="26"/>
        <v>173.91377402336161</v>
      </c>
      <c r="AN32" s="66">
        <f t="shared" si="27"/>
        <v>-173.86185519486901</v>
      </c>
      <c r="AO32" s="66">
        <f t="shared" si="28"/>
        <v>-347.66465131062034</v>
      </c>
      <c r="AP32" s="66">
        <f t="shared" si="29"/>
        <v>-868.65373200570559</v>
      </c>
      <c r="AQ32" s="66">
        <f t="shared" si="30"/>
        <v>-1735.2303311545541</v>
      </c>
    </row>
    <row r="33" spans="1:43" x14ac:dyDescent="0.35">
      <c r="A33" s="3" t="s">
        <v>55</v>
      </c>
      <c r="B33" s="4">
        <f>VLOOKUP(A33,PriceData!$K$4:$L$6,2,FALSE)</f>
        <v>1100</v>
      </c>
      <c r="C33" s="46">
        <f>VLOOKUP(A33,PriceData!$K$4:$M$6,3,FALSE)</f>
        <v>0.02</v>
      </c>
      <c r="D33" s="4" t="s">
        <v>59</v>
      </c>
      <c r="E33" s="4" t="s">
        <v>57</v>
      </c>
      <c r="F33" s="4">
        <v>-50</v>
      </c>
      <c r="G33" s="4">
        <v>1067</v>
      </c>
      <c r="H33" s="4" t="s">
        <v>62</v>
      </c>
      <c r="I33" s="5">
        <v>40438</v>
      </c>
      <c r="J33" s="46">
        <f t="shared" si="0"/>
        <v>0.3454428185513545</v>
      </c>
      <c r="K33" s="30">
        <f>VLOOKUP(I33,PriceData!$A$5:$D$7,MATCH($E33,PriceData!$A$4:$D$4,0),FALSE)</f>
        <v>1.7500000000000002E-2</v>
      </c>
      <c r="L33" s="2">
        <f t="shared" si="1"/>
        <v>137.56822151290169</v>
      </c>
      <c r="M33" s="2">
        <f t="shared" si="2"/>
        <v>-6878.4110756450846</v>
      </c>
      <c r="N33" s="4" t="s">
        <v>64</v>
      </c>
      <c r="P33" s="60">
        <f t="shared" si="3"/>
        <v>646.88647629865511</v>
      </c>
      <c r="Q33" s="60">
        <f t="shared" si="4"/>
        <v>734.93496720134749</v>
      </c>
      <c r="R33" s="58">
        <f t="shared" si="5"/>
        <v>3.4777809112600107</v>
      </c>
      <c r="S33" s="58">
        <f t="shared" si="6"/>
        <v>-10.392413374442203</v>
      </c>
      <c r="T33" s="58">
        <f t="shared" si="7"/>
        <v>-0.22924842212035557</v>
      </c>
      <c r="U33" s="2">
        <f t="shared" si="8"/>
        <v>3.4884811971626948</v>
      </c>
      <c r="V33" s="65">
        <f t="shared" si="9"/>
        <v>-32344.323814932755</v>
      </c>
      <c r="W33" s="65">
        <f t="shared" si="10"/>
        <v>-36746.748360067373</v>
      </c>
      <c r="X33" s="66">
        <f t="shared" si="11"/>
        <v>-173.88904556300054</v>
      </c>
      <c r="Y33" s="66">
        <f t="shared" si="12"/>
        <v>519.62066872211017</v>
      </c>
      <c r="Z33" s="66">
        <f t="shared" si="13"/>
        <v>11.462421106017779</v>
      </c>
      <c r="AA33" s="66">
        <f t="shared" si="14"/>
        <v>-174.42405985813474</v>
      </c>
      <c r="AB33" s="66">
        <f t="shared" si="15"/>
        <v>4868.9706421257069</v>
      </c>
      <c r="AC33" s="66">
        <f t="shared" si="16"/>
        <v>2846.9494285905002</v>
      </c>
      <c r="AD33" s="66">
        <f t="shared" si="17"/>
        <v>1522.6637265870891</v>
      </c>
      <c r="AE33" s="66">
        <f t="shared" si="18"/>
        <v>632.00989906778489</v>
      </c>
      <c r="AF33" s="66">
        <f t="shared" si="19"/>
        <v>-661.40047989343316</v>
      </c>
      <c r="AG33" s="66">
        <f t="shared" si="20"/>
        <v>-1706.130492006838</v>
      </c>
      <c r="AH33" s="66">
        <f t="shared" si="21"/>
        <v>-3577.5766294678192</v>
      </c>
      <c r="AI33" s="66">
        <f t="shared" si="22"/>
        <v>-7737.7675467274912</v>
      </c>
      <c r="AJ33" s="66">
        <f t="shared" si="23"/>
        <v>1739.9558775634603</v>
      </c>
      <c r="AK33" s="66">
        <f t="shared" si="24"/>
        <v>869.92521641501526</v>
      </c>
      <c r="AL33" s="66">
        <f t="shared" si="25"/>
        <v>347.87180605591175</v>
      </c>
      <c r="AM33" s="66">
        <f t="shared" si="26"/>
        <v>173.9137740233673</v>
      </c>
      <c r="AN33" s="66">
        <f t="shared" si="27"/>
        <v>-173.86185519486048</v>
      </c>
      <c r="AO33" s="66">
        <f t="shared" si="28"/>
        <v>-347.66465131061466</v>
      </c>
      <c r="AP33" s="66">
        <f t="shared" si="29"/>
        <v>-868.65373200569991</v>
      </c>
      <c r="AQ33" s="66">
        <f t="shared" si="30"/>
        <v>-1735.2303311545484</v>
      </c>
    </row>
    <row r="34" spans="1:43" x14ac:dyDescent="0.35">
      <c r="A34" s="3" t="s">
        <v>1</v>
      </c>
      <c r="B34" s="4">
        <f>VLOOKUP(A34,PriceData!$K$4:$L$6,2,FALSE)</f>
        <v>2905</v>
      </c>
      <c r="C34" s="46">
        <f>VLOOKUP(A34,PriceData!$K$4:$M$6,3,FALSE)</f>
        <v>2.1999999999999999E-2</v>
      </c>
      <c r="D34" s="4" t="s">
        <v>56</v>
      </c>
      <c r="E34" s="4" t="s">
        <v>65</v>
      </c>
      <c r="F34" s="4">
        <v>20</v>
      </c>
      <c r="H34" s="4"/>
      <c r="I34" s="5">
        <v>40256</v>
      </c>
      <c r="J34" s="46">
        <f t="shared" si="0"/>
        <v>0</v>
      </c>
      <c r="K34" s="30"/>
      <c r="L34" s="2">
        <f t="shared" si="1"/>
        <v>2893.1178463623419</v>
      </c>
      <c r="M34" s="2">
        <f t="shared" si="2"/>
        <v>57862.356927246838</v>
      </c>
      <c r="N34" s="4" t="s">
        <v>58</v>
      </c>
      <c r="P34" s="60">
        <f t="shared" si="3"/>
        <v>2893.1178463623419</v>
      </c>
      <c r="Q34" s="60">
        <f t="shared" si="4"/>
        <v>0</v>
      </c>
      <c r="R34" s="58">
        <f t="shared" si="5"/>
        <v>0</v>
      </c>
      <c r="S34" s="58">
        <f t="shared" si="6"/>
        <v>0</v>
      </c>
      <c r="T34" s="58">
        <f t="shared" si="7"/>
        <v>0.17437970580814116</v>
      </c>
      <c r="U34" s="2">
        <f t="shared" si="8"/>
        <v>5.389918179524364</v>
      </c>
      <c r="V34" s="65">
        <f t="shared" si="9"/>
        <v>57862.356927246838</v>
      </c>
      <c r="W34" s="65">
        <f t="shared" si="10"/>
        <v>0</v>
      </c>
      <c r="X34" s="66">
        <f t="shared" si="11"/>
        <v>0</v>
      </c>
      <c r="Y34" s="66">
        <f t="shared" si="12"/>
        <v>0</v>
      </c>
      <c r="Z34" s="66">
        <f t="shared" si="13"/>
        <v>3.487594116162823</v>
      </c>
      <c r="AA34" s="66">
        <f t="shared" si="14"/>
        <v>107.79836359048728</v>
      </c>
      <c r="AB34" s="66">
        <f t="shared" si="15"/>
        <v>-11572.471385449362</v>
      </c>
      <c r="AC34" s="66">
        <f t="shared" si="16"/>
        <v>-5786.2356927246765</v>
      </c>
      <c r="AD34" s="66">
        <f t="shared" si="17"/>
        <v>-2893.1178463623382</v>
      </c>
      <c r="AE34" s="66">
        <f t="shared" si="18"/>
        <v>-1157.2471385449353</v>
      </c>
      <c r="AF34" s="66">
        <f t="shared" si="19"/>
        <v>1157.2471385449353</v>
      </c>
      <c r="AG34" s="66">
        <f t="shared" si="20"/>
        <v>2893.1178463623473</v>
      </c>
      <c r="AH34" s="66">
        <f t="shared" si="21"/>
        <v>5786.2356927246947</v>
      </c>
      <c r="AI34" s="66">
        <f t="shared" si="22"/>
        <v>11572.471385449371</v>
      </c>
      <c r="AJ34" s="66">
        <f t="shared" si="23"/>
        <v>0</v>
      </c>
      <c r="AK34" s="66">
        <f t="shared" si="24"/>
        <v>0</v>
      </c>
      <c r="AL34" s="66">
        <f t="shared" si="25"/>
        <v>0</v>
      </c>
      <c r="AM34" s="66">
        <f t="shared" si="26"/>
        <v>0</v>
      </c>
      <c r="AN34" s="66">
        <f t="shared" si="27"/>
        <v>0</v>
      </c>
      <c r="AO34" s="66">
        <f t="shared" si="28"/>
        <v>0</v>
      </c>
      <c r="AP34" s="66">
        <f t="shared" si="29"/>
        <v>0</v>
      </c>
      <c r="AQ34" s="66">
        <f t="shared" si="30"/>
        <v>0</v>
      </c>
    </row>
    <row r="35" spans="1:43" x14ac:dyDescent="0.35">
      <c r="A35" s="3" t="s">
        <v>1</v>
      </c>
      <c r="B35" s="4">
        <f>VLOOKUP(A35,PriceData!$K$4:$L$6,2,FALSE)</f>
        <v>2905</v>
      </c>
      <c r="C35" s="46">
        <f>VLOOKUP(A35,PriceData!$K$4:$M$6,3,FALSE)</f>
        <v>2.1999999999999999E-2</v>
      </c>
      <c r="D35" s="4" t="s">
        <v>59</v>
      </c>
      <c r="E35" s="4" t="s">
        <v>65</v>
      </c>
      <c r="F35" s="4">
        <v>-20</v>
      </c>
      <c r="G35" s="4">
        <v>2992</v>
      </c>
      <c r="H35" s="4" t="s">
        <v>62</v>
      </c>
      <c r="I35" s="5">
        <v>40256</v>
      </c>
      <c r="J35" s="46">
        <f t="shared" si="0"/>
        <v>0.39756798563679596</v>
      </c>
      <c r="K35" s="30">
        <f>VLOOKUP(I35,PriceData!$A$5:$D$7,MATCH($E35,PriceData!$A$4:$D$4,0),FALSE)</f>
        <v>2.1999999999999999E-2</v>
      </c>
      <c r="L35" s="2">
        <f t="shared" si="1"/>
        <v>160.41055787487358</v>
      </c>
      <c r="M35" s="2">
        <f t="shared" si="2"/>
        <v>-3208.2111574974715</v>
      </c>
      <c r="N35" s="4" t="s">
        <v>61</v>
      </c>
      <c r="P35" s="60">
        <f t="shared" si="3"/>
        <v>1347.236298191099</v>
      </c>
      <c r="Q35" s="60">
        <f t="shared" si="4"/>
        <v>3350.5394623296156</v>
      </c>
      <c r="R35" s="58">
        <f t="shared" si="5"/>
        <v>4.963318974727593</v>
      </c>
      <c r="S35" s="58">
        <f t="shared" si="6"/>
        <v>27.726046042558011</v>
      </c>
      <c r="T35" s="58">
        <f t="shared" si="7"/>
        <v>-1.4412554822936774</v>
      </c>
      <c r="U35" s="2">
        <f t="shared" si="8"/>
        <v>2.2110726120959812</v>
      </c>
      <c r="V35" s="65">
        <f t="shared" si="9"/>
        <v>-26944.72596382198</v>
      </c>
      <c r="W35" s="65">
        <f t="shared" si="10"/>
        <v>-67010.789246592307</v>
      </c>
      <c r="X35" s="66">
        <f t="shared" si="11"/>
        <v>-99.266379494551856</v>
      </c>
      <c r="Y35" s="66">
        <f t="shared" si="12"/>
        <v>-554.52092085116021</v>
      </c>
      <c r="Z35" s="66">
        <f t="shared" si="13"/>
        <v>28.825109645873546</v>
      </c>
      <c r="AA35" s="66">
        <f t="shared" si="14"/>
        <v>-44.221452241919621</v>
      </c>
      <c r="AB35" s="66">
        <f t="shared" si="15"/>
        <v>2927.6957365832741</v>
      </c>
      <c r="AC35" s="66">
        <f t="shared" si="16"/>
        <v>2032.8698726651942</v>
      </c>
      <c r="AD35" s="66">
        <f t="shared" si="17"/>
        <v>1179.5221979879761</v>
      </c>
      <c r="AE35" s="66">
        <f t="shared" si="18"/>
        <v>512.03141146863345</v>
      </c>
      <c r="AF35" s="66">
        <f t="shared" si="19"/>
        <v>-565.58075673166059</v>
      </c>
      <c r="AG35" s="66">
        <f t="shared" si="20"/>
        <v>-1512.2736120139643</v>
      </c>
      <c r="AH35" s="66">
        <f t="shared" si="21"/>
        <v>-3336.998095872209</v>
      </c>
      <c r="AI35" s="66">
        <f t="shared" si="22"/>
        <v>-7756.8691302200205</v>
      </c>
      <c r="AJ35" s="66">
        <f t="shared" si="23"/>
        <v>988.58596597709948</v>
      </c>
      <c r="AK35" s="66">
        <f t="shared" si="24"/>
        <v>495.49733007664145</v>
      </c>
      <c r="AL35" s="66">
        <f t="shared" si="25"/>
        <v>198.41346509554114</v>
      </c>
      <c r="AM35" s="66">
        <f t="shared" si="26"/>
        <v>99.237629477834162</v>
      </c>
      <c r="AN35" s="66">
        <f t="shared" si="27"/>
        <v>-99.293127468813509</v>
      </c>
      <c r="AO35" s="66">
        <f t="shared" si="28"/>
        <v>-198.63600919770761</v>
      </c>
      <c r="AP35" s="66">
        <f t="shared" si="29"/>
        <v>-496.91274701455313</v>
      </c>
      <c r="AQ35" s="66">
        <f t="shared" si="30"/>
        <v>-994.61976477246026</v>
      </c>
    </row>
    <row r="36" spans="1:43" x14ac:dyDescent="0.35">
      <c r="A36" s="3" t="s">
        <v>1</v>
      </c>
      <c r="B36" s="4">
        <f>VLOOKUP(A36,PriceData!$K$4:$L$6,2,FALSE)</f>
        <v>2905</v>
      </c>
      <c r="C36" s="46">
        <f>VLOOKUP(A36,PriceData!$K$4:$M$6,3,FALSE)</f>
        <v>2.1999999999999999E-2</v>
      </c>
      <c r="D36" s="4" t="s">
        <v>59</v>
      </c>
      <c r="E36" s="4" t="s">
        <v>65</v>
      </c>
      <c r="F36" s="4">
        <v>-30</v>
      </c>
      <c r="G36" s="4">
        <v>2818</v>
      </c>
      <c r="H36" s="4" t="s">
        <v>62</v>
      </c>
      <c r="I36" s="5">
        <v>40256</v>
      </c>
      <c r="J36" s="46">
        <f t="shared" si="0"/>
        <v>0.4264333531544322</v>
      </c>
      <c r="K36" s="30">
        <f>VLOOKUP(I36,PriceData!$A$5:$D$7,MATCH($E36,PriceData!$A$4:$D$4,0),FALSE)</f>
        <v>2.1999999999999999E-2</v>
      </c>
      <c r="L36" s="2">
        <f t="shared" si="1"/>
        <v>255.12202571128637</v>
      </c>
      <c r="M36" s="2">
        <f t="shared" si="2"/>
        <v>-7653.6607713385911</v>
      </c>
      <c r="N36" s="4" t="s">
        <v>58</v>
      </c>
      <c r="P36" s="60">
        <f t="shared" si="3"/>
        <v>1740.2041935197692</v>
      </c>
      <c r="Q36" s="60">
        <f t="shared" si="4"/>
        <v>3033.3282242263963</v>
      </c>
      <c r="R36" s="58">
        <f t="shared" si="5"/>
        <v>4.81966236490352</v>
      </c>
      <c r="S36" s="58">
        <f t="shared" si="6"/>
        <v>21.271128855411305</v>
      </c>
      <c r="T36" s="58">
        <f t="shared" si="7"/>
        <v>-1.4958468874075315</v>
      </c>
      <c r="U36" s="2">
        <f t="shared" si="8"/>
        <v>2.7667284222185429</v>
      </c>
      <c r="V36" s="65">
        <f t="shared" si="9"/>
        <v>-52206.125805593074</v>
      </c>
      <c r="W36" s="65">
        <f t="shared" si="10"/>
        <v>-90999.84672679189</v>
      </c>
      <c r="X36" s="66">
        <f t="shared" si="11"/>
        <v>-144.5898709471056</v>
      </c>
      <c r="Y36" s="66">
        <f t="shared" si="12"/>
        <v>-638.13386566233919</v>
      </c>
      <c r="Z36" s="66">
        <f t="shared" si="13"/>
        <v>44.875406622225945</v>
      </c>
      <c r="AA36" s="66">
        <f t="shared" si="14"/>
        <v>-83.001852666556289</v>
      </c>
      <c r="AB36" s="66">
        <f t="shared" si="15"/>
        <v>6585.6149853351308</v>
      </c>
      <c r="AC36" s="66">
        <f t="shared" si="16"/>
        <v>4257.9276795400156</v>
      </c>
      <c r="AD36" s="66">
        <f t="shared" si="17"/>
        <v>2374.8528730218595</v>
      </c>
      <c r="AE36" s="66">
        <f t="shared" si="18"/>
        <v>1007.1679949432701</v>
      </c>
      <c r="AF36" s="66">
        <f t="shared" si="19"/>
        <v>-1079.9160157907136</v>
      </c>
      <c r="AG36" s="66">
        <f t="shared" si="20"/>
        <v>-2827.8278357256841</v>
      </c>
      <c r="AH36" s="66">
        <f t="shared" si="21"/>
        <v>-6045.6347491652514</v>
      </c>
      <c r="AI36" s="66">
        <f t="shared" si="22"/>
        <v>-13359.464803755163</v>
      </c>
      <c r="AJ36" s="66">
        <f t="shared" si="23"/>
        <v>1441.1898700839151</v>
      </c>
      <c r="AK36" s="66">
        <f t="shared" si="24"/>
        <v>721.98492847292073</v>
      </c>
      <c r="AL36" s="66">
        <f t="shared" si="25"/>
        <v>289.04215509558298</v>
      </c>
      <c r="AM36" s="66">
        <f t="shared" si="26"/>
        <v>144.55674613174097</v>
      </c>
      <c r="AN36" s="66">
        <f t="shared" si="27"/>
        <v>-144.62060963782505</v>
      </c>
      <c r="AO36" s="66">
        <f t="shared" si="28"/>
        <v>-289.29821183980721</v>
      </c>
      <c r="AP36" s="66">
        <f t="shared" si="29"/>
        <v>-723.61199407687081</v>
      </c>
      <c r="AQ36" s="66">
        <f t="shared" si="30"/>
        <v>-1448.100336108505</v>
      </c>
    </row>
    <row r="37" spans="1:43" x14ac:dyDescent="0.35">
      <c r="A37" s="3" t="s">
        <v>1</v>
      </c>
      <c r="B37" s="4">
        <f>VLOOKUP(A37,PriceData!$K$4:$L$6,2,FALSE)</f>
        <v>2905</v>
      </c>
      <c r="C37" s="46">
        <f>VLOOKUP(A37,PriceData!$K$4:$M$6,3,FALSE)</f>
        <v>2.1999999999999999E-2</v>
      </c>
      <c r="D37" s="4" t="s">
        <v>59</v>
      </c>
      <c r="E37" s="4" t="s">
        <v>65</v>
      </c>
      <c r="F37" s="4">
        <v>-20</v>
      </c>
      <c r="G37" s="4">
        <v>2992</v>
      </c>
      <c r="H37" s="4" t="s">
        <v>60</v>
      </c>
      <c r="I37" s="5">
        <v>40256</v>
      </c>
      <c r="J37" s="46">
        <f t="shared" ref="J37:J68" si="31">FindImpliedVol(A37, D37, G37, I37)</f>
        <v>0.39756798563679596</v>
      </c>
      <c r="K37" s="30">
        <f>VLOOKUP(I37,PriceData!$A$5:$D$7,MATCH($E37,PriceData!$A$4:$D$4,0),FALSE)</f>
        <v>2.1999999999999999E-2</v>
      </c>
      <c r="L37" s="2">
        <f t="shared" ref="L37:L68" si="32">BSPrice($B37,$J37, $K37, $C37, ($I37-$B$1)/365, $G37, $H37, $D37)</f>
        <v>247.05470680207645</v>
      </c>
      <c r="M37" s="2">
        <f t="shared" ref="M37:M68" si="33">F37*L37</f>
        <v>-4941.0941360415291</v>
      </c>
      <c r="N37" s="4" t="s">
        <v>58</v>
      </c>
      <c r="P37" s="60">
        <f t="shared" ref="P37:P68" si="34">BSDelta(B37, J37, K37, C37, (I37-$B$1)/365, G37, H37, D37)</f>
        <v>-1545.8815481712434</v>
      </c>
      <c r="Q37" s="60">
        <f t="shared" ref="Q37:Q68" si="35">BSGamma(B37, J37, K37, C37, (I37-$B$1)/365, G37, D37)</f>
        <v>3350.5394623296156</v>
      </c>
      <c r="R37" s="58">
        <f t="shared" ref="R37:R68" si="36">BSVega(B37, J37, K37, C37, (I37-$B$1)/365,G37, D37)</f>
        <v>4.963318974727593</v>
      </c>
      <c r="S37" s="58">
        <f t="shared" ref="S37:S68" si="37">BSVolga(B37, J37, K37, C37, (I37-$B$1)/365,G37, D37)</f>
        <v>27.726046042558011</v>
      </c>
      <c r="T37" s="58">
        <f t="shared" ref="T37:T68" si="38">BSTheta(B37,J37,K37, C37, (I37-$B$1)/365, G37, H37, D37)</f>
        <v>-1.4360330952350513</v>
      </c>
      <c r="U37" s="2">
        <f t="shared" ref="U37:U68" si="39">BSRho(B37, J37, K37, C37, (I37-$B$1)/365, G37, H37, D37)</f>
        <v>-3.3402648037859111</v>
      </c>
      <c r="V37" s="65">
        <f t="shared" ref="V37:V68" si="40">$F37*$P37</f>
        <v>30917.630963424868</v>
      </c>
      <c r="W37" s="65">
        <f t="shared" ref="W37:W68" si="41">$F37*$Q37</f>
        <v>-67010.789246592307</v>
      </c>
      <c r="X37" s="66">
        <f t="shared" ref="X37:X68" si="42">$F37*R37</f>
        <v>-99.266379494551856</v>
      </c>
      <c r="Y37" s="66">
        <f t="shared" ref="Y37:Y68" si="43">$F37*S37</f>
        <v>-554.52092085116021</v>
      </c>
      <c r="Z37" s="66">
        <f t="shared" ref="Z37:Z68" si="44">$F37*T37</f>
        <v>28.720661904701025</v>
      </c>
      <c r="AA37" s="66">
        <f t="shared" ref="AA37:AA68" si="45">$F37*U37</f>
        <v>66.805296075718218</v>
      </c>
      <c r="AB37" s="66">
        <f t="shared" ref="AB37:AB68" si="46">(BSPrice($B37*0.8,$J37, $K37, $C37, ($I37-$B$1)/365, $G37, $H37, $D37) - BSPrice($B37,$J37, $K37, $C37, ($I37-$B$1)/365, $G37, $H37, $D37)) * $F37</f>
        <v>-8644.7756488660889</v>
      </c>
      <c r="AC37" s="66">
        <f t="shared" ref="AC37:AC68" si="47">(BSPrice($B37*0.9,$J37, $K37, $C37, ($I37-$B$1)/365, $G37, $H37, $D37) - BSPrice($B37,$J37, $K37, $C37, ($I37-$B$1)/365, $G37, $H37, $D37)) * $F37</f>
        <v>-3753.3658200594755</v>
      </c>
      <c r="AD37" s="66">
        <f t="shared" ref="AD37:AD68" si="48">(BSPrice($B37*0.95,$J37, $K37, $C37, ($I37-$B$1)/365, $G37, $H37, $D37) - BSPrice($B37,$J37, $K37, $C37, ($I37-$B$1)/365, $G37, $H37, $D37)) * $F37</f>
        <v>-1713.5956483743621</v>
      </c>
      <c r="AE37" s="66">
        <f t="shared" ref="AE37:AE68" si="49">(BSPrice($B37*0.98,$J37, $K37, $C37, ($I37-$B$1)/365, $G37, $H37, $D37) - BSPrice($B37,$J37, $K37, $C37, ($I37-$B$1)/365, $G37, $H37, $D37)) * $F37</f>
        <v>-645.21572707630185</v>
      </c>
      <c r="AF37" s="66">
        <f t="shared" ref="AF37:AF68" si="50">(BSPrice($B37*1.02,$J37, $K37, $C37, ($I37-$B$1)/365, $G37, $H37, $D37) - BSPrice($B37,$J37, $K37, $C37, ($I37-$B$1)/365, $G37, $H37, $D37)) * $F37</f>
        <v>591.66638181327016</v>
      </c>
      <c r="AG37" s="66">
        <f t="shared" ref="AG37:AG68" si="51">(BSPrice($B37*1.05,$J37, $K37, $C37, ($I37-$B$1)/365, $G37, $H37, $D37) - BSPrice($B37,$J37, $K37, $C37, ($I37-$B$1)/365, $G37, $H37, $D37)) * $F37</f>
        <v>1380.844234348383</v>
      </c>
      <c r="AH37" s="66">
        <f t="shared" ref="AH37:AH68" si="52">(BSPrice($B37*1.1,$J37, $K37, $C37, ($I37-$B$1)/365, $G37, $H37, $D37) - BSPrice($B37,$J37, $K37, $C37, ($I37-$B$1)/365, $G37, $H37, $D37)) * $F37</f>
        <v>2449.2375968524811</v>
      </c>
      <c r="AI37" s="66">
        <f t="shared" ref="AI37:AI68" si="53">(BSPrice($B37*1.2,$J37, $K37, $C37, ($I37-$B$1)/365, $G37, $H37, $D37) - BSPrice($B37,$J37, $K37, $C37, ($I37-$B$1)/365, $G37, $H37, $D37)) * $F37</f>
        <v>3815.6022552293507</v>
      </c>
      <c r="AJ37" s="66">
        <f t="shared" ref="AJ37:AJ68" si="54">(BSPrice($B37,$J37-0.1, $K37, $C37, ($I37-$B$1)/365, $G37, $H37, $D37) - BSPrice($B37,$J37, $K37, $C37, ($I37-$B$1)/365, $G37, $H37, $D37)) * $F37</f>
        <v>988.58596597710402</v>
      </c>
      <c r="AK37" s="66">
        <f t="shared" ref="AK37:AK68" si="55">(BSPrice($B37,$J37-0.05,$K37,$C37,($I37-$B$1)/365,$G37,$H37,$D37)-BSPrice($B37,$J37,$K37,$C37,($I37-$B$1)/365,$G37,$H37,$D37))*$F37</f>
        <v>495.4973300766369</v>
      </c>
      <c r="AL37" s="66">
        <f t="shared" ref="AL37:AL68" si="56">(BSPrice($B37,$J37-0.02, $K37, $C37, ($I37-$B$1)/365, $G37, $H37, $D37) - BSPrice($B37,$J37, $K37, $C37, ($I37-$B$1)/365, $G37, $H37, $D37)) * $F37</f>
        <v>198.41346509554114</v>
      </c>
      <c r="AM37" s="66">
        <f t="shared" ref="AM37:AM68" si="57">(BSPrice($B37,$J37-0.01, $K37, $C37, ($I37-$B$1)/365, $G37, $H37, $D37) - BSPrice($B37,$J37, $K37, $C37, ($I37-$B$1)/365, $G37, $H37, $D37)) * $F37</f>
        <v>99.237629477834162</v>
      </c>
      <c r="AN37" s="66">
        <f t="shared" ref="AN37:AN68" si="58">(BSPrice($B37,$J37+0.01, $K37, $C37, ($I37-$B$1)/365, $G37, $H37, $D37) - BSPrice($B37,$J37, $K37, $C37, ($I37-$B$1)/365, $G37, $H37, $D37)) * $F37</f>
        <v>-99.293127468818057</v>
      </c>
      <c r="AO37" s="66">
        <f t="shared" ref="AO37:AO68" si="59">(BSPrice($B37,$J37+0.02, $K37, $C37, ($I37-$B$1)/365, $G37, $H37, $D37) - BSPrice($B37,$J37, $K37, $C37, ($I37-$B$1)/365, $G37, $H37, $D37)) * $F37</f>
        <v>-198.63600919770306</v>
      </c>
      <c r="AP37" s="66">
        <f t="shared" ref="AP37:AP68" si="60">(BSPrice($B37,$J37+0.05, $K37, $C37, ($I37-$B$1)/365, $G37, $H37, $D37) - BSPrice($B37,$J37, $K37, $C37, ($I37-$B$1)/365, $G37, $H37, $D37)) * $F37</f>
        <v>-496.91274701454859</v>
      </c>
      <c r="AQ37" s="66">
        <f t="shared" ref="AQ37:AQ68" si="61">(BSPrice($B37,$J37+0.1, $K37, $C37, ($I37-$B$1)/365, $G37, $H37, $D37) - BSPrice($B37,$J37, $K37, $C37, ($I37-$B$1)/365, $G37, $H37, $D37)) * $F37</f>
        <v>-994.61976477246026</v>
      </c>
    </row>
    <row r="38" spans="1:43" x14ac:dyDescent="0.35">
      <c r="A38" s="3" t="s">
        <v>1</v>
      </c>
      <c r="B38" s="4">
        <f>VLOOKUP(A38,PriceData!$K$4:$L$6,2,FALSE)</f>
        <v>2905</v>
      </c>
      <c r="C38" s="46">
        <f>VLOOKUP(A38,PriceData!$K$4:$M$6,3,FALSE)</f>
        <v>2.1999999999999999E-2</v>
      </c>
      <c r="D38" s="4" t="s">
        <v>59</v>
      </c>
      <c r="E38" s="4" t="s">
        <v>65</v>
      </c>
      <c r="F38" s="4">
        <v>-25</v>
      </c>
      <c r="G38" s="4">
        <v>2556</v>
      </c>
      <c r="H38" s="4" t="s">
        <v>60</v>
      </c>
      <c r="I38" s="5">
        <v>40256</v>
      </c>
      <c r="J38" s="46">
        <f t="shared" si="31"/>
        <v>0.50139327707893011</v>
      </c>
      <c r="K38" s="30">
        <f>VLOOKUP(I38,PriceData!$A$5:$D$7,MATCH($E38,PriceData!$A$4:$D$4,0),FALSE)</f>
        <v>2.1999999999999999E-2</v>
      </c>
      <c r="L38" s="2">
        <f t="shared" si="32"/>
        <v>100.13754085596645</v>
      </c>
      <c r="M38" s="2">
        <f t="shared" si="33"/>
        <v>-2503.4385213991613</v>
      </c>
      <c r="N38" s="4" t="s">
        <v>58</v>
      </c>
      <c r="P38" s="60">
        <f t="shared" si="34"/>
        <v>-700.37470971974722</v>
      </c>
      <c r="Q38" s="60">
        <f t="shared" si="35"/>
        <v>2087.7268891218614</v>
      </c>
      <c r="R38" s="58">
        <f t="shared" si="36"/>
        <v>3.9003019949379456</v>
      </c>
      <c r="S38" s="58">
        <f t="shared" si="37"/>
        <v>262.97250574999822</v>
      </c>
      <c r="T38" s="58">
        <f t="shared" si="38"/>
        <v>-1.4318946058702244</v>
      </c>
      <c r="U38" s="2">
        <f t="shared" si="39"/>
        <v>-1.4913652887437956</v>
      </c>
      <c r="V38" s="65">
        <f t="shared" si="40"/>
        <v>17509.36774299368</v>
      </c>
      <c r="W38" s="65">
        <f t="shared" si="41"/>
        <v>-52193.172228046533</v>
      </c>
      <c r="X38" s="66">
        <f t="shared" si="42"/>
        <v>-97.507549873448639</v>
      </c>
      <c r="Y38" s="66">
        <f t="shared" si="43"/>
        <v>-6574.3126437499559</v>
      </c>
      <c r="Z38" s="66">
        <f t="shared" si="44"/>
        <v>35.79736514675561</v>
      </c>
      <c r="AA38" s="66">
        <f t="shared" si="45"/>
        <v>37.284132218594891</v>
      </c>
      <c r="AB38" s="66">
        <f t="shared" si="46"/>
        <v>-6115.0864334906064</v>
      </c>
      <c r="AC38" s="66">
        <f t="shared" si="47"/>
        <v>-2344.89092809969</v>
      </c>
      <c r="AD38" s="66">
        <f t="shared" si="48"/>
        <v>-1015.1204631460388</v>
      </c>
      <c r="AE38" s="66">
        <f t="shared" si="49"/>
        <v>-371.65373752202697</v>
      </c>
      <c r="AF38" s="66">
        <f t="shared" si="50"/>
        <v>329.89812275912413</v>
      </c>
      <c r="AG38" s="66">
        <f t="shared" si="51"/>
        <v>754.11930016369411</v>
      </c>
      <c r="AH38" s="66">
        <f t="shared" si="52"/>
        <v>1300.840423119547</v>
      </c>
      <c r="AI38" s="66">
        <f t="shared" si="53"/>
        <v>1958.5909790047324</v>
      </c>
      <c r="AJ38" s="66">
        <f t="shared" si="54"/>
        <v>934.87556966086629</v>
      </c>
      <c r="AK38" s="66">
        <f t="shared" si="55"/>
        <v>478.48571924180021</v>
      </c>
      <c r="AL38" s="66">
        <f t="shared" si="56"/>
        <v>193.64959378565061</v>
      </c>
      <c r="AM38" s="66">
        <f t="shared" si="57"/>
        <v>97.172610709998253</v>
      </c>
      <c r="AN38" s="66">
        <f t="shared" si="58"/>
        <v>-97.830245716636455</v>
      </c>
      <c r="AO38" s="66">
        <f t="shared" si="59"/>
        <v>-196.28258101871552</v>
      </c>
      <c r="AP38" s="66">
        <f t="shared" si="60"/>
        <v>-495.0495600311541</v>
      </c>
      <c r="AQ38" s="66">
        <f t="shared" si="61"/>
        <v>-1002.7040410372791</v>
      </c>
    </row>
    <row r="39" spans="1:43" x14ac:dyDescent="0.35">
      <c r="A39" s="3" t="s">
        <v>1</v>
      </c>
      <c r="B39" s="4">
        <f>VLOOKUP(A39,PriceData!$K$4:$L$6,2,FALSE)</f>
        <v>2905</v>
      </c>
      <c r="C39" s="46">
        <f>VLOOKUP(A39,PriceData!$K$4:$M$6,3,FALSE)</f>
        <v>2.1999999999999999E-2</v>
      </c>
      <c r="D39" s="4" t="s">
        <v>59</v>
      </c>
      <c r="E39" s="4" t="s">
        <v>65</v>
      </c>
      <c r="F39" s="4">
        <v>-50</v>
      </c>
      <c r="G39" s="4">
        <v>3079</v>
      </c>
      <c r="H39" s="4" t="s">
        <v>62</v>
      </c>
      <c r="I39" s="5">
        <v>40256</v>
      </c>
      <c r="J39" s="46">
        <f t="shared" si="31"/>
        <v>0.38870814783338209</v>
      </c>
      <c r="K39" s="30">
        <f>VLOOKUP(I39,PriceData!$A$5:$D$7,MATCH($E39,PriceData!$A$4:$D$4,0),FALSE)</f>
        <v>2.1999999999999999E-2</v>
      </c>
      <c r="L39" s="2">
        <f t="shared" si="32"/>
        <v>124.39082072260032</v>
      </c>
      <c r="M39" s="2">
        <f t="shared" si="33"/>
        <v>-6219.5410361300164</v>
      </c>
      <c r="N39" s="4" t="s">
        <v>61</v>
      </c>
      <c r="P39" s="60">
        <f t="shared" si="34"/>
        <v>1146.6592317215129</v>
      </c>
      <c r="Q39" s="60">
        <f t="shared" si="35"/>
        <v>3322.8744596476458</v>
      </c>
      <c r="R39" s="58">
        <f t="shared" si="36"/>
        <v>4.8126427186350194</v>
      </c>
      <c r="S39" s="58">
        <f t="shared" si="37"/>
        <v>140.12612368576524</v>
      </c>
      <c r="T39" s="58">
        <f t="shared" si="38"/>
        <v>-1.3680270573624032</v>
      </c>
      <c r="U39" s="2">
        <f t="shared" si="39"/>
        <v>1.9045000533678369</v>
      </c>
      <c r="V39" s="65">
        <f t="shared" si="40"/>
        <v>-57332.961586075646</v>
      </c>
      <c r="W39" s="65">
        <f t="shared" si="41"/>
        <v>-166143.72298238229</v>
      </c>
      <c r="X39" s="66">
        <f t="shared" si="42"/>
        <v>-240.63213593175098</v>
      </c>
      <c r="Y39" s="66">
        <f t="shared" si="43"/>
        <v>-7006.3061842882616</v>
      </c>
      <c r="Z39" s="66">
        <f t="shared" si="44"/>
        <v>68.401352868120156</v>
      </c>
      <c r="AA39" s="66">
        <f t="shared" si="45"/>
        <v>-95.225002668391852</v>
      </c>
      <c r="AB39" s="66">
        <f t="shared" si="46"/>
        <v>5788.216150180805</v>
      </c>
      <c r="AC39" s="66">
        <f t="shared" si="47"/>
        <v>4152.2203299065695</v>
      </c>
      <c r="AD39" s="66">
        <f t="shared" si="48"/>
        <v>2458.3186651695487</v>
      </c>
      <c r="AE39" s="66">
        <f t="shared" si="49"/>
        <v>1080.5322968184385</v>
      </c>
      <c r="AF39" s="66">
        <f t="shared" si="50"/>
        <v>-1213.2890104581691</v>
      </c>
      <c r="AG39" s="66">
        <f t="shared" si="51"/>
        <v>-3282.8994369081383</v>
      </c>
      <c r="AH39" s="66">
        <f t="shared" si="52"/>
        <v>-7379.3667934422101</v>
      </c>
      <c r="AI39" s="66">
        <f t="shared" si="53"/>
        <v>-17692.622076504638</v>
      </c>
      <c r="AJ39" s="66">
        <f t="shared" si="54"/>
        <v>2358.9068876758688</v>
      </c>
      <c r="AK39" s="66">
        <f t="shared" si="55"/>
        <v>1193.0653551317221</v>
      </c>
      <c r="AL39" s="66">
        <f t="shared" si="56"/>
        <v>479.78386915639248</v>
      </c>
      <c r="AM39" s="66">
        <f t="shared" si="57"/>
        <v>240.27217038625963</v>
      </c>
      <c r="AN39" s="66">
        <f t="shared" si="58"/>
        <v>-240.97325167210215</v>
      </c>
      <c r="AO39" s="66">
        <f t="shared" si="59"/>
        <v>-482.59361474369484</v>
      </c>
      <c r="AP39" s="66">
        <f t="shared" si="60"/>
        <v>-1210.8667181325529</v>
      </c>
      <c r="AQ39" s="66">
        <f t="shared" si="61"/>
        <v>-2433.7470305245515</v>
      </c>
    </row>
    <row r="40" spans="1:43" x14ac:dyDescent="0.35">
      <c r="A40" s="3" t="s">
        <v>1</v>
      </c>
      <c r="B40" s="4">
        <f>VLOOKUP(A40,PriceData!$K$4:$L$6,2,FALSE)</f>
        <v>2905</v>
      </c>
      <c r="C40" s="46">
        <f>VLOOKUP(A40,PriceData!$K$4:$M$6,3,FALSE)</f>
        <v>2.1999999999999999E-2</v>
      </c>
      <c r="D40" s="4" t="s">
        <v>59</v>
      </c>
      <c r="E40" s="4" t="s">
        <v>65</v>
      </c>
      <c r="F40" s="4">
        <v>25</v>
      </c>
      <c r="G40" s="4">
        <v>2469</v>
      </c>
      <c r="H40" s="4" t="s">
        <v>60</v>
      </c>
      <c r="I40" s="5">
        <v>40256</v>
      </c>
      <c r="J40" s="46">
        <f t="shared" si="31"/>
        <v>0.53427360882026176</v>
      </c>
      <c r="K40" s="30">
        <f>VLOOKUP(I40,PriceData!$A$5:$D$7,MATCH($E40,PriceData!$A$4:$D$4,0),FALSE)</f>
        <v>2.1999999999999999E-2</v>
      </c>
      <c r="L40" s="2">
        <f t="shared" si="32"/>
        <v>86.784698579854762</v>
      </c>
      <c r="M40" s="2">
        <f t="shared" si="33"/>
        <v>2169.6174644963689</v>
      </c>
      <c r="N40" s="4" t="s">
        <v>58</v>
      </c>
      <c r="P40" s="60">
        <f t="shared" si="34"/>
        <v>-595.89279390581737</v>
      </c>
      <c r="Q40" s="60">
        <f t="shared" si="35"/>
        <v>1787.2730758930818</v>
      </c>
      <c r="R40" s="58">
        <f t="shared" si="36"/>
        <v>3.5579568691462296</v>
      </c>
      <c r="S40" s="58">
        <f t="shared" si="37"/>
        <v>322.30979330273726</v>
      </c>
      <c r="T40" s="58">
        <f t="shared" si="38"/>
        <v>-1.392506241827222</v>
      </c>
      <c r="U40" s="2">
        <f t="shared" si="39"/>
        <v>-1.2718375202472794</v>
      </c>
      <c r="V40" s="65">
        <f t="shared" si="40"/>
        <v>-14897.319847645434</v>
      </c>
      <c r="W40" s="65">
        <f t="shared" si="41"/>
        <v>44681.826897327046</v>
      </c>
      <c r="X40" s="66">
        <f t="shared" si="42"/>
        <v>88.948921728655733</v>
      </c>
      <c r="Y40" s="66">
        <f t="shared" si="43"/>
        <v>8057.7448325684318</v>
      </c>
      <c r="Z40" s="66">
        <f t="shared" si="44"/>
        <v>-34.812656045680548</v>
      </c>
      <c r="AA40" s="66">
        <f t="shared" si="45"/>
        <v>-31.795938006181984</v>
      </c>
      <c r="AB40" s="66">
        <f t="shared" si="46"/>
        <v>5299.320915809787</v>
      </c>
      <c r="AC40" s="66">
        <f t="shared" si="47"/>
        <v>2005.5424289164052</v>
      </c>
      <c r="AD40" s="66">
        <f t="shared" si="48"/>
        <v>865.17041418761664</v>
      </c>
      <c r="AE40" s="66">
        <f t="shared" si="49"/>
        <v>316.36573890552881</v>
      </c>
      <c r="AF40" s="66">
        <f t="shared" si="50"/>
        <v>-280.61252664572578</v>
      </c>
      <c r="AG40" s="66">
        <f t="shared" si="51"/>
        <v>-641.46428343261027</v>
      </c>
      <c r="AH40" s="66">
        <f t="shared" si="52"/>
        <v>-1107.4791026280282</v>
      </c>
      <c r="AI40" s="66">
        <f t="shared" si="53"/>
        <v>-1673.6053580214716</v>
      </c>
      <c r="AJ40" s="66">
        <f t="shared" si="54"/>
        <v>-841.51680115733575</v>
      </c>
      <c r="AK40" s="66">
        <f t="shared" si="55"/>
        <v>-433.78414570350401</v>
      </c>
      <c r="AL40" s="66">
        <f t="shared" si="56"/>
        <v>-176.23193586175319</v>
      </c>
      <c r="AM40" s="66">
        <f t="shared" si="57"/>
        <v>-88.53933811197976</v>
      </c>
      <c r="AN40" s="66">
        <f t="shared" si="58"/>
        <v>89.345301949646228</v>
      </c>
      <c r="AO40" s="66">
        <f t="shared" si="59"/>
        <v>179.45806471068977</v>
      </c>
      <c r="AP40" s="66">
        <f t="shared" si="60"/>
        <v>454.04724229219937</v>
      </c>
      <c r="AQ40" s="66">
        <f t="shared" si="61"/>
        <v>924.01309077244491</v>
      </c>
    </row>
    <row r="41" spans="1:43" x14ac:dyDescent="0.35">
      <c r="A41" s="3" t="s">
        <v>1</v>
      </c>
      <c r="B41" s="4">
        <f>VLOOKUP(A41,PriceData!$K$4:$L$6,2,FALSE)</f>
        <v>2905</v>
      </c>
      <c r="C41" s="46">
        <f>VLOOKUP(A41,PriceData!$K$4:$M$6,3,FALSE)</f>
        <v>2.1999999999999999E-2</v>
      </c>
      <c r="D41" s="4" t="s">
        <v>59</v>
      </c>
      <c r="E41" s="4" t="s">
        <v>65</v>
      </c>
      <c r="F41" s="4">
        <v>-20</v>
      </c>
      <c r="G41" s="4">
        <v>2992</v>
      </c>
      <c r="H41" s="4" t="s">
        <v>60</v>
      </c>
      <c r="I41" s="5">
        <v>40256</v>
      </c>
      <c r="J41" s="46">
        <f t="shared" si="31"/>
        <v>0.39756798563679596</v>
      </c>
      <c r="K41" s="30">
        <f>VLOOKUP(I41,PriceData!$A$5:$D$7,MATCH($E41,PriceData!$A$4:$D$4,0),FALSE)</f>
        <v>2.1999999999999999E-2</v>
      </c>
      <c r="L41" s="2">
        <f t="shared" si="32"/>
        <v>247.05470680207645</v>
      </c>
      <c r="M41" s="2">
        <f t="shared" si="33"/>
        <v>-4941.0941360415291</v>
      </c>
      <c r="N41" s="4" t="s">
        <v>58</v>
      </c>
      <c r="P41" s="60">
        <f t="shared" si="34"/>
        <v>-1545.8815481712434</v>
      </c>
      <c r="Q41" s="60">
        <f t="shared" si="35"/>
        <v>3350.5394623296156</v>
      </c>
      <c r="R41" s="58">
        <f t="shared" si="36"/>
        <v>4.963318974727593</v>
      </c>
      <c r="S41" s="58">
        <f t="shared" si="37"/>
        <v>27.726046042558011</v>
      </c>
      <c r="T41" s="58">
        <f t="shared" si="38"/>
        <v>-1.4360330952350513</v>
      </c>
      <c r="U41" s="2">
        <f t="shared" si="39"/>
        <v>-3.3402648037859111</v>
      </c>
      <c r="V41" s="65">
        <f t="shared" si="40"/>
        <v>30917.630963424868</v>
      </c>
      <c r="W41" s="65">
        <f t="shared" si="41"/>
        <v>-67010.789246592307</v>
      </c>
      <c r="X41" s="66">
        <f t="shared" si="42"/>
        <v>-99.266379494551856</v>
      </c>
      <c r="Y41" s="66">
        <f t="shared" si="43"/>
        <v>-554.52092085116021</v>
      </c>
      <c r="Z41" s="66">
        <f t="shared" si="44"/>
        <v>28.720661904701025</v>
      </c>
      <c r="AA41" s="66">
        <f t="shared" si="45"/>
        <v>66.805296075718218</v>
      </c>
      <c r="AB41" s="66">
        <f t="shared" si="46"/>
        <v>-8644.7756488660889</v>
      </c>
      <c r="AC41" s="66">
        <f t="shared" si="47"/>
        <v>-3753.3658200594755</v>
      </c>
      <c r="AD41" s="66">
        <f t="shared" si="48"/>
        <v>-1713.5956483743621</v>
      </c>
      <c r="AE41" s="66">
        <f t="shared" si="49"/>
        <v>-645.21572707630185</v>
      </c>
      <c r="AF41" s="66">
        <f t="shared" si="50"/>
        <v>591.66638181327016</v>
      </c>
      <c r="AG41" s="66">
        <f t="shared" si="51"/>
        <v>1380.844234348383</v>
      </c>
      <c r="AH41" s="66">
        <f t="shared" si="52"/>
        <v>2449.2375968524811</v>
      </c>
      <c r="AI41" s="66">
        <f t="shared" si="53"/>
        <v>3815.6022552293507</v>
      </c>
      <c r="AJ41" s="66">
        <f t="shared" si="54"/>
        <v>988.58596597710402</v>
      </c>
      <c r="AK41" s="66">
        <f t="shared" si="55"/>
        <v>495.4973300766369</v>
      </c>
      <c r="AL41" s="66">
        <f t="shared" si="56"/>
        <v>198.41346509554114</v>
      </c>
      <c r="AM41" s="66">
        <f t="shared" si="57"/>
        <v>99.237629477834162</v>
      </c>
      <c r="AN41" s="66">
        <f t="shared" si="58"/>
        <v>-99.293127468818057</v>
      </c>
      <c r="AO41" s="66">
        <f t="shared" si="59"/>
        <v>-198.63600919770306</v>
      </c>
      <c r="AP41" s="66">
        <f t="shared" si="60"/>
        <v>-496.91274701454859</v>
      </c>
      <c r="AQ41" s="66">
        <f t="shared" si="61"/>
        <v>-994.61976477246026</v>
      </c>
    </row>
    <row r="42" spans="1:43" x14ac:dyDescent="0.35">
      <c r="A42" s="3" t="s">
        <v>1</v>
      </c>
      <c r="B42" s="4">
        <f>VLOOKUP(A42,PriceData!$K$4:$L$6,2,FALSE)</f>
        <v>2905</v>
      </c>
      <c r="C42" s="46">
        <f>VLOOKUP(A42,PriceData!$K$4:$M$6,3,FALSE)</f>
        <v>2.1999999999999999E-2</v>
      </c>
      <c r="D42" s="4" t="s">
        <v>59</v>
      </c>
      <c r="E42" s="4" t="s">
        <v>65</v>
      </c>
      <c r="F42" s="4">
        <v>-10</v>
      </c>
      <c r="G42" s="4">
        <v>2556</v>
      </c>
      <c r="H42" s="4" t="s">
        <v>60</v>
      </c>
      <c r="I42" s="5">
        <v>40256</v>
      </c>
      <c r="J42" s="46">
        <f t="shared" si="31"/>
        <v>0.50139327707893011</v>
      </c>
      <c r="K42" s="30">
        <f>VLOOKUP(I42,PriceData!$A$5:$D$7,MATCH($E42,PriceData!$A$4:$D$4,0),FALSE)</f>
        <v>2.1999999999999999E-2</v>
      </c>
      <c r="L42" s="2">
        <f t="shared" si="32"/>
        <v>100.13754085596645</v>
      </c>
      <c r="M42" s="2">
        <f t="shared" si="33"/>
        <v>-1001.3754085596645</v>
      </c>
      <c r="N42" s="4" t="s">
        <v>66</v>
      </c>
      <c r="P42" s="60">
        <f t="shared" si="34"/>
        <v>-700.37470971974722</v>
      </c>
      <c r="Q42" s="60">
        <f t="shared" si="35"/>
        <v>2087.7268891218614</v>
      </c>
      <c r="R42" s="58">
        <f t="shared" si="36"/>
        <v>3.9003019949379456</v>
      </c>
      <c r="S42" s="58">
        <f t="shared" si="37"/>
        <v>262.97250574999822</v>
      </c>
      <c r="T42" s="58">
        <f t="shared" si="38"/>
        <v>-1.4318946058702244</v>
      </c>
      <c r="U42" s="2">
        <f t="shared" si="39"/>
        <v>-1.4913652887437956</v>
      </c>
      <c r="V42" s="65">
        <f t="shared" si="40"/>
        <v>7003.7470971974726</v>
      </c>
      <c r="W42" s="65">
        <f t="shared" si="41"/>
        <v>-20877.268891218613</v>
      </c>
      <c r="X42" s="66">
        <f t="shared" si="42"/>
        <v>-39.003019949379457</v>
      </c>
      <c r="Y42" s="66">
        <f t="shared" si="43"/>
        <v>-2629.7250574999821</v>
      </c>
      <c r="Z42" s="66">
        <f t="shared" si="44"/>
        <v>14.318946058702245</v>
      </c>
      <c r="AA42" s="66">
        <f t="shared" si="45"/>
        <v>14.913652887437955</v>
      </c>
      <c r="AB42" s="66">
        <f t="shared" si="46"/>
        <v>-2446.0345733962422</v>
      </c>
      <c r="AC42" s="66">
        <f t="shared" si="47"/>
        <v>-937.95637123987603</v>
      </c>
      <c r="AD42" s="66">
        <f t="shared" si="48"/>
        <v>-406.04818525841551</v>
      </c>
      <c r="AE42" s="66">
        <f t="shared" si="49"/>
        <v>-148.66149500881079</v>
      </c>
      <c r="AF42" s="66">
        <f t="shared" si="50"/>
        <v>131.95924910364965</v>
      </c>
      <c r="AG42" s="66">
        <f t="shared" si="51"/>
        <v>301.64772006547764</v>
      </c>
      <c r="AH42" s="66">
        <f t="shared" si="52"/>
        <v>520.33616924781882</v>
      </c>
      <c r="AI42" s="66">
        <f t="shared" si="53"/>
        <v>783.43639160189298</v>
      </c>
      <c r="AJ42" s="66">
        <f t="shared" si="54"/>
        <v>373.95022786434652</v>
      </c>
      <c r="AK42" s="66">
        <f t="shared" si="55"/>
        <v>191.39428769672008</v>
      </c>
      <c r="AL42" s="66">
        <f t="shared" si="56"/>
        <v>77.459837514260244</v>
      </c>
      <c r="AM42" s="66">
        <f t="shared" si="57"/>
        <v>38.869044283999301</v>
      </c>
      <c r="AN42" s="66">
        <f t="shared" si="58"/>
        <v>-39.132098286654582</v>
      </c>
      <c r="AO42" s="66">
        <f t="shared" si="59"/>
        <v>-78.513032407486207</v>
      </c>
      <c r="AP42" s="66">
        <f t="shared" si="60"/>
        <v>-198.01982401246164</v>
      </c>
      <c r="AQ42" s="66">
        <f t="shared" si="61"/>
        <v>-401.08161641491165</v>
      </c>
    </row>
    <row r="43" spans="1:43" x14ac:dyDescent="0.35">
      <c r="A43" s="3" t="s">
        <v>1</v>
      </c>
      <c r="B43" s="4">
        <f>VLOOKUP(A43,PriceData!$K$4:$L$6,2,FALSE)</f>
        <v>2905</v>
      </c>
      <c r="C43" s="46">
        <f>VLOOKUP(A43,PriceData!$K$4:$M$6,3,FALSE)</f>
        <v>2.1999999999999999E-2</v>
      </c>
      <c r="D43" s="4" t="s">
        <v>59</v>
      </c>
      <c r="E43" s="4" t="s">
        <v>65</v>
      </c>
      <c r="F43" s="4">
        <v>-10</v>
      </c>
      <c r="G43" s="4">
        <v>3079</v>
      </c>
      <c r="H43" s="4" t="s">
        <v>62</v>
      </c>
      <c r="I43" s="5">
        <v>40256</v>
      </c>
      <c r="J43" s="46">
        <f t="shared" si="31"/>
        <v>0.38870814783338209</v>
      </c>
      <c r="K43" s="30">
        <f>VLOOKUP(I43,PriceData!$A$5:$D$7,MATCH($E43,PriceData!$A$4:$D$4,0),FALSE)</f>
        <v>2.1999999999999999E-2</v>
      </c>
      <c r="L43" s="2">
        <f t="shared" si="32"/>
        <v>124.39082072260032</v>
      </c>
      <c r="M43" s="2">
        <f t="shared" si="33"/>
        <v>-1243.9082072260032</v>
      </c>
      <c r="N43" s="4" t="s">
        <v>58</v>
      </c>
      <c r="P43" s="60">
        <f t="shared" si="34"/>
        <v>1146.6592317215129</v>
      </c>
      <c r="Q43" s="60">
        <f t="shared" si="35"/>
        <v>3322.8744596476458</v>
      </c>
      <c r="R43" s="58">
        <f t="shared" si="36"/>
        <v>4.8126427186350194</v>
      </c>
      <c r="S43" s="58">
        <f t="shared" si="37"/>
        <v>140.12612368576524</v>
      </c>
      <c r="T43" s="58">
        <f t="shared" si="38"/>
        <v>-1.3680270573624032</v>
      </c>
      <c r="U43" s="2">
        <f t="shared" si="39"/>
        <v>1.9045000533678369</v>
      </c>
      <c r="V43" s="65">
        <f t="shared" si="40"/>
        <v>-11466.592317215129</v>
      </c>
      <c r="W43" s="65">
        <f t="shared" si="41"/>
        <v>-33228.744596476456</v>
      </c>
      <c r="X43" s="66">
        <f t="shared" si="42"/>
        <v>-48.126427186350192</v>
      </c>
      <c r="Y43" s="66">
        <f t="shared" si="43"/>
        <v>-1401.2612368576524</v>
      </c>
      <c r="Z43" s="66">
        <f t="shared" si="44"/>
        <v>13.680270573624032</v>
      </c>
      <c r="AA43" s="66">
        <f t="shared" si="45"/>
        <v>-19.045000533678369</v>
      </c>
      <c r="AB43" s="66">
        <f t="shared" si="46"/>
        <v>1157.643230036161</v>
      </c>
      <c r="AC43" s="66">
        <f t="shared" si="47"/>
        <v>830.44406598131388</v>
      </c>
      <c r="AD43" s="66">
        <f t="shared" si="48"/>
        <v>491.66373303390969</v>
      </c>
      <c r="AE43" s="66">
        <f t="shared" si="49"/>
        <v>216.10645936368769</v>
      </c>
      <c r="AF43" s="66">
        <f t="shared" si="50"/>
        <v>-242.65780209163381</v>
      </c>
      <c r="AG43" s="66">
        <f t="shared" si="51"/>
        <v>-656.57988738162771</v>
      </c>
      <c r="AH43" s="66">
        <f t="shared" si="52"/>
        <v>-1475.8733586884421</v>
      </c>
      <c r="AI43" s="66">
        <f t="shared" si="53"/>
        <v>-3538.5244153009271</v>
      </c>
      <c r="AJ43" s="66">
        <f t="shared" si="54"/>
        <v>471.78137753517376</v>
      </c>
      <c r="AK43" s="66">
        <f t="shared" si="55"/>
        <v>238.61307102634441</v>
      </c>
      <c r="AL43" s="66">
        <f t="shared" si="56"/>
        <v>95.956773831278497</v>
      </c>
      <c r="AM43" s="66">
        <f t="shared" si="57"/>
        <v>48.054434077251926</v>
      </c>
      <c r="AN43" s="66">
        <f t="shared" si="58"/>
        <v>-48.19465033442043</v>
      </c>
      <c r="AO43" s="66">
        <f t="shared" si="59"/>
        <v>-96.518722948738969</v>
      </c>
      <c r="AP43" s="66">
        <f t="shared" si="60"/>
        <v>-242.17334362651059</v>
      </c>
      <c r="AQ43" s="66">
        <f t="shared" si="61"/>
        <v>-486.74940610491035</v>
      </c>
    </row>
    <row r="44" spans="1:43" x14ac:dyDescent="0.35">
      <c r="A44" s="3" t="s">
        <v>1</v>
      </c>
      <c r="B44" s="4">
        <f>VLOOKUP(A44,PriceData!$K$4:$L$6,2,FALSE)</f>
        <v>2905</v>
      </c>
      <c r="C44" s="46">
        <f>VLOOKUP(A44,PriceData!$K$4:$M$6,3,FALSE)</f>
        <v>2.1999999999999999E-2</v>
      </c>
      <c r="D44" s="4" t="s">
        <v>59</v>
      </c>
      <c r="E44" s="4" t="s">
        <v>65</v>
      </c>
      <c r="F44" s="4">
        <v>-25</v>
      </c>
      <c r="G44" s="4">
        <v>3166</v>
      </c>
      <c r="H44" s="4" t="s">
        <v>62</v>
      </c>
      <c r="I44" s="5">
        <v>40256</v>
      </c>
      <c r="J44" s="46">
        <f t="shared" si="31"/>
        <v>0.38287914834035391</v>
      </c>
      <c r="K44" s="30">
        <f>VLOOKUP(I44,PriceData!$A$5:$D$7,MATCH($E44,PriceData!$A$4:$D$4,0),FALSE)</f>
        <v>2.1999999999999999E-2</v>
      </c>
      <c r="L44" s="2">
        <f t="shared" si="32"/>
        <v>95.422994441474202</v>
      </c>
      <c r="M44" s="2">
        <f t="shared" si="33"/>
        <v>-2385.5748610368551</v>
      </c>
      <c r="N44" s="4" t="s">
        <v>58</v>
      </c>
      <c r="P44" s="60">
        <f t="shared" si="34"/>
        <v>956.76087808973671</v>
      </c>
      <c r="Q44" s="60">
        <f t="shared" si="35"/>
        <v>3172.6553278263582</v>
      </c>
      <c r="R44" s="58">
        <f t="shared" si="36"/>
        <v>4.5261678220769141</v>
      </c>
      <c r="S44" s="58">
        <f t="shared" si="37"/>
        <v>312.32347630840945</v>
      </c>
      <c r="T44" s="58">
        <f t="shared" si="38"/>
        <v>-1.2684950071667187</v>
      </c>
      <c r="U44" s="2">
        <f t="shared" si="39"/>
        <v>1.604684276385804</v>
      </c>
      <c r="V44" s="65">
        <f t="shared" si="40"/>
        <v>-23919.021952243416</v>
      </c>
      <c r="W44" s="65">
        <f t="shared" si="41"/>
        <v>-79316.383195658957</v>
      </c>
      <c r="X44" s="66">
        <f t="shared" si="42"/>
        <v>-113.15419555192285</v>
      </c>
      <c r="Y44" s="66">
        <f t="shared" si="43"/>
        <v>-7808.0869077102361</v>
      </c>
      <c r="Z44" s="66">
        <f t="shared" si="44"/>
        <v>31.712375179167967</v>
      </c>
      <c r="AA44" s="66">
        <f t="shared" si="45"/>
        <v>-40.117106909645102</v>
      </c>
      <c r="AB44" s="66">
        <f t="shared" si="46"/>
        <v>2252.889754884714</v>
      </c>
      <c r="AC44" s="66">
        <f t="shared" si="47"/>
        <v>1664.0138565287898</v>
      </c>
      <c r="AD44" s="66">
        <f t="shared" si="48"/>
        <v>1004.5382151197998</v>
      </c>
      <c r="AE44" s="66">
        <f t="shared" si="49"/>
        <v>447.04014662855229</v>
      </c>
      <c r="AF44" s="66">
        <f t="shared" si="50"/>
        <v>-510.4181935768338</v>
      </c>
      <c r="AG44" s="66">
        <f t="shared" si="51"/>
        <v>-1398.2116632781242</v>
      </c>
      <c r="AH44" s="66">
        <f t="shared" si="52"/>
        <v>-3205.1115067577884</v>
      </c>
      <c r="AI44" s="66">
        <f t="shared" si="53"/>
        <v>-7948.8441052768285</v>
      </c>
      <c r="AJ44" s="66">
        <f t="shared" si="54"/>
        <v>1080.0329491628959</v>
      </c>
      <c r="AK44" s="66">
        <f t="shared" si="55"/>
        <v>554.64995760584941</v>
      </c>
      <c r="AL44" s="66">
        <f t="shared" si="56"/>
        <v>224.66588857804766</v>
      </c>
      <c r="AM44" s="66">
        <f t="shared" si="57"/>
        <v>112.75391614762498</v>
      </c>
      <c r="AN44" s="66">
        <f t="shared" si="58"/>
        <v>-113.535165356069</v>
      </c>
      <c r="AO44" s="66">
        <f t="shared" si="59"/>
        <v>-227.79618158045594</v>
      </c>
      <c r="AP44" s="66">
        <f t="shared" si="60"/>
        <v>-574.44863249359628</v>
      </c>
      <c r="AQ44" s="66">
        <f t="shared" si="61"/>
        <v>-1162.7311836047143</v>
      </c>
    </row>
    <row r="45" spans="1:43" x14ac:dyDescent="0.35">
      <c r="A45" s="3" t="s">
        <v>1</v>
      </c>
      <c r="B45" s="4">
        <f>VLOOKUP(A45,PriceData!$K$4:$L$6,2,FALSE)</f>
        <v>2905</v>
      </c>
      <c r="C45" s="46">
        <f>VLOOKUP(A45,PriceData!$K$4:$M$6,3,FALSE)</f>
        <v>2.1999999999999999E-2</v>
      </c>
      <c r="D45" s="4" t="s">
        <v>59</v>
      </c>
      <c r="E45" s="4" t="s">
        <v>65</v>
      </c>
      <c r="F45" s="4">
        <v>50</v>
      </c>
      <c r="G45" s="4">
        <v>3254</v>
      </c>
      <c r="H45" s="4" t="s">
        <v>62</v>
      </c>
      <c r="I45" s="5">
        <v>40256</v>
      </c>
      <c r="J45" s="46">
        <f t="shared" si="31"/>
        <v>0.37949325066550765</v>
      </c>
      <c r="K45" s="30">
        <f>VLOOKUP(I45,PriceData!$A$5:$D$7,MATCH($E45,PriceData!$A$4:$D$4,0),FALSE)</f>
        <v>2.1999999999999999E-2</v>
      </c>
      <c r="L45" s="2">
        <f t="shared" si="32"/>
        <v>72.423370820039963</v>
      </c>
      <c r="M45" s="2">
        <f t="shared" si="33"/>
        <v>3621.1685410019982</v>
      </c>
      <c r="N45" s="4" t="s">
        <v>63</v>
      </c>
      <c r="P45" s="60">
        <f t="shared" si="34"/>
        <v>783.13944121492943</v>
      </c>
      <c r="Q45" s="60">
        <f t="shared" si="35"/>
        <v>2923.756245762359</v>
      </c>
      <c r="R45" s="58">
        <f t="shared" si="36"/>
        <v>4.1341979071967021</v>
      </c>
      <c r="S45" s="58">
        <f t="shared" si="37"/>
        <v>515.31088231063961</v>
      </c>
      <c r="T45" s="58">
        <f t="shared" si="38"/>
        <v>-1.1492378459494941</v>
      </c>
      <c r="U45" s="2">
        <f t="shared" si="39"/>
        <v>1.32407377498226</v>
      </c>
      <c r="V45" s="65">
        <f t="shared" si="40"/>
        <v>39156.97206074647</v>
      </c>
      <c r="W45" s="65">
        <f t="shared" si="41"/>
        <v>146187.81228811794</v>
      </c>
      <c r="X45" s="66">
        <f t="shared" si="42"/>
        <v>206.70989535983512</v>
      </c>
      <c r="Y45" s="66">
        <f t="shared" si="43"/>
        <v>25765.544115531982</v>
      </c>
      <c r="Z45" s="66">
        <f t="shared" si="44"/>
        <v>-57.461892297474705</v>
      </c>
      <c r="AA45" s="66">
        <f t="shared" si="45"/>
        <v>66.203688749112999</v>
      </c>
      <c r="AB45" s="66">
        <f t="shared" si="46"/>
        <v>-3457.4236377011002</v>
      </c>
      <c r="AC45" s="66">
        <f t="shared" si="47"/>
        <v>-2620.3665788104217</v>
      </c>
      <c r="AD45" s="66">
        <f t="shared" si="48"/>
        <v>-1611.309050841166</v>
      </c>
      <c r="AE45" s="66">
        <f t="shared" si="49"/>
        <v>-725.78985448629965</v>
      </c>
      <c r="AF45" s="66">
        <f t="shared" si="50"/>
        <v>842.61339662945716</v>
      </c>
      <c r="AG45" s="66">
        <f t="shared" si="51"/>
        <v>2337.3399581105673</v>
      </c>
      <c r="AH45" s="66">
        <f t="shared" si="52"/>
        <v>5467.8744725270235</v>
      </c>
      <c r="AI45" s="66">
        <f t="shared" si="53"/>
        <v>14060.28208993614</v>
      </c>
      <c r="AJ45" s="66">
        <f t="shared" si="54"/>
        <v>-1901.7258437810483</v>
      </c>
      <c r="AK45" s="66">
        <f t="shared" si="55"/>
        <v>-997.27475883839816</v>
      </c>
      <c r="AL45" s="66">
        <f t="shared" si="56"/>
        <v>-408.02281048275972</v>
      </c>
      <c r="AM45" s="66">
        <f t="shared" si="57"/>
        <v>-205.39176968031825</v>
      </c>
      <c r="AN45" s="66">
        <f t="shared" si="58"/>
        <v>207.9695255443653</v>
      </c>
      <c r="AO45" s="66">
        <f t="shared" si="59"/>
        <v>418.34826801959366</v>
      </c>
      <c r="AP45" s="66">
        <f t="shared" si="60"/>
        <v>1062.444706886879</v>
      </c>
      <c r="AQ45" s="66">
        <f t="shared" si="61"/>
        <v>2171.7305711542053</v>
      </c>
    </row>
    <row r="46" spans="1:43" x14ac:dyDescent="0.35">
      <c r="A46" s="3" t="s">
        <v>1</v>
      </c>
      <c r="B46" s="4">
        <f>VLOOKUP(A46,PriceData!$K$4:$L$6,2,FALSE)</f>
        <v>2905</v>
      </c>
      <c r="C46" s="46">
        <f>VLOOKUP(A46,PriceData!$K$4:$M$6,3,FALSE)</f>
        <v>2.1999999999999999E-2</v>
      </c>
      <c r="D46" s="4" t="s">
        <v>59</v>
      </c>
      <c r="E46" s="4" t="s">
        <v>65</v>
      </c>
      <c r="F46" s="4">
        <v>-20</v>
      </c>
      <c r="G46" s="4">
        <v>3079</v>
      </c>
      <c r="H46" s="4" t="s">
        <v>60</v>
      </c>
      <c r="I46" s="5">
        <v>40256</v>
      </c>
      <c r="J46" s="46">
        <f t="shared" si="31"/>
        <v>0.38870814783338209</v>
      </c>
      <c r="K46" s="30">
        <f>VLOOKUP(I46,PriceData!$A$5:$D$7,MATCH($E46,PriceData!$A$4:$D$4,0),FALSE)</f>
        <v>2.1999999999999999E-2</v>
      </c>
      <c r="L46" s="2">
        <f t="shared" si="32"/>
        <v>297.67911857700619</v>
      </c>
      <c r="M46" s="2">
        <f t="shared" si="33"/>
        <v>-5953.5823715401239</v>
      </c>
      <c r="N46" s="4" t="s">
        <v>58</v>
      </c>
      <c r="P46" s="60">
        <f t="shared" si="34"/>
        <v>-1746.4586146408292</v>
      </c>
      <c r="Q46" s="60">
        <f t="shared" si="35"/>
        <v>3322.8744596476458</v>
      </c>
      <c r="R46" s="58">
        <f t="shared" si="36"/>
        <v>4.8126427186350194</v>
      </c>
      <c r="S46" s="58">
        <f t="shared" si="37"/>
        <v>140.12612368576524</v>
      </c>
      <c r="T46" s="58">
        <f t="shared" si="38"/>
        <v>-1.3575822832451512</v>
      </c>
      <c r="U46" s="2">
        <f t="shared" si="39"/>
        <v>-3.808256598871584</v>
      </c>
      <c r="V46" s="65">
        <f t="shared" si="40"/>
        <v>34929.172292816584</v>
      </c>
      <c r="W46" s="65">
        <f t="shared" si="41"/>
        <v>-66457.489192952911</v>
      </c>
      <c r="X46" s="66">
        <f t="shared" si="42"/>
        <v>-96.252854372700384</v>
      </c>
      <c r="Y46" s="66">
        <f t="shared" si="43"/>
        <v>-2802.5224737153048</v>
      </c>
      <c r="Z46" s="66">
        <f t="shared" si="44"/>
        <v>27.151645664903022</v>
      </c>
      <c r="AA46" s="66">
        <f t="shared" si="45"/>
        <v>76.165131977431685</v>
      </c>
      <c r="AB46" s="66">
        <f t="shared" si="46"/>
        <v>-9257.1849253770415</v>
      </c>
      <c r="AC46" s="66">
        <f t="shared" si="47"/>
        <v>-4125.3475607620385</v>
      </c>
      <c r="AD46" s="66">
        <f t="shared" si="48"/>
        <v>-1909.790380294512</v>
      </c>
      <c r="AE46" s="66">
        <f t="shared" si="49"/>
        <v>-725.03421981756219</v>
      </c>
      <c r="AF46" s="66">
        <f t="shared" si="50"/>
        <v>671.93153436166995</v>
      </c>
      <c r="AG46" s="66">
        <f t="shared" si="51"/>
        <v>1579.9580715990942</v>
      </c>
      <c r="AH46" s="66">
        <f t="shared" si="52"/>
        <v>2834.4889753478083</v>
      </c>
      <c r="AI46" s="66">
        <f t="shared" si="53"/>
        <v>4495.4225548475097</v>
      </c>
      <c r="AJ46" s="66">
        <f t="shared" si="54"/>
        <v>943.56275507034752</v>
      </c>
      <c r="AK46" s="66">
        <f t="shared" si="55"/>
        <v>477.2261420526911</v>
      </c>
      <c r="AL46" s="66">
        <f t="shared" si="56"/>
        <v>191.91354766255699</v>
      </c>
      <c r="AM46" s="66">
        <f t="shared" si="57"/>
        <v>96.108868154510674</v>
      </c>
      <c r="AN46" s="66">
        <f t="shared" si="58"/>
        <v>-96.389300668838587</v>
      </c>
      <c r="AO46" s="66">
        <f t="shared" si="59"/>
        <v>-193.03744589747566</v>
      </c>
      <c r="AP46" s="66">
        <f t="shared" si="60"/>
        <v>-484.34668725301435</v>
      </c>
      <c r="AQ46" s="66">
        <f t="shared" si="61"/>
        <v>-973.49881220982297</v>
      </c>
    </row>
    <row r="47" spans="1:43" x14ac:dyDescent="0.35">
      <c r="A47" s="3" t="s">
        <v>1</v>
      </c>
      <c r="B47" s="4">
        <f>VLOOKUP(A47,PriceData!$K$4:$L$6,2,FALSE)</f>
        <v>2905</v>
      </c>
      <c r="C47" s="46">
        <f>VLOOKUP(A47,PriceData!$K$4:$M$6,3,FALSE)</f>
        <v>2.1999999999999999E-2</v>
      </c>
      <c r="D47" s="4" t="s">
        <v>59</v>
      </c>
      <c r="E47" s="4" t="s">
        <v>65</v>
      </c>
      <c r="F47" s="4">
        <v>50</v>
      </c>
      <c r="G47" s="4">
        <v>2469</v>
      </c>
      <c r="H47" s="4" t="s">
        <v>60</v>
      </c>
      <c r="I47" s="5">
        <v>40256</v>
      </c>
      <c r="J47" s="46">
        <f t="shared" si="31"/>
        <v>0.53427360882026176</v>
      </c>
      <c r="K47" s="30">
        <f>VLOOKUP(I47,PriceData!$A$5:$D$7,MATCH($E47,PriceData!$A$4:$D$4,0),FALSE)</f>
        <v>2.1999999999999999E-2</v>
      </c>
      <c r="L47" s="2">
        <f t="shared" si="32"/>
        <v>86.784698579854762</v>
      </c>
      <c r="M47" s="2">
        <f t="shared" si="33"/>
        <v>4339.2349289927379</v>
      </c>
      <c r="N47" s="4" t="s">
        <v>58</v>
      </c>
      <c r="P47" s="60">
        <f t="shared" si="34"/>
        <v>-595.89279390581737</v>
      </c>
      <c r="Q47" s="60">
        <f t="shared" si="35"/>
        <v>1787.2730758930818</v>
      </c>
      <c r="R47" s="58">
        <f t="shared" si="36"/>
        <v>3.5579568691462296</v>
      </c>
      <c r="S47" s="58">
        <f t="shared" si="37"/>
        <v>322.30979330273726</v>
      </c>
      <c r="T47" s="58">
        <f t="shared" si="38"/>
        <v>-1.392506241827222</v>
      </c>
      <c r="U47" s="2">
        <f t="shared" si="39"/>
        <v>-1.2718375202472794</v>
      </c>
      <c r="V47" s="65">
        <f t="shared" si="40"/>
        <v>-29794.639695290869</v>
      </c>
      <c r="W47" s="65">
        <f t="shared" si="41"/>
        <v>89363.653794654092</v>
      </c>
      <c r="X47" s="66">
        <f t="shared" si="42"/>
        <v>177.89784345731147</v>
      </c>
      <c r="Y47" s="66">
        <f t="shared" si="43"/>
        <v>16115.489665136864</v>
      </c>
      <c r="Z47" s="66">
        <f t="shared" si="44"/>
        <v>-69.625312091361096</v>
      </c>
      <c r="AA47" s="66">
        <f t="shared" si="45"/>
        <v>-63.591876012363969</v>
      </c>
      <c r="AB47" s="66">
        <f t="shared" si="46"/>
        <v>10598.641831619574</v>
      </c>
      <c r="AC47" s="66">
        <f t="shared" si="47"/>
        <v>4011.0848578328105</v>
      </c>
      <c r="AD47" s="66">
        <f t="shared" si="48"/>
        <v>1730.3408283752333</v>
      </c>
      <c r="AE47" s="66">
        <f t="shared" si="49"/>
        <v>632.73147781105763</v>
      </c>
      <c r="AF47" s="66">
        <f t="shared" si="50"/>
        <v>-561.22505329145156</v>
      </c>
      <c r="AG47" s="66">
        <f t="shared" si="51"/>
        <v>-1282.9285668652205</v>
      </c>
      <c r="AH47" s="66">
        <f t="shared" si="52"/>
        <v>-2214.9582052560563</v>
      </c>
      <c r="AI47" s="66">
        <f t="shared" si="53"/>
        <v>-3347.2107160429432</v>
      </c>
      <c r="AJ47" s="66">
        <f t="shared" si="54"/>
        <v>-1683.0336023146715</v>
      </c>
      <c r="AK47" s="66">
        <f t="shared" si="55"/>
        <v>-867.56829140700802</v>
      </c>
      <c r="AL47" s="66">
        <f t="shared" si="56"/>
        <v>-352.46387172350637</v>
      </c>
      <c r="AM47" s="66">
        <f t="shared" si="57"/>
        <v>-177.07867622395952</v>
      </c>
      <c r="AN47" s="66">
        <f t="shared" si="58"/>
        <v>178.69060389929246</v>
      </c>
      <c r="AO47" s="66">
        <f t="shared" si="59"/>
        <v>358.91612942137954</v>
      </c>
      <c r="AP47" s="66">
        <f t="shared" si="60"/>
        <v>908.09448458439874</v>
      </c>
      <c r="AQ47" s="66">
        <f t="shared" si="61"/>
        <v>1848.0261815448898</v>
      </c>
    </row>
    <row r="48" spans="1:43" x14ac:dyDescent="0.35">
      <c r="A48" s="3" t="s">
        <v>1</v>
      </c>
      <c r="B48" s="4">
        <f>VLOOKUP(A48,PriceData!$K$4:$L$6,2,FALSE)</f>
        <v>2905</v>
      </c>
      <c r="C48" s="46">
        <f>VLOOKUP(A48,PriceData!$K$4:$M$6,3,FALSE)</f>
        <v>2.1999999999999999E-2</v>
      </c>
      <c r="D48" s="4" t="s">
        <v>59</v>
      </c>
      <c r="E48" s="4" t="s">
        <v>65</v>
      </c>
      <c r="F48" s="4">
        <v>10</v>
      </c>
      <c r="G48" s="4">
        <v>2469</v>
      </c>
      <c r="H48" s="4" t="s">
        <v>60</v>
      </c>
      <c r="I48" s="5">
        <v>40347</v>
      </c>
      <c r="J48" s="46">
        <f t="shared" si="31"/>
        <v>0.48470273685574106</v>
      </c>
      <c r="K48" s="30">
        <f>VLOOKUP(I48,PriceData!$A$5:$D$7,MATCH($E48,PriceData!$A$4:$D$4,0),FALSE)</f>
        <v>2.3E-2</v>
      </c>
      <c r="L48" s="2">
        <f t="shared" si="32"/>
        <v>164.20892157424362</v>
      </c>
      <c r="M48" s="2">
        <f t="shared" si="33"/>
        <v>1642.0892157424362</v>
      </c>
      <c r="N48" s="4" t="s">
        <v>61</v>
      </c>
      <c r="P48" s="60">
        <f t="shared" si="34"/>
        <v>-723.75749353754077</v>
      </c>
      <c r="Q48" s="60">
        <f t="shared" si="35"/>
        <v>1433.710779532194</v>
      </c>
      <c r="R48" s="58">
        <f t="shared" si="36"/>
        <v>6.0544023371569509</v>
      </c>
      <c r="S48" s="58">
        <f t="shared" si="37"/>
        <v>292.53995246291123</v>
      </c>
      <c r="T48" s="58">
        <f t="shared" si="38"/>
        <v>-0.91049528335083674</v>
      </c>
      <c r="U48" s="2">
        <f t="shared" si="39"/>
        <v>-3.8681276713088697</v>
      </c>
      <c r="V48" s="65">
        <f t="shared" si="40"/>
        <v>-7237.5749353754072</v>
      </c>
      <c r="W48" s="65">
        <f t="shared" si="41"/>
        <v>14337.107795321939</v>
      </c>
      <c r="X48" s="66">
        <f t="shared" si="42"/>
        <v>60.544023371569509</v>
      </c>
      <c r="Y48" s="66">
        <f t="shared" si="43"/>
        <v>2925.3995246291124</v>
      </c>
      <c r="Z48" s="66">
        <f t="shared" si="44"/>
        <v>-9.1049528335083671</v>
      </c>
      <c r="AA48" s="66">
        <f t="shared" si="45"/>
        <v>-38.6812767130887</v>
      </c>
      <c r="AB48" s="66">
        <f t="shared" si="46"/>
        <v>2139.0714587839002</v>
      </c>
      <c r="AC48" s="66">
        <f t="shared" si="47"/>
        <v>882.10167584187047</v>
      </c>
      <c r="AD48" s="66">
        <f t="shared" si="48"/>
        <v>399.58645130739569</v>
      </c>
      <c r="AE48" s="66">
        <f t="shared" si="49"/>
        <v>150.60511213484574</v>
      </c>
      <c r="AF48" s="66">
        <f t="shared" si="50"/>
        <v>-139.134323611122</v>
      </c>
      <c r="AG48" s="66">
        <f t="shared" si="51"/>
        <v>-327.85841084234335</v>
      </c>
      <c r="AH48" s="66">
        <f t="shared" si="52"/>
        <v>-594.71116567265085</v>
      </c>
      <c r="AI48" s="66">
        <f t="shared" si="53"/>
        <v>-983.71813531940461</v>
      </c>
      <c r="AJ48" s="66">
        <f t="shared" si="54"/>
        <v>-586.90282670534884</v>
      </c>
      <c r="AK48" s="66">
        <f t="shared" si="55"/>
        <v>-298.62171771081648</v>
      </c>
      <c r="AL48" s="66">
        <f t="shared" si="56"/>
        <v>-120.47625086579956</v>
      </c>
      <c r="AM48" s="66">
        <f t="shared" si="57"/>
        <v>-60.394473850855093</v>
      </c>
      <c r="AN48" s="66">
        <f t="shared" si="58"/>
        <v>60.687127470541782</v>
      </c>
      <c r="AO48" s="66">
        <f t="shared" si="59"/>
        <v>121.64823098427178</v>
      </c>
      <c r="AP48" s="66">
        <f t="shared" si="60"/>
        <v>306.0067713183912</v>
      </c>
      <c r="AQ48" s="66">
        <f t="shared" si="61"/>
        <v>617.32791722561842</v>
      </c>
    </row>
    <row r="49" spans="1:43" x14ac:dyDescent="0.35">
      <c r="A49" s="3" t="s">
        <v>1</v>
      </c>
      <c r="B49" s="4">
        <f>VLOOKUP(A49,PriceData!$K$4:$L$6,2,FALSE)</f>
        <v>2905</v>
      </c>
      <c r="C49" s="46">
        <f>VLOOKUP(A49,PriceData!$K$4:$M$6,3,FALSE)</f>
        <v>2.1999999999999999E-2</v>
      </c>
      <c r="D49" s="4" t="s">
        <v>59</v>
      </c>
      <c r="E49" s="4" t="s">
        <v>65</v>
      </c>
      <c r="F49" s="4">
        <v>-20</v>
      </c>
      <c r="G49" s="4">
        <v>3254</v>
      </c>
      <c r="H49" s="4" t="s">
        <v>62</v>
      </c>
      <c r="I49" s="5">
        <v>40347</v>
      </c>
      <c r="J49" s="46">
        <f t="shared" si="31"/>
        <v>0.32953064934971316</v>
      </c>
      <c r="K49" s="30">
        <f>VLOOKUP(I49,PriceData!$A$5:$D$7,MATCH($E49,PriceData!$A$4:$D$4,0),FALSE)</f>
        <v>2.3E-2</v>
      </c>
      <c r="L49" s="2">
        <f t="shared" si="32"/>
        <v>126.62422408051043</v>
      </c>
      <c r="M49" s="2">
        <f t="shared" si="33"/>
        <v>-2532.4844816102086</v>
      </c>
      <c r="N49" s="4" t="s">
        <v>58</v>
      </c>
      <c r="P49" s="60">
        <f t="shared" si="34"/>
        <v>979.94893212571617</v>
      </c>
      <c r="Q49" s="60">
        <f t="shared" si="35"/>
        <v>2425.2517712914055</v>
      </c>
      <c r="R49" s="58">
        <f t="shared" si="36"/>
        <v>6.9628477684274861</v>
      </c>
      <c r="S49" s="58">
        <f t="shared" si="37"/>
        <v>545.53778294329254</v>
      </c>
      <c r="T49" s="58">
        <f t="shared" si="38"/>
        <v>-0.71623772663935259</v>
      </c>
      <c r="U49" s="2">
        <f t="shared" si="39"/>
        <v>3.7172227007996632</v>
      </c>
      <c r="V49" s="65">
        <f t="shared" si="40"/>
        <v>-19598.978642514325</v>
      </c>
      <c r="W49" s="65">
        <f t="shared" si="41"/>
        <v>-48505.035425828108</v>
      </c>
      <c r="X49" s="66">
        <f t="shared" si="42"/>
        <v>-139.25695536854971</v>
      </c>
      <c r="Y49" s="66">
        <f t="shared" si="43"/>
        <v>-10910.755658865852</v>
      </c>
      <c r="Z49" s="66">
        <f t="shared" si="44"/>
        <v>14.324754532787052</v>
      </c>
      <c r="AA49" s="66">
        <f t="shared" si="45"/>
        <v>-74.344454015993264</v>
      </c>
      <c r="AB49" s="66">
        <f t="shared" si="46"/>
        <v>2221.2088265258753</v>
      </c>
      <c r="AC49" s="66">
        <f t="shared" si="47"/>
        <v>1497.6732690213635</v>
      </c>
      <c r="AD49" s="66">
        <f t="shared" si="48"/>
        <v>861.01877813934152</v>
      </c>
      <c r="AE49" s="66">
        <f t="shared" si="49"/>
        <v>372.70631015515619</v>
      </c>
      <c r="AF49" s="66">
        <f t="shared" si="50"/>
        <v>-411.48289036250617</v>
      </c>
      <c r="AG49" s="66">
        <f t="shared" si="51"/>
        <v>-1102.4765045911545</v>
      </c>
      <c r="AH49" s="66">
        <f t="shared" si="52"/>
        <v>-2450.9622401116485</v>
      </c>
      <c r="AI49" s="66">
        <f t="shared" si="53"/>
        <v>-5848.8681708587046</v>
      </c>
      <c r="AJ49" s="66">
        <f t="shared" si="54"/>
        <v>1316.1803916777626</v>
      </c>
      <c r="AK49" s="66">
        <f t="shared" si="55"/>
        <v>680.32401236912619</v>
      </c>
      <c r="AL49" s="66">
        <f t="shared" si="56"/>
        <v>276.19546067435522</v>
      </c>
      <c r="AM49" s="66">
        <f t="shared" si="57"/>
        <v>138.69484009502457</v>
      </c>
      <c r="AN49" s="66">
        <f t="shared" si="58"/>
        <v>-139.78676612280424</v>
      </c>
      <c r="AO49" s="66">
        <f t="shared" si="59"/>
        <v>-280.57339633380934</v>
      </c>
      <c r="AP49" s="66">
        <f t="shared" si="60"/>
        <v>-708.14064728987432</v>
      </c>
      <c r="AQ49" s="66">
        <f t="shared" si="61"/>
        <v>-1434.3531170379151</v>
      </c>
    </row>
    <row r="50" spans="1:43" x14ac:dyDescent="0.35">
      <c r="A50" s="3" t="s">
        <v>1</v>
      </c>
      <c r="B50" s="4">
        <f>VLOOKUP(A50,PriceData!$K$4:$L$6,2,FALSE)</f>
        <v>2905</v>
      </c>
      <c r="C50" s="46">
        <f>VLOOKUP(A50,PriceData!$K$4:$M$6,3,FALSE)</f>
        <v>2.1999999999999999E-2</v>
      </c>
      <c r="D50" s="4" t="s">
        <v>59</v>
      </c>
      <c r="E50" s="4" t="s">
        <v>65</v>
      </c>
      <c r="F50" s="4">
        <v>-40</v>
      </c>
      <c r="G50" s="4">
        <v>2818</v>
      </c>
      <c r="H50" s="4" t="s">
        <v>60</v>
      </c>
      <c r="I50" s="5">
        <v>40347</v>
      </c>
      <c r="J50" s="46">
        <f t="shared" si="31"/>
        <v>0.37669519516657596</v>
      </c>
      <c r="K50" s="30">
        <f>VLOOKUP(I50,PriceData!$A$5:$D$7,MATCH($E50,PriceData!$A$4:$D$4,0),FALSE)</f>
        <v>2.3E-2</v>
      </c>
      <c r="L50" s="2">
        <f t="shared" si="32"/>
        <v>238.78242357083286</v>
      </c>
      <c r="M50" s="2">
        <f t="shared" si="33"/>
        <v>-9551.2969428333145</v>
      </c>
      <c r="N50" s="4" t="s">
        <v>58</v>
      </c>
      <c r="P50" s="60">
        <f t="shared" si="34"/>
        <v>-1156.4630723736047</v>
      </c>
      <c r="Q50" s="60">
        <f t="shared" si="35"/>
        <v>2238.3477505150181</v>
      </c>
      <c r="R50" s="58">
        <f t="shared" si="36"/>
        <v>7.346016438039257</v>
      </c>
      <c r="S50" s="58">
        <f t="shared" si="37"/>
        <v>-0.12708011031559752</v>
      </c>
      <c r="T50" s="58">
        <f t="shared" si="38"/>
        <v>-0.85197658391114661</v>
      </c>
      <c r="U50" s="2">
        <f t="shared" si="39"/>
        <v>-6.0779187357579616</v>
      </c>
      <c r="V50" s="65">
        <f t="shared" si="40"/>
        <v>46258.522894944188</v>
      </c>
      <c r="W50" s="65">
        <f t="shared" si="41"/>
        <v>-89533.910020600728</v>
      </c>
      <c r="X50" s="66">
        <f t="shared" si="42"/>
        <v>-293.84065752157028</v>
      </c>
      <c r="Y50" s="66">
        <f t="shared" si="43"/>
        <v>5.0832044126239007</v>
      </c>
      <c r="Z50" s="66">
        <f t="shared" si="44"/>
        <v>34.079063356445864</v>
      </c>
      <c r="AA50" s="66">
        <f t="shared" si="45"/>
        <v>243.11674943031846</v>
      </c>
      <c r="AB50" s="66">
        <f t="shared" si="46"/>
        <v>-13131.051570060927</v>
      </c>
      <c r="AC50" s="66">
        <f t="shared" si="47"/>
        <v>-5571.4060014892766</v>
      </c>
      <c r="AD50" s="66">
        <f t="shared" si="48"/>
        <v>-2543.6858631993164</v>
      </c>
      <c r="AE50" s="66">
        <f t="shared" si="49"/>
        <v>-961.44854381630466</v>
      </c>
      <c r="AF50" s="66">
        <f t="shared" si="50"/>
        <v>889.84573598194402</v>
      </c>
      <c r="AG50" s="66">
        <f t="shared" si="51"/>
        <v>2096.9678755342511</v>
      </c>
      <c r="AH50" s="66">
        <f t="shared" si="52"/>
        <v>3796.0359796620878</v>
      </c>
      <c r="AI50" s="66">
        <f t="shared" si="53"/>
        <v>6217.2430768222875</v>
      </c>
      <c r="AJ50" s="66">
        <f t="shared" si="54"/>
        <v>2935.7318900475184</v>
      </c>
      <c r="AK50" s="66">
        <f t="shared" si="55"/>
        <v>1468.9133868638874</v>
      </c>
      <c r="AL50" s="66">
        <f t="shared" si="56"/>
        <v>587.66460450898194</v>
      </c>
      <c r="AM50" s="66">
        <f t="shared" si="57"/>
        <v>293.83874162744178</v>
      </c>
      <c r="AN50" s="66">
        <f t="shared" si="58"/>
        <v>-293.83831796323648</v>
      </c>
      <c r="AO50" s="66">
        <f t="shared" si="59"/>
        <v>-587.66392853978687</v>
      </c>
      <c r="AP50" s="66">
        <f t="shared" si="60"/>
        <v>-1468.9544808762093</v>
      </c>
      <c r="AQ50" s="66">
        <f t="shared" si="61"/>
        <v>-2936.5897497635615</v>
      </c>
    </row>
    <row r="51" spans="1:43" x14ac:dyDescent="0.35">
      <c r="A51" s="3" t="s">
        <v>1</v>
      </c>
      <c r="B51" s="4">
        <f>VLOOKUP(A51,PriceData!$K$4:$L$6,2,FALSE)</f>
        <v>2905</v>
      </c>
      <c r="C51" s="46">
        <f>VLOOKUP(A51,PriceData!$K$4:$M$6,3,FALSE)</f>
        <v>2.1999999999999999E-2</v>
      </c>
      <c r="D51" s="4" t="s">
        <v>59</v>
      </c>
      <c r="E51" s="4" t="s">
        <v>65</v>
      </c>
      <c r="F51" s="4">
        <v>-50</v>
      </c>
      <c r="G51" s="4">
        <v>3079</v>
      </c>
      <c r="H51" s="4" t="s">
        <v>62</v>
      </c>
      <c r="I51" s="5">
        <v>40347</v>
      </c>
      <c r="J51" s="46">
        <f t="shared" si="31"/>
        <v>0.33882025143471611</v>
      </c>
      <c r="K51" s="30">
        <f>VLOOKUP(I51,PriceData!$A$5:$D$7,MATCH($E51,PriceData!$A$4:$D$4,0),FALSE)</f>
        <v>2.3E-2</v>
      </c>
      <c r="L51" s="2">
        <f t="shared" si="32"/>
        <v>186.9696877524691</v>
      </c>
      <c r="M51" s="2">
        <f t="shared" si="33"/>
        <v>-9348.4843876234554</v>
      </c>
      <c r="N51" s="4" t="s">
        <v>58</v>
      </c>
      <c r="P51" s="60">
        <f t="shared" si="34"/>
        <v>1271.2322064624832</v>
      </c>
      <c r="Q51" s="60">
        <f t="shared" si="35"/>
        <v>2539.162794790027</v>
      </c>
      <c r="R51" s="58">
        <f t="shared" si="36"/>
        <v>7.495388738287394</v>
      </c>
      <c r="S51" s="58">
        <f t="shared" si="37"/>
        <v>119.80245414147275</v>
      </c>
      <c r="T51" s="58">
        <f t="shared" si="38"/>
        <v>-0.79031422574787924</v>
      </c>
      <c r="U51" s="2">
        <f t="shared" si="39"/>
        <v>4.7232257664354034</v>
      </c>
      <c r="V51" s="65">
        <f t="shared" si="40"/>
        <v>-63561.610323124158</v>
      </c>
      <c r="W51" s="65">
        <f t="shared" si="41"/>
        <v>-126958.13973950135</v>
      </c>
      <c r="X51" s="66">
        <f t="shared" si="42"/>
        <v>-374.76943691436969</v>
      </c>
      <c r="Y51" s="66">
        <f t="shared" si="43"/>
        <v>-5990.1227070736377</v>
      </c>
      <c r="Z51" s="66">
        <f t="shared" si="44"/>
        <v>39.515711287393962</v>
      </c>
      <c r="AA51" s="66">
        <f t="shared" si="45"/>
        <v>-236.16128832177017</v>
      </c>
      <c r="AB51" s="66">
        <f t="shared" si="46"/>
        <v>7875.2611561139956</v>
      </c>
      <c r="AC51" s="66">
        <f t="shared" si="47"/>
        <v>5093.9500911810119</v>
      </c>
      <c r="AD51" s="66">
        <f t="shared" si="48"/>
        <v>2860.1966613022228</v>
      </c>
      <c r="AE51" s="66">
        <f t="shared" si="49"/>
        <v>1220.3655699229387</v>
      </c>
      <c r="AF51" s="66">
        <f t="shared" si="50"/>
        <v>-1321.8659939196641</v>
      </c>
      <c r="AG51" s="66">
        <f t="shared" si="51"/>
        <v>-3492.4136259804527</v>
      </c>
      <c r="AH51" s="66">
        <f t="shared" si="52"/>
        <v>-7592.3801451035961</v>
      </c>
      <c r="AI51" s="66">
        <f t="shared" si="53"/>
        <v>-17408.665308119238</v>
      </c>
      <c r="AJ51" s="66">
        <f t="shared" si="54"/>
        <v>3702.0493094780818</v>
      </c>
      <c r="AK51" s="66">
        <f t="shared" si="55"/>
        <v>1864.7104530641627</v>
      </c>
      <c r="AL51" s="66">
        <f t="shared" si="56"/>
        <v>748.24442675391083</v>
      </c>
      <c r="AM51" s="66">
        <f t="shared" si="57"/>
        <v>374.45821340490966</v>
      </c>
      <c r="AN51" s="66">
        <f t="shared" si="58"/>
        <v>-375.05784083313074</v>
      </c>
      <c r="AO51" s="66">
        <f t="shared" si="59"/>
        <v>-750.65034225781346</v>
      </c>
      <c r="AP51" s="66">
        <f t="shared" si="60"/>
        <v>-1880.0778277200266</v>
      </c>
      <c r="AQ51" s="66">
        <f t="shared" si="61"/>
        <v>-3768.6352391516721</v>
      </c>
    </row>
    <row r="52" spans="1:43" x14ac:dyDescent="0.35">
      <c r="A52" s="3" t="s">
        <v>1</v>
      </c>
      <c r="B52" s="4">
        <f>VLOOKUP(A52,PriceData!$K$4:$L$6,2,FALSE)</f>
        <v>2905</v>
      </c>
      <c r="C52" s="46">
        <f>VLOOKUP(A52,PriceData!$K$4:$M$6,3,FALSE)</f>
        <v>2.1999999999999999E-2</v>
      </c>
      <c r="D52" s="4" t="s">
        <v>59</v>
      </c>
      <c r="E52" s="4" t="s">
        <v>65</v>
      </c>
      <c r="F52" s="4">
        <v>-25</v>
      </c>
      <c r="G52" s="4">
        <v>2905</v>
      </c>
      <c r="H52" s="4" t="s">
        <v>60</v>
      </c>
      <c r="I52" s="5">
        <v>40347</v>
      </c>
      <c r="J52" s="46">
        <f t="shared" si="31"/>
        <v>0.36020947541332365</v>
      </c>
      <c r="K52" s="30">
        <f>VLOOKUP(I52,PriceData!$A$5:$D$7,MATCH($E52,PriceData!$A$4:$D$4,0),FALSE)</f>
        <v>2.3E-2</v>
      </c>
      <c r="L52" s="2">
        <f t="shared" si="32"/>
        <v>271.57191542452347</v>
      </c>
      <c r="M52" s="2">
        <f t="shared" si="33"/>
        <v>-6789.2978856130867</v>
      </c>
      <c r="N52" s="4" t="s">
        <v>58</v>
      </c>
      <c r="P52" s="60">
        <f t="shared" si="34"/>
        <v>-1300.4294968291229</v>
      </c>
      <c r="Q52" s="60">
        <f t="shared" si="35"/>
        <v>2396.5867630387206</v>
      </c>
      <c r="R52" s="58">
        <f t="shared" si="36"/>
        <v>7.5211204630561204</v>
      </c>
      <c r="S52" s="58">
        <f t="shared" si="37"/>
        <v>-29.497061053967954</v>
      </c>
      <c r="T52" s="58">
        <f t="shared" si="38"/>
        <v>-0.83126746526660822</v>
      </c>
      <c r="U52" s="2">
        <f t="shared" si="39"/>
        <v>-6.8478965629679376</v>
      </c>
      <c r="V52" s="65">
        <f t="shared" si="40"/>
        <v>32510.73742072807</v>
      </c>
      <c r="W52" s="65">
        <f t="shared" si="41"/>
        <v>-59914.669075968013</v>
      </c>
      <c r="X52" s="66">
        <f t="shared" si="42"/>
        <v>-188.028011576403</v>
      </c>
      <c r="Y52" s="66">
        <f t="shared" si="43"/>
        <v>737.42652634919887</v>
      </c>
      <c r="Z52" s="66">
        <f t="shared" si="44"/>
        <v>20.781686631665206</v>
      </c>
      <c r="AA52" s="66">
        <f t="shared" si="45"/>
        <v>171.19741407419843</v>
      </c>
      <c r="AB52" s="66">
        <f t="shared" si="46"/>
        <v>-8994.6566580580675</v>
      </c>
      <c r="AC52" s="66">
        <f t="shared" si="47"/>
        <v>-3872.2292296399191</v>
      </c>
      <c r="AD52" s="66">
        <f t="shared" si="48"/>
        <v>-1778.6163515118744</v>
      </c>
      <c r="AE52" s="66">
        <f t="shared" si="49"/>
        <v>-674.41001101364009</v>
      </c>
      <c r="AF52" s="66">
        <f t="shared" si="50"/>
        <v>626.50050065811342</v>
      </c>
      <c r="AG52" s="66">
        <f t="shared" si="51"/>
        <v>1479.9107861642028</v>
      </c>
      <c r="AH52" s="66">
        <f t="shared" si="52"/>
        <v>2687.7951343791719</v>
      </c>
      <c r="AI52" s="66">
        <f t="shared" si="53"/>
        <v>4420.8310632043349</v>
      </c>
      <c r="AJ52" s="66">
        <f t="shared" si="54"/>
        <v>1883.6295024301194</v>
      </c>
      <c r="AK52" s="66">
        <f t="shared" si="55"/>
        <v>941.01968698951737</v>
      </c>
      <c r="AL52" s="66">
        <f t="shared" si="56"/>
        <v>376.20081310683418</v>
      </c>
      <c r="AM52" s="66">
        <f t="shared" si="57"/>
        <v>188.06454608953231</v>
      </c>
      <c r="AN52" s="66">
        <f t="shared" si="58"/>
        <v>-187.99080365037639</v>
      </c>
      <c r="AO52" s="66">
        <f t="shared" si="59"/>
        <v>-375.9058459125697</v>
      </c>
      <c r="AP52" s="66">
        <f t="shared" si="60"/>
        <v>-939.17625425789311</v>
      </c>
      <c r="AQ52" s="66">
        <f t="shared" si="61"/>
        <v>-1876.2573829305609</v>
      </c>
    </row>
    <row r="53" spans="1:43" x14ac:dyDescent="0.35">
      <c r="A53" s="3" t="s">
        <v>1</v>
      </c>
      <c r="B53" s="4">
        <f>VLOOKUP(A53,PriceData!$K$4:$L$6,2,FALSE)</f>
        <v>2905</v>
      </c>
      <c r="C53" s="46">
        <f>VLOOKUP(A53,PriceData!$K$4:$M$6,3,FALSE)</f>
        <v>2.1999999999999999E-2</v>
      </c>
      <c r="D53" s="4" t="s">
        <v>59</v>
      </c>
      <c r="E53" s="4" t="s">
        <v>65</v>
      </c>
      <c r="F53" s="4">
        <v>-20</v>
      </c>
      <c r="G53" s="4">
        <v>3341</v>
      </c>
      <c r="H53" s="4" t="s">
        <v>62</v>
      </c>
      <c r="I53" s="5">
        <v>40347</v>
      </c>
      <c r="J53" s="46">
        <f t="shared" si="31"/>
        <v>0.32811799827176868</v>
      </c>
      <c r="K53" s="30">
        <f>VLOOKUP(I53,PriceData!$A$5:$D$7,MATCH($E53,PriceData!$A$4:$D$4,0),FALSE)</f>
        <v>2.3E-2</v>
      </c>
      <c r="L53" s="2">
        <f t="shared" si="32"/>
        <v>104.5547774814396</v>
      </c>
      <c r="M53" s="2">
        <f t="shared" si="33"/>
        <v>-2091.095549628792</v>
      </c>
      <c r="N53" s="4" t="s">
        <v>63</v>
      </c>
      <c r="P53" s="60">
        <f t="shared" si="34"/>
        <v>852.19575727293477</v>
      </c>
      <c r="Q53" s="60">
        <f t="shared" si="35"/>
        <v>2296.3143233678788</v>
      </c>
      <c r="R53" s="58">
        <f t="shared" si="36"/>
        <v>6.564409173184397</v>
      </c>
      <c r="S53" s="58">
        <f t="shared" si="37"/>
        <v>805.50390439952787</v>
      </c>
      <c r="T53" s="58">
        <f t="shared" si="38"/>
        <v>-0.67307369454553478</v>
      </c>
      <c r="U53" s="2">
        <f t="shared" si="39"/>
        <v>3.2568470078588416</v>
      </c>
      <c r="V53" s="65">
        <f t="shared" si="40"/>
        <v>-17043.915145458697</v>
      </c>
      <c r="W53" s="65">
        <f t="shared" si="41"/>
        <v>-45926.286467357575</v>
      </c>
      <c r="X53" s="66">
        <f t="shared" si="42"/>
        <v>-131.28818346368794</v>
      </c>
      <c r="Y53" s="66">
        <f t="shared" si="43"/>
        <v>-16110.078087990558</v>
      </c>
      <c r="Z53" s="66">
        <f t="shared" si="44"/>
        <v>13.461473890910696</v>
      </c>
      <c r="AA53" s="66">
        <f t="shared" si="45"/>
        <v>-65.136940157176838</v>
      </c>
      <c r="AB53" s="66">
        <f t="shared" si="46"/>
        <v>1859.3703837442365</v>
      </c>
      <c r="AC53" s="66">
        <f t="shared" si="47"/>
        <v>1275.144699833877</v>
      </c>
      <c r="AD53" s="66">
        <f t="shared" si="48"/>
        <v>740.68076225228651</v>
      </c>
      <c r="AE53" s="66">
        <f t="shared" si="49"/>
        <v>322.70065321936727</v>
      </c>
      <c r="AF53" s="66">
        <f t="shared" si="50"/>
        <v>-359.41644376053773</v>
      </c>
      <c r="AG53" s="66">
        <f t="shared" si="51"/>
        <v>-969.3310346651424</v>
      </c>
      <c r="AH53" s="66">
        <f t="shared" si="52"/>
        <v>-2178.237424652682</v>
      </c>
      <c r="AI53" s="66">
        <f t="shared" si="53"/>
        <v>-5302.4737038401254</v>
      </c>
      <c r="AJ53" s="66">
        <f t="shared" si="54"/>
        <v>1203.11969304277</v>
      </c>
      <c r="AK53" s="66">
        <f t="shared" si="55"/>
        <v>633.14287911683095</v>
      </c>
      <c r="AL53" s="66">
        <f t="shared" si="56"/>
        <v>259.16754444104754</v>
      </c>
      <c r="AM53" s="66">
        <f t="shared" si="57"/>
        <v>130.45991366237786</v>
      </c>
      <c r="AN53" s="66">
        <f t="shared" si="58"/>
        <v>-132.07201273735109</v>
      </c>
      <c r="AO53" s="66">
        <f t="shared" si="59"/>
        <v>-265.6290605598565</v>
      </c>
      <c r="AP53" s="66">
        <f t="shared" si="60"/>
        <v>-674.10781601005965</v>
      </c>
      <c r="AQ53" s="66">
        <f t="shared" si="61"/>
        <v>-1375.6398268486691</v>
      </c>
    </row>
    <row r="54" spans="1:43" x14ac:dyDescent="0.35">
      <c r="A54" s="3" t="s">
        <v>1</v>
      </c>
      <c r="B54" s="4">
        <f>VLOOKUP(A54,PriceData!$K$4:$L$6,2,FALSE)</f>
        <v>2905</v>
      </c>
      <c r="C54" s="46">
        <f>VLOOKUP(A54,PriceData!$K$4:$M$6,3,FALSE)</f>
        <v>2.1999999999999999E-2</v>
      </c>
      <c r="D54" s="4" t="s">
        <v>59</v>
      </c>
      <c r="E54" s="4" t="s">
        <v>65</v>
      </c>
      <c r="F54" s="4">
        <v>-10</v>
      </c>
      <c r="G54" s="4">
        <v>2905</v>
      </c>
      <c r="H54" s="4" t="s">
        <v>60</v>
      </c>
      <c r="I54" s="5">
        <v>40347</v>
      </c>
      <c r="J54" s="46">
        <f t="shared" si="31"/>
        <v>0.36020947541332365</v>
      </c>
      <c r="K54" s="30">
        <f>VLOOKUP(I54,PriceData!$A$5:$D$7,MATCH($E54,PriceData!$A$4:$D$4,0),FALSE)</f>
        <v>2.3E-2</v>
      </c>
      <c r="L54" s="2">
        <f t="shared" si="32"/>
        <v>271.57191542452347</v>
      </c>
      <c r="M54" s="2">
        <f t="shared" si="33"/>
        <v>-2715.7191542452347</v>
      </c>
      <c r="N54" s="4" t="s">
        <v>58</v>
      </c>
      <c r="P54" s="60">
        <f t="shared" si="34"/>
        <v>-1300.4294968291229</v>
      </c>
      <c r="Q54" s="60">
        <f t="shared" si="35"/>
        <v>2396.5867630387206</v>
      </c>
      <c r="R54" s="58">
        <f t="shared" si="36"/>
        <v>7.5211204630561204</v>
      </c>
      <c r="S54" s="58">
        <f t="shared" si="37"/>
        <v>-29.497061053967954</v>
      </c>
      <c r="T54" s="58">
        <f t="shared" si="38"/>
        <v>-0.83126746526660822</v>
      </c>
      <c r="U54" s="2">
        <f t="shared" si="39"/>
        <v>-6.8478965629679376</v>
      </c>
      <c r="V54" s="65">
        <f t="shared" si="40"/>
        <v>13004.294968291229</v>
      </c>
      <c r="W54" s="65">
        <f t="shared" si="41"/>
        <v>-23965.867630387205</v>
      </c>
      <c r="X54" s="66">
        <f t="shared" si="42"/>
        <v>-75.211204630561198</v>
      </c>
      <c r="Y54" s="66">
        <f t="shared" si="43"/>
        <v>294.97061053967957</v>
      </c>
      <c r="Z54" s="66">
        <f t="shared" si="44"/>
        <v>8.3126746526660824</v>
      </c>
      <c r="AA54" s="66">
        <f t="shared" si="45"/>
        <v>68.478965629679379</v>
      </c>
      <c r="AB54" s="66">
        <f t="shared" si="46"/>
        <v>-3597.8626632232272</v>
      </c>
      <c r="AC54" s="66">
        <f t="shared" si="47"/>
        <v>-1548.8916918559676</v>
      </c>
      <c r="AD54" s="66">
        <f t="shared" si="48"/>
        <v>-711.44654060474977</v>
      </c>
      <c r="AE54" s="66">
        <f t="shared" si="49"/>
        <v>-269.76400440545603</v>
      </c>
      <c r="AF54" s="66">
        <f t="shared" si="50"/>
        <v>250.60020026324537</v>
      </c>
      <c r="AG54" s="66">
        <f t="shared" si="51"/>
        <v>591.96431446568113</v>
      </c>
      <c r="AH54" s="66">
        <f t="shared" si="52"/>
        <v>1075.1180537516689</v>
      </c>
      <c r="AI54" s="66">
        <f t="shared" si="53"/>
        <v>1768.332425281734</v>
      </c>
      <c r="AJ54" s="66">
        <f t="shared" si="54"/>
        <v>753.45180097204775</v>
      </c>
      <c r="AK54" s="66">
        <f t="shared" si="55"/>
        <v>376.40787479580695</v>
      </c>
      <c r="AL54" s="66">
        <f t="shared" si="56"/>
        <v>150.48032524273367</v>
      </c>
      <c r="AM54" s="66">
        <f t="shared" si="57"/>
        <v>75.225818435812926</v>
      </c>
      <c r="AN54" s="66">
        <f t="shared" si="58"/>
        <v>-75.196321460150557</v>
      </c>
      <c r="AO54" s="66">
        <f t="shared" si="59"/>
        <v>-150.36233836502788</v>
      </c>
      <c r="AP54" s="66">
        <f t="shared" si="60"/>
        <v>-375.67050170315724</v>
      </c>
      <c r="AQ54" s="66">
        <f t="shared" si="61"/>
        <v>-750.50295317222435</v>
      </c>
    </row>
    <row r="55" spans="1:43" x14ac:dyDescent="0.35">
      <c r="A55" s="3" t="s">
        <v>1</v>
      </c>
      <c r="B55" s="4">
        <f>VLOOKUP(A55,PriceData!$K$4:$L$6,2,FALSE)</f>
        <v>2905</v>
      </c>
      <c r="C55" s="46">
        <f>VLOOKUP(A55,PriceData!$K$4:$M$6,3,FALSE)</f>
        <v>2.1999999999999999E-2</v>
      </c>
      <c r="D55" s="4" t="s">
        <v>59</v>
      </c>
      <c r="E55" s="4" t="s">
        <v>65</v>
      </c>
      <c r="F55" s="4">
        <v>20</v>
      </c>
      <c r="G55" s="4">
        <v>3428</v>
      </c>
      <c r="H55" s="4" t="s">
        <v>62</v>
      </c>
      <c r="I55" s="5">
        <v>40347</v>
      </c>
      <c r="J55" s="46">
        <f t="shared" si="31"/>
        <v>0.32822542861494541</v>
      </c>
      <c r="K55" s="30">
        <f>VLOOKUP(I55,PriceData!$A$5:$D$7,MATCH($E55,PriceData!$A$4:$D$4,0),FALSE)</f>
        <v>2.3E-2</v>
      </c>
      <c r="L55" s="2">
        <f t="shared" si="32"/>
        <v>86.648861868060294</v>
      </c>
      <c r="M55" s="2">
        <f t="shared" si="33"/>
        <v>1732.9772373612059</v>
      </c>
      <c r="N55" s="4" t="s">
        <v>58</v>
      </c>
      <c r="P55" s="60">
        <f t="shared" si="34"/>
        <v>738.33534939934304</v>
      </c>
      <c r="Q55" s="60">
        <f t="shared" si="35"/>
        <v>2139.4790638196469</v>
      </c>
      <c r="R55" s="58">
        <f t="shared" si="36"/>
        <v>6.1180711125945217</v>
      </c>
      <c r="S55" s="58">
        <f t="shared" si="37"/>
        <v>1060.8848783525759</v>
      </c>
      <c r="T55" s="58">
        <f t="shared" si="38"/>
        <v>-0.62804280691160452</v>
      </c>
      <c r="U55" s="2">
        <f t="shared" si="39"/>
        <v>2.8388534662321638</v>
      </c>
      <c r="V55" s="65">
        <f t="shared" si="40"/>
        <v>14766.706987986861</v>
      </c>
      <c r="W55" s="65">
        <f t="shared" si="41"/>
        <v>42789.581276392935</v>
      </c>
      <c r="X55" s="66">
        <f t="shared" si="42"/>
        <v>122.36142225189043</v>
      </c>
      <c r="Y55" s="66">
        <f t="shared" si="43"/>
        <v>21217.697567051517</v>
      </c>
      <c r="Z55" s="66">
        <f t="shared" si="44"/>
        <v>-12.56085613823209</v>
      </c>
      <c r="AA55" s="66">
        <f t="shared" si="45"/>
        <v>56.777069324643278</v>
      </c>
      <c r="AB55" s="66">
        <f t="shared" si="46"/>
        <v>-1557.471099738161</v>
      </c>
      <c r="AC55" s="66">
        <f t="shared" si="47"/>
        <v>-1083.8017404341406</v>
      </c>
      <c r="AD55" s="66">
        <f t="shared" si="48"/>
        <v>-635.37166818351238</v>
      </c>
      <c r="AE55" s="66">
        <f t="shared" si="49"/>
        <v>-278.45941974367179</v>
      </c>
      <c r="AF55" s="66">
        <f t="shared" si="50"/>
        <v>312.66913642617737</v>
      </c>
      <c r="AG55" s="66">
        <f t="shared" si="51"/>
        <v>848.46650201340935</v>
      </c>
      <c r="AH55" s="66">
        <f t="shared" si="52"/>
        <v>1926.1844392472221</v>
      </c>
      <c r="AI55" s="66">
        <f t="shared" si="53"/>
        <v>4780.374783115808</v>
      </c>
      <c r="AJ55" s="66">
        <f t="shared" si="54"/>
        <v>-1083.1957971064037</v>
      </c>
      <c r="AK55" s="66">
        <f t="shared" si="55"/>
        <v>-581.48738653631199</v>
      </c>
      <c r="AL55" s="66">
        <f t="shared" si="56"/>
        <v>-240.25270717555713</v>
      </c>
      <c r="AM55" s="66">
        <f t="shared" si="57"/>
        <v>-121.27284779859792</v>
      </c>
      <c r="AN55" s="66">
        <f t="shared" si="58"/>
        <v>123.39581729945394</v>
      </c>
      <c r="AO55" s="66">
        <f t="shared" si="59"/>
        <v>248.75899629708783</v>
      </c>
      <c r="AP55" s="66">
        <f t="shared" si="60"/>
        <v>635.28578809584587</v>
      </c>
      <c r="AQ55" s="66">
        <f t="shared" si="61"/>
        <v>1307.6224872399825</v>
      </c>
    </row>
    <row r="56" spans="1:43" x14ac:dyDescent="0.35">
      <c r="A56" s="3" t="s">
        <v>1</v>
      </c>
      <c r="B56" s="4">
        <f>VLOOKUP(A56,PriceData!$K$4:$L$6,2,FALSE)</f>
        <v>2905</v>
      </c>
      <c r="C56" s="46">
        <f>VLOOKUP(A56,PriceData!$K$4:$M$6,3,FALSE)</f>
        <v>2.1999999999999999E-2</v>
      </c>
      <c r="D56" s="4" t="s">
        <v>59</v>
      </c>
      <c r="E56" s="4" t="s">
        <v>65</v>
      </c>
      <c r="F56" s="4">
        <v>-10</v>
      </c>
      <c r="G56" s="4">
        <v>3166</v>
      </c>
      <c r="H56" s="4" t="s">
        <v>62</v>
      </c>
      <c r="I56" s="5">
        <v>40347</v>
      </c>
      <c r="J56" s="46">
        <f t="shared" si="31"/>
        <v>0.33295082614007965</v>
      </c>
      <c r="K56" s="30">
        <f>VLOOKUP(I56,PriceData!$A$5:$D$7,MATCH($E56,PriceData!$A$4:$D$4,0),FALSE)</f>
        <v>2.3E-2</v>
      </c>
      <c r="L56" s="2">
        <f t="shared" si="32"/>
        <v>154.0267813874168</v>
      </c>
      <c r="M56" s="2">
        <f t="shared" si="33"/>
        <v>-1540.267813874168</v>
      </c>
      <c r="N56" s="4" t="s">
        <v>64</v>
      </c>
      <c r="P56" s="60">
        <f t="shared" si="34"/>
        <v>1121.7738316028287</v>
      </c>
      <c r="Q56" s="60">
        <f t="shared" si="35"/>
        <v>2511.5945669952803</v>
      </c>
      <c r="R56" s="58">
        <f t="shared" si="36"/>
        <v>7.2855759055119034</v>
      </c>
      <c r="S56" s="58">
        <f t="shared" si="37"/>
        <v>305.60436320356257</v>
      </c>
      <c r="T56" s="58">
        <f t="shared" si="38"/>
        <v>-0.75617841007131448</v>
      </c>
      <c r="U56" s="2">
        <f t="shared" si="39"/>
        <v>4.2156652324452191</v>
      </c>
      <c r="V56" s="65">
        <f t="shared" si="40"/>
        <v>-11217.738316028288</v>
      </c>
      <c r="W56" s="65">
        <f t="shared" si="41"/>
        <v>-25115.945669952802</v>
      </c>
      <c r="X56" s="66">
        <f t="shared" si="42"/>
        <v>-72.855759055119037</v>
      </c>
      <c r="Y56" s="66">
        <f t="shared" si="43"/>
        <v>-3056.0436320356257</v>
      </c>
      <c r="Z56" s="66">
        <f t="shared" si="44"/>
        <v>7.5617841007131448</v>
      </c>
      <c r="AA56" s="66">
        <f t="shared" si="45"/>
        <v>-42.156652324452189</v>
      </c>
      <c r="AB56" s="66">
        <f t="shared" si="46"/>
        <v>1327.0971486234266</v>
      </c>
      <c r="AC56" s="66">
        <f t="shared" si="47"/>
        <v>877.37289857187079</v>
      </c>
      <c r="AD56" s="66">
        <f t="shared" si="48"/>
        <v>498.66042097692798</v>
      </c>
      <c r="AE56" s="66">
        <f t="shared" si="49"/>
        <v>214.3337019782382</v>
      </c>
      <c r="AF56" s="66">
        <f t="shared" si="50"/>
        <v>-234.41246670088503</v>
      </c>
      <c r="AG56" s="66">
        <f t="shared" si="51"/>
        <v>-623.69569548559866</v>
      </c>
      <c r="AH56" s="66">
        <f t="shared" si="52"/>
        <v>-1371.0996803694616</v>
      </c>
      <c r="AI56" s="66">
        <f t="shared" si="53"/>
        <v>-3206.2680465329572</v>
      </c>
      <c r="AJ56" s="66">
        <f t="shared" si="54"/>
        <v>706.52816484748769</v>
      </c>
      <c r="AK56" s="66">
        <f t="shared" si="55"/>
        <v>359.74862622582918</v>
      </c>
      <c r="AL56" s="66">
        <f t="shared" si="56"/>
        <v>145.05880517927835</v>
      </c>
      <c r="AM56" s="66">
        <f t="shared" si="57"/>
        <v>72.697914562761525</v>
      </c>
      <c r="AN56" s="66">
        <f t="shared" si="58"/>
        <v>-73.003786877161474</v>
      </c>
      <c r="AO56" s="66">
        <f t="shared" si="59"/>
        <v>-146.28551951332611</v>
      </c>
      <c r="AP56" s="66">
        <f t="shared" si="60"/>
        <v>-367.55926819417255</v>
      </c>
      <c r="AQ56" s="66">
        <f t="shared" si="61"/>
        <v>-739.98127095729842</v>
      </c>
    </row>
    <row r="57" spans="1:43" x14ac:dyDescent="0.35">
      <c r="A57" s="3" t="s">
        <v>1</v>
      </c>
      <c r="B57" s="4">
        <f>VLOOKUP(A57,PriceData!$K$4:$L$6,2,FALSE)</f>
        <v>2905</v>
      </c>
      <c r="C57" s="46">
        <f>VLOOKUP(A57,PriceData!$K$4:$M$6,3,FALSE)</f>
        <v>2.1999999999999999E-2</v>
      </c>
      <c r="D57" s="4" t="s">
        <v>59</v>
      </c>
      <c r="E57" s="4" t="s">
        <v>65</v>
      </c>
      <c r="F57" s="4">
        <v>-20</v>
      </c>
      <c r="G57" s="4">
        <v>2731</v>
      </c>
      <c r="H57" s="4" t="s">
        <v>60</v>
      </c>
      <c r="I57" s="5">
        <v>40347</v>
      </c>
      <c r="J57" s="46">
        <f t="shared" si="31"/>
        <v>0.39741595217249831</v>
      </c>
      <c r="K57" s="30">
        <f>VLOOKUP(I57,PriceData!$A$5:$D$7,MATCH($E57,PriceData!$A$4:$D$4,0),FALSE)</f>
        <v>2.3E-2</v>
      </c>
      <c r="L57" s="2">
        <f t="shared" si="32"/>
        <v>212.5127406744291</v>
      </c>
      <c r="M57" s="2">
        <f t="shared" si="33"/>
        <v>-4250.2548134885819</v>
      </c>
      <c r="N57" s="4" t="s">
        <v>58</v>
      </c>
      <c r="P57" s="60">
        <f t="shared" si="34"/>
        <v>-1025.263878502949</v>
      </c>
      <c r="Q57" s="60">
        <f t="shared" si="35"/>
        <v>2044.6253762674446</v>
      </c>
      <c r="R57" s="58">
        <f t="shared" si="36"/>
        <v>7.0793485906035771</v>
      </c>
      <c r="S57" s="58">
        <f t="shared" si="37"/>
        <v>69.53330042957063</v>
      </c>
      <c r="T57" s="58">
        <f t="shared" si="38"/>
        <v>-0.86853130976168136</v>
      </c>
      <c r="U57" s="2">
        <f t="shared" si="39"/>
        <v>-5.39195842326584</v>
      </c>
      <c r="V57" s="65">
        <f t="shared" si="40"/>
        <v>20505.277570058977</v>
      </c>
      <c r="W57" s="65">
        <f t="shared" si="41"/>
        <v>-40892.50752534889</v>
      </c>
      <c r="X57" s="66">
        <f t="shared" si="42"/>
        <v>-141.58697181207154</v>
      </c>
      <c r="Y57" s="66">
        <f t="shared" si="43"/>
        <v>-1390.6660085914127</v>
      </c>
      <c r="Z57" s="66">
        <f t="shared" si="44"/>
        <v>17.370626195233626</v>
      </c>
      <c r="AA57" s="66">
        <f t="shared" si="45"/>
        <v>107.8391684653168</v>
      </c>
      <c r="AB57" s="66">
        <f t="shared" si="46"/>
        <v>-5937.6249344913867</v>
      </c>
      <c r="AC57" s="66">
        <f t="shared" si="47"/>
        <v>-2489.2471595576535</v>
      </c>
      <c r="AD57" s="66">
        <f t="shared" si="48"/>
        <v>-1131.431365931885</v>
      </c>
      <c r="AE57" s="66">
        <f t="shared" si="49"/>
        <v>-426.7209994428913</v>
      </c>
      <c r="AF57" s="66">
        <f t="shared" si="50"/>
        <v>394.01392575029377</v>
      </c>
      <c r="AG57" s="66">
        <f t="shared" si="51"/>
        <v>927.24099479646384</v>
      </c>
      <c r="AH57" s="66">
        <f t="shared" si="52"/>
        <v>1675.8278272460143</v>
      </c>
      <c r="AI57" s="66">
        <f t="shared" si="53"/>
        <v>2741.4368893739165</v>
      </c>
      <c r="AJ57" s="66">
        <f t="shared" si="54"/>
        <v>1405.3499250122945</v>
      </c>
      <c r="AK57" s="66">
        <f t="shared" si="55"/>
        <v>705.80847945526102</v>
      </c>
      <c r="AL57" s="66">
        <f t="shared" si="56"/>
        <v>282.87273924888268</v>
      </c>
      <c r="AM57" s="66">
        <f t="shared" si="57"/>
        <v>141.51462076172493</v>
      </c>
      <c r="AN57" s="66">
        <f t="shared" si="58"/>
        <v>-141.65381020416135</v>
      </c>
      <c r="AO57" s="66">
        <f t="shared" si="59"/>
        <v>-283.43097462443893</v>
      </c>
      <c r="AP57" s="66">
        <f t="shared" si="60"/>
        <v>-709.36302989809974</v>
      </c>
      <c r="AQ57" s="66">
        <f t="shared" si="61"/>
        <v>-1420.5616018286264</v>
      </c>
    </row>
    <row r="58" spans="1:43" x14ac:dyDescent="0.35">
      <c r="A58" s="3" t="s">
        <v>1</v>
      </c>
      <c r="B58" s="4">
        <f>VLOOKUP(A58,PriceData!$K$4:$L$6,2,FALSE)</f>
        <v>2905</v>
      </c>
      <c r="C58" s="46">
        <f>VLOOKUP(A58,PriceData!$K$4:$M$6,3,FALSE)</f>
        <v>2.1999999999999999E-2</v>
      </c>
      <c r="D58" s="4" t="s">
        <v>59</v>
      </c>
      <c r="E58" s="4" t="s">
        <v>65</v>
      </c>
      <c r="F58" s="4">
        <v>20</v>
      </c>
      <c r="G58" s="4">
        <v>2731</v>
      </c>
      <c r="H58" s="4" t="s">
        <v>60</v>
      </c>
      <c r="I58" s="5">
        <v>40347</v>
      </c>
      <c r="J58" s="46">
        <f t="shared" si="31"/>
        <v>0.39741595217249831</v>
      </c>
      <c r="K58" s="30">
        <f>VLOOKUP(I58,PriceData!$A$5:$D$7,MATCH($E58,PriceData!$A$4:$D$4,0),FALSE)</f>
        <v>2.3E-2</v>
      </c>
      <c r="L58" s="2">
        <f t="shared" si="32"/>
        <v>212.5127406744291</v>
      </c>
      <c r="M58" s="2">
        <f t="shared" si="33"/>
        <v>4250.2548134885819</v>
      </c>
      <c r="N58" s="4" t="s">
        <v>63</v>
      </c>
      <c r="P58" s="60">
        <f t="shared" si="34"/>
        <v>-1025.263878502949</v>
      </c>
      <c r="Q58" s="60">
        <f t="shared" si="35"/>
        <v>2044.6253762674446</v>
      </c>
      <c r="R58" s="58">
        <f t="shared" si="36"/>
        <v>7.0793485906035771</v>
      </c>
      <c r="S58" s="58">
        <f t="shared" si="37"/>
        <v>69.53330042957063</v>
      </c>
      <c r="T58" s="58">
        <f t="shared" si="38"/>
        <v>-0.86853130976168136</v>
      </c>
      <c r="U58" s="2">
        <f t="shared" si="39"/>
        <v>-5.39195842326584</v>
      </c>
      <c r="V58" s="65">
        <f t="shared" si="40"/>
        <v>-20505.277570058977</v>
      </c>
      <c r="W58" s="65">
        <f t="shared" si="41"/>
        <v>40892.50752534889</v>
      </c>
      <c r="X58" s="66">
        <f t="shared" si="42"/>
        <v>141.58697181207154</v>
      </c>
      <c r="Y58" s="66">
        <f t="shared" si="43"/>
        <v>1390.6660085914127</v>
      </c>
      <c r="Z58" s="66">
        <f t="shared" si="44"/>
        <v>-17.370626195233626</v>
      </c>
      <c r="AA58" s="66">
        <f t="shared" si="45"/>
        <v>-107.8391684653168</v>
      </c>
      <c r="AB58" s="66">
        <f t="shared" si="46"/>
        <v>5937.6249344913867</v>
      </c>
      <c r="AC58" s="66">
        <f t="shared" si="47"/>
        <v>2489.2471595576535</v>
      </c>
      <c r="AD58" s="66">
        <f t="shared" si="48"/>
        <v>1131.431365931885</v>
      </c>
      <c r="AE58" s="66">
        <f t="shared" si="49"/>
        <v>426.7209994428913</v>
      </c>
      <c r="AF58" s="66">
        <f t="shared" si="50"/>
        <v>-394.01392575029377</v>
      </c>
      <c r="AG58" s="66">
        <f t="shared" si="51"/>
        <v>-927.24099479646384</v>
      </c>
      <c r="AH58" s="66">
        <f t="shared" si="52"/>
        <v>-1675.8278272460143</v>
      </c>
      <c r="AI58" s="66">
        <f t="shared" si="53"/>
        <v>-2741.4368893739165</v>
      </c>
      <c r="AJ58" s="66">
        <f t="shared" si="54"/>
        <v>-1405.3499250122945</v>
      </c>
      <c r="AK58" s="66">
        <f t="shared" si="55"/>
        <v>-705.80847945526102</v>
      </c>
      <c r="AL58" s="66">
        <f t="shared" si="56"/>
        <v>-282.87273924888268</v>
      </c>
      <c r="AM58" s="66">
        <f t="shared" si="57"/>
        <v>-141.51462076172493</v>
      </c>
      <c r="AN58" s="66">
        <f t="shared" si="58"/>
        <v>141.65381020416135</v>
      </c>
      <c r="AO58" s="66">
        <f t="shared" si="59"/>
        <v>283.43097462443893</v>
      </c>
      <c r="AP58" s="66">
        <f t="shared" si="60"/>
        <v>709.36302989809974</v>
      </c>
      <c r="AQ58" s="66">
        <f t="shared" si="61"/>
        <v>1420.5616018286264</v>
      </c>
    </row>
    <row r="59" spans="1:43" x14ac:dyDescent="0.35">
      <c r="A59" s="3" t="s">
        <v>1</v>
      </c>
      <c r="B59" s="4">
        <f>VLOOKUP(A59,PriceData!$K$4:$L$6,2,FALSE)</f>
        <v>2905</v>
      </c>
      <c r="C59" s="46">
        <f>VLOOKUP(A59,PriceData!$K$4:$M$6,3,FALSE)</f>
        <v>2.1999999999999999E-2</v>
      </c>
      <c r="D59" s="4" t="s">
        <v>59</v>
      </c>
      <c r="E59" s="4" t="s">
        <v>65</v>
      </c>
      <c r="F59" s="4">
        <v>-20</v>
      </c>
      <c r="G59" s="4">
        <v>3341</v>
      </c>
      <c r="H59" s="4" t="s">
        <v>60</v>
      </c>
      <c r="I59" s="5">
        <v>40438</v>
      </c>
      <c r="J59" s="46">
        <f t="shared" si="31"/>
        <v>0.29815741679134772</v>
      </c>
      <c r="K59" s="30">
        <f>VLOOKUP(I59,PriceData!$A$5:$D$7,MATCH($E59,PriceData!$A$4:$D$4,0),FALSE)</f>
        <v>2.5000000000000001E-2</v>
      </c>
      <c r="L59" s="2">
        <f t="shared" si="32"/>
        <v>558.63011298435072</v>
      </c>
      <c r="M59" s="2">
        <f t="shared" si="33"/>
        <v>-11172.602259687013</v>
      </c>
      <c r="N59" s="4" t="s">
        <v>58</v>
      </c>
      <c r="P59" s="60">
        <f t="shared" si="34"/>
        <v>-1912.137057507716</v>
      </c>
      <c r="Q59" s="60">
        <f t="shared" si="35"/>
        <v>2104.3815140985789</v>
      </c>
      <c r="R59" s="58">
        <f t="shared" si="36"/>
        <v>8.595026797083527</v>
      </c>
      <c r="S59" s="58">
        <f t="shared" si="37"/>
        <v>854.88762468851871</v>
      </c>
      <c r="T59" s="58">
        <f t="shared" si="38"/>
        <v>-0.45855566591517538</v>
      </c>
      <c r="U59" s="2">
        <f t="shared" si="39"/>
        <v>-16.923062811589499</v>
      </c>
      <c r="V59" s="65">
        <f t="shared" si="40"/>
        <v>38242.741150154317</v>
      </c>
      <c r="W59" s="65">
        <f t="shared" si="41"/>
        <v>-42087.630281971578</v>
      </c>
      <c r="X59" s="66">
        <f t="shared" si="42"/>
        <v>-171.90053594167054</v>
      </c>
      <c r="Y59" s="66">
        <f t="shared" si="43"/>
        <v>-17097.752493770375</v>
      </c>
      <c r="Z59" s="66">
        <f t="shared" si="44"/>
        <v>9.1711133183035081</v>
      </c>
      <c r="AA59" s="66">
        <f t="shared" si="45"/>
        <v>338.46125623179</v>
      </c>
      <c r="AB59" s="66">
        <f t="shared" si="46"/>
        <v>-9157.3108678644203</v>
      </c>
      <c r="AC59" s="66">
        <f t="shared" si="47"/>
        <v>-4228.6416682319714</v>
      </c>
      <c r="AD59" s="66">
        <f t="shared" si="48"/>
        <v>-2015.6533058968625</v>
      </c>
      <c r="AE59" s="66">
        <f t="shared" si="49"/>
        <v>-781.5949202079355</v>
      </c>
      <c r="AF59" s="66">
        <f t="shared" si="50"/>
        <v>747.94343964367272</v>
      </c>
      <c r="AG59" s="66">
        <f t="shared" si="51"/>
        <v>1805.9402037062728</v>
      </c>
      <c r="AH59" s="66">
        <f t="shared" si="52"/>
        <v>3398.3516827560106</v>
      </c>
      <c r="AI59" s="66">
        <f t="shared" si="53"/>
        <v>5965.1493860533265</v>
      </c>
      <c r="AJ59" s="66">
        <f t="shared" si="54"/>
        <v>1594.9100208501886</v>
      </c>
      <c r="AK59" s="66">
        <f t="shared" si="55"/>
        <v>834.08370411958913</v>
      </c>
      <c r="AL59" s="66">
        <f t="shared" si="56"/>
        <v>340.14574873155198</v>
      </c>
      <c r="AM59" s="66">
        <f t="shared" si="57"/>
        <v>171.01703598719723</v>
      </c>
      <c r="AN59" s="66">
        <f t="shared" si="58"/>
        <v>-172.72839144095997</v>
      </c>
      <c r="AO59" s="66">
        <f t="shared" si="59"/>
        <v>-347.01018759745693</v>
      </c>
      <c r="AP59" s="66">
        <f t="shared" si="60"/>
        <v>-877.83293502302968</v>
      </c>
      <c r="AQ59" s="66">
        <f t="shared" si="61"/>
        <v>-1782.8613860945325</v>
      </c>
    </row>
    <row r="60" spans="1:43" x14ac:dyDescent="0.35">
      <c r="A60" s="3" t="s">
        <v>1</v>
      </c>
      <c r="B60" s="4">
        <f>VLOOKUP(A60,PriceData!$K$4:$L$6,2,FALSE)</f>
        <v>2905</v>
      </c>
      <c r="C60" s="46">
        <f>VLOOKUP(A60,PriceData!$K$4:$M$6,3,FALSE)</f>
        <v>2.1999999999999999E-2</v>
      </c>
      <c r="D60" s="4" t="s">
        <v>59</v>
      </c>
      <c r="E60" s="4" t="s">
        <v>65</v>
      </c>
      <c r="F60" s="4">
        <v>-20</v>
      </c>
      <c r="G60" s="4">
        <v>2731</v>
      </c>
      <c r="H60" s="4" t="s">
        <v>60</v>
      </c>
      <c r="I60" s="5">
        <v>40438</v>
      </c>
      <c r="J60" s="46">
        <f t="shared" si="31"/>
        <v>0.36858239664855386</v>
      </c>
      <c r="K60" s="30">
        <f>VLOOKUP(I60,PriceData!$A$5:$D$7,MATCH($E60,PriceData!$A$4:$D$4,0),FALSE)</f>
        <v>2.5000000000000001E-2</v>
      </c>
      <c r="L60" s="2">
        <f t="shared" si="32"/>
        <v>254.97539334618409</v>
      </c>
      <c r="M60" s="2">
        <f t="shared" si="33"/>
        <v>-5099.5078669236818</v>
      </c>
      <c r="N60" s="4" t="s">
        <v>58</v>
      </c>
      <c r="P60" s="60">
        <f t="shared" si="34"/>
        <v>-1026.6494887879398</v>
      </c>
      <c r="Q60" s="60">
        <f t="shared" si="35"/>
        <v>1752.7056756340671</v>
      </c>
      <c r="R60" s="58">
        <f t="shared" si="36"/>
        <v>8.8495405280099639</v>
      </c>
      <c r="S60" s="58">
        <f t="shared" si="37"/>
        <v>49.243974837691823</v>
      </c>
      <c r="T60" s="58">
        <f t="shared" si="38"/>
        <v>-0.62645468839673502</v>
      </c>
      <c r="U60" s="2">
        <f t="shared" si="39"/>
        <v>-8.7782526173570137</v>
      </c>
      <c r="V60" s="65">
        <f t="shared" si="40"/>
        <v>20532.989775758797</v>
      </c>
      <c r="W60" s="65">
        <f t="shared" si="41"/>
        <v>-35054.113512681346</v>
      </c>
      <c r="X60" s="66">
        <f t="shared" si="42"/>
        <v>-176.99081056019929</v>
      </c>
      <c r="Y60" s="66">
        <f t="shared" si="43"/>
        <v>-984.87949675383652</v>
      </c>
      <c r="Z60" s="66">
        <f t="shared" si="44"/>
        <v>12.5290937679347</v>
      </c>
      <c r="AA60" s="66">
        <f t="shared" si="45"/>
        <v>175.56505234714027</v>
      </c>
      <c r="AB60" s="66">
        <f t="shared" si="46"/>
        <v>-5679.8208593212712</v>
      </c>
      <c r="AC60" s="66">
        <f t="shared" si="47"/>
        <v>-2427.8142821303436</v>
      </c>
      <c r="AD60" s="66">
        <f t="shared" si="48"/>
        <v>-1117.3944101174357</v>
      </c>
      <c r="AE60" s="66">
        <f t="shared" si="49"/>
        <v>-424.8838631910894</v>
      </c>
      <c r="AF60" s="66">
        <f t="shared" si="50"/>
        <v>396.8441130229985</v>
      </c>
      <c r="AG60" s="66">
        <f t="shared" si="51"/>
        <v>942.26304286536561</v>
      </c>
      <c r="AH60" s="66">
        <f t="shared" si="52"/>
        <v>1729.0094567507504</v>
      </c>
      <c r="AI60" s="66">
        <f t="shared" si="53"/>
        <v>2914.9344976229736</v>
      </c>
      <c r="AJ60" s="66">
        <f t="shared" si="54"/>
        <v>1760.6040311422225</v>
      </c>
      <c r="AK60" s="66">
        <f t="shared" si="55"/>
        <v>883.24983158567875</v>
      </c>
      <c r="AL60" s="66">
        <f t="shared" si="56"/>
        <v>353.75658325469203</v>
      </c>
      <c r="AM60" s="66">
        <f t="shared" si="57"/>
        <v>176.93814121645119</v>
      </c>
      <c r="AN60" s="66">
        <f t="shared" si="58"/>
        <v>-177.0367811941469</v>
      </c>
      <c r="AO60" s="66">
        <f t="shared" si="59"/>
        <v>-354.15297261403339</v>
      </c>
      <c r="AP60" s="66">
        <f t="shared" si="60"/>
        <v>-885.80866898920704</v>
      </c>
      <c r="AQ60" s="66">
        <f t="shared" si="61"/>
        <v>-1772.0860299424794</v>
      </c>
    </row>
    <row r="61" spans="1:43" x14ac:dyDescent="0.35">
      <c r="A61" s="3" t="s">
        <v>1</v>
      </c>
      <c r="B61" s="4">
        <f>VLOOKUP(A61,PriceData!$K$4:$L$6,2,FALSE)</f>
        <v>2905</v>
      </c>
      <c r="C61" s="46">
        <f>VLOOKUP(A61,PriceData!$K$4:$M$6,3,FALSE)</f>
        <v>2.1999999999999999E-2</v>
      </c>
      <c r="D61" s="4" t="s">
        <v>59</v>
      </c>
      <c r="E61" s="4" t="s">
        <v>65</v>
      </c>
      <c r="F61" s="4">
        <v>5</v>
      </c>
      <c r="G61" s="4">
        <v>2556</v>
      </c>
      <c r="H61" s="4" t="s">
        <v>60</v>
      </c>
      <c r="I61" s="5">
        <v>40438</v>
      </c>
      <c r="J61" s="46">
        <f t="shared" si="31"/>
        <v>0.42327066685481735</v>
      </c>
      <c r="K61" s="30">
        <f>VLOOKUP(I61,PriceData!$A$5:$D$7,MATCH($E61,PriceData!$A$4:$D$4,0),FALSE)</f>
        <v>2.5000000000000001E-2</v>
      </c>
      <c r="L61" s="2">
        <f t="shared" si="32"/>
        <v>224.2834239356215</v>
      </c>
      <c r="M61" s="2">
        <f t="shared" si="33"/>
        <v>1121.4171196781076</v>
      </c>
      <c r="N61" s="4" t="s">
        <v>64</v>
      </c>
      <c r="P61" s="60">
        <f t="shared" si="34"/>
        <v>-836.71815787568255</v>
      </c>
      <c r="Q61" s="60">
        <f t="shared" si="35"/>
        <v>1403.5031212085391</v>
      </c>
      <c r="R61" s="58">
        <f t="shared" si="36"/>
        <v>8.1378315348870682</v>
      </c>
      <c r="S61" s="58">
        <f t="shared" si="37"/>
        <v>205.98587405962013</v>
      </c>
      <c r="T61" s="58">
        <f t="shared" si="38"/>
        <v>-0.66666206220882362</v>
      </c>
      <c r="U61" s="2">
        <f t="shared" si="39"/>
        <v>-7.267134121995233</v>
      </c>
      <c r="V61" s="65">
        <f t="shared" si="40"/>
        <v>-4183.5907893784124</v>
      </c>
      <c r="W61" s="65">
        <f t="shared" si="41"/>
        <v>7017.5156060426962</v>
      </c>
      <c r="X61" s="66">
        <f t="shared" si="42"/>
        <v>40.689157674435343</v>
      </c>
      <c r="Y61" s="66">
        <f t="shared" si="43"/>
        <v>1029.9293702981006</v>
      </c>
      <c r="Z61" s="66">
        <f t="shared" si="44"/>
        <v>-3.333310311044118</v>
      </c>
      <c r="AA61" s="66">
        <f t="shared" si="45"/>
        <v>-36.335670609976162</v>
      </c>
      <c r="AB61" s="66">
        <f t="shared" si="46"/>
        <v>1164.04881248437</v>
      </c>
      <c r="AC61" s="66">
        <f t="shared" si="47"/>
        <v>494.51788558818009</v>
      </c>
      <c r="AD61" s="66">
        <f t="shared" si="48"/>
        <v>227.47354108568118</v>
      </c>
      <c r="AE61" s="66">
        <f t="shared" si="49"/>
        <v>86.526796475397418</v>
      </c>
      <c r="AF61" s="66">
        <f t="shared" si="50"/>
        <v>-80.912604681186053</v>
      </c>
      <c r="AG61" s="66">
        <f t="shared" si="51"/>
        <v>-192.37914033828019</v>
      </c>
      <c r="AH61" s="66">
        <f t="shared" si="52"/>
        <v>-354.0687392346149</v>
      </c>
      <c r="AI61" s="66">
        <f t="shared" si="53"/>
        <v>-601.71504053708929</v>
      </c>
      <c r="AJ61" s="66">
        <f t="shared" si="54"/>
        <v>-399.67203141407651</v>
      </c>
      <c r="AK61" s="66">
        <f t="shared" si="55"/>
        <v>-201.92994750330797</v>
      </c>
      <c r="AL61" s="66">
        <f t="shared" si="56"/>
        <v>-81.158662424269892</v>
      </c>
      <c r="AM61" s="66">
        <f t="shared" si="57"/>
        <v>-40.6359889695932</v>
      </c>
      <c r="AN61" s="66">
        <f t="shared" si="58"/>
        <v>40.739049558479792</v>
      </c>
      <c r="AO61" s="66">
        <f t="shared" si="59"/>
        <v>81.571718136520985</v>
      </c>
      <c r="AP61" s="66">
        <f t="shared" si="60"/>
        <v>204.54753728208686</v>
      </c>
      <c r="AQ61" s="66">
        <f t="shared" si="61"/>
        <v>410.68087125643842</v>
      </c>
    </row>
    <row r="62" spans="1:43" x14ac:dyDescent="0.35">
      <c r="A62" s="3" t="s">
        <v>67</v>
      </c>
      <c r="B62" s="4">
        <f>VLOOKUP(A62,PriceData!$K$4:$L$6,2,FALSE)</f>
        <v>10022</v>
      </c>
      <c r="C62" s="46">
        <f>VLOOKUP(A62,PriceData!$K$4:$M$6,3,FALSE)</f>
        <v>5.0000000000000001E-3</v>
      </c>
      <c r="D62" s="4" t="s">
        <v>56</v>
      </c>
      <c r="E62" s="4" t="s">
        <v>68</v>
      </c>
      <c r="F62" s="4">
        <v>-10</v>
      </c>
      <c r="H62" s="4"/>
      <c r="I62" s="5">
        <v>40256</v>
      </c>
      <c r="J62" s="46"/>
      <c r="K62" s="30"/>
      <c r="L62" s="2">
        <f t="shared" si="32"/>
        <v>10012.668785076199</v>
      </c>
      <c r="M62" s="2">
        <f t="shared" si="33"/>
        <v>-100126.68785076198</v>
      </c>
      <c r="N62" s="4" t="s">
        <v>58</v>
      </c>
      <c r="P62" s="60">
        <f t="shared" si="34"/>
        <v>10012.668785076199</v>
      </c>
      <c r="Q62" s="60">
        <f t="shared" si="35"/>
        <v>0</v>
      </c>
      <c r="R62" s="58">
        <f t="shared" si="36"/>
        <v>0</v>
      </c>
      <c r="S62" s="58">
        <f t="shared" si="37"/>
        <v>0</v>
      </c>
      <c r="T62" s="58">
        <f t="shared" si="38"/>
        <v>0.13715984637090683</v>
      </c>
      <c r="U62" s="2">
        <f t="shared" si="39"/>
        <v>18.653739106443332</v>
      </c>
      <c r="V62" s="65">
        <f t="shared" si="40"/>
        <v>-100126.68785076198</v>
      </c>
      <c r="W62" s="65">
        <f t="shared" si="41"/>
        <v>0</v>
      </c>
      <c r="X62" s="66">
        <f t="shared" si="42"/>
        <v>0</v>
      </c>
      <c r="Y62" s="66">
        <f t="shared" si="43"/>
        <v>0</v>
      </c>
      <c r="Z62" s="66">
        <f t="shared" si="44"/>
        <v>-1.3715984637090683</v>
      </c>
      <c r="AA62" s="66">
        <f t="shared" si="45"/>
        <v>-186.53739106443334</v>
      </c>
      <c r="AB62" s="66">
        <f t="shared" si="46"/>
        <v>20025.337570152387</v>
      </c>
      <c r="AC62" s="66">
        <f t="shared" si="47"/>
        <v>10012.668785076185</v>
      </c>
      <c r="AD62" s="66">
        <f t="shared" si="48"/>
        <v>5006.3343925381014</v>
      </c>
      <c r="AE62" s="66">
        <f t="shared" si="49"/>
        <v>2002.5337570152442</v>
      </c>
      <c r="AF62" s="66">
        <f t="shared" si="50"/>
        <v>-2002.5337570152442</v>
      </c>
      <c r="AG62" s="66">
        <f t="shared" si="51"/>
        <v>-5006.3343925381014</v>
      </c>
      <c r="AH62" s="66">
        <f t="shared" si="52"/>
        <v>-10012.668785076203</v>
      </c>
      <c r="AI62" s="66">
        <f t="shared" si="53"/>
        <v>-20025.337570152406</v>
      </c>
      <c r="AJ62" s="66">
        <f t="shared" si="54"/>
        <v>0</v>
      </c>
      <c r="AK62" s="66">
        <f t="shared" si="55"/>
        <v>0</v>
      </c>
      <c r="AL62" s="66">
        <f t="shared" si="56"/>
        <v>0</v>
      </c>
      <c r="AM62" s="66">
        <f t="shared" si="57"/>
        <v>0</v>
      </c>
      <c r="AN62" s="66">
        <f t="shared" si="58"/>
        <v>0</v>
      </c>
      <c r="AO62" s="66">
        <f t="shared" si="59"/>
        <v>0</v>
      </c>
      <c r="AP62" s="66">
        <f t="shared" si="60"/>
        <v>0</v>
      </c>
      <c r="AQ62" s="66">
        <f t="shared" si="61"/>
        <v>0</v>
      </c>
    </row>
    <row r="63" spans="1:43" x14ac:dyDescent="0.35">
      <c r="A63" s="3" t="s">
        <v>67</v>
      </c>
      <c r="B63" s="4">
        <f>VLOOKUP(A63,PriceData!$K$4:$L$6,2,FALSE)</f>
        <v>10022</v>
      </c>
      <c r="C63" s="46">
        <f>VLOOKUP(A63,PriceData!$K$4:$M$6,3,FALSE)</f>
        <v>5.0000000000000001E-3</v>
      </c>
      <c r="D63" s="4" t="s">
        <v>59</v>
      </c>
      <c r="E63" s="4" t="s">
        <v>68</v>
      </c>
      <c r="F63" s="4">
        <v>-20</v>
      </c>
      <c r="G63">
        <v>10022</v>
      </c>
      <c r="H63" s="4" t="s">
        <v>62</v>
      </c>
      <c r="I63" s="5">
        <v>40256</v>
      </c>
      <c r="J63" s="46">
        <f t="shared" ref="J63:J87" si="62">FindImpliedVol(A63, D63, G63, I63)</f>
        <v>0.41000000000000003</v>
      </c>
      <c r="K63" s="30">
        <f>VLOOKUP(I63,PriceData!$A$5:$D$7,MATCH($E63,PriceData!$A$4:$D$4,0),FALSE)</f>
        <v>5.0000000000000001E-3</v>
      </c>
      <c r="L63" s="2">
        <f t="shared" si="32"/>
        <v>705.96860456899594</v>
      </c>
      <c r="M63" s="2">
        <f t="shared" si="33"/>
        <v>-14119.372091379919</v>
      </c>
      <c r="N63" s="4" t="s">
        <v>58</v>
      </c>
      <c r="P63" s="60">
        <f t="shared" si="34"/>
        <v>5359.3186948225975</v>
      </c>
      <c r="Q63" s="60">
        <f t="shared" si="35"/>
        <v>11241.853599719911</v>
      </c>
      <c r="R63" s="58">
        <f t="shared" si="36"/>
        <v>17.173856348503627</v>
      </c>
      <c r="S63" s="58">
        <f t="shared" si="37"/>
        <v>-32.795007876457611</v>
      </c>
      <c r="T63" s="58">
        <f t="shared" si="38"/>
        <v>-5.1677417728495127</v>
      </c>
      <c r="U63" s="2">
        <f t="shared" si="39"/>
        <v>8.6692549626642439</v>
      </c>
      <c r="V63" s="65">
        <f t="shared" si="40"/>
        <v>-107186.37389645196</v>
      </c>
      <c r="W63" s="65">
        <f t="shared" si="41"/>
        <v>-224837.0719943982</v>
      </c>
      <c r="X63" s="66">
        <f t="shared" si="42"/>
        <v>-343.4771269700725</v>
      </c>
      <c r="Y63" s="66">
        <f t="shared" si="43"/>
        <v>655.90015752915224</v>
      </c>
      <c r="Z63" s="66">
        <f t="shared" si="44"/>
        <v>103.35483545699026</v>
      </c>
      <c r="AA63" s="66">
        <f t="shared" si="45"/>
        <v>-173.38509925328486</v>
      </c>
      <c r="AB63" s="66">
        <f t="shared" si="46"/>
        <v>12556.391350084567</v>
      </c>
      <c r="AC63" s="66">
        <f t="shared" si="47"/>
        <v>8417.8352487136726</v>
      </c>
      <c r="AD63" s="66">
        <f t="shared" si="48"/>
        <v>4786.7215425701397</v>
      </c>
      <c r="AE63" s="66">
        <f t="shared" si="49"/>
        <v>2052.9804340877308</v>
      </c>
      <c r="AF63" s="66">
        <f t="shared" si="50"/>
        <v>-2232.6812443426024</v>
      </c>
      <c r="AG63" s="66">
        <f t="shared" si="51"/>
        <v>-5904.3355621652881</v>
      </c>
      <c r="AH63" s="66">
        <f t="shared" si="52"/>
        <v>-12810.838817096592</v>
      </c>
      <c r="AI63" s="66">
        <f t="shared" si="53"/>
        <v>-28975.904909135679</v>
      </c>
      <c r="AJ63" s="66">
        <f t="shared" si="54"/>
        <v>3437.7858694090173</v>
      </c>
      <c r="AK63" s="66">
        <f t="shared" si="55"/>
        <v>1718.1724194941671</v>
      </c>
      <c r="AL63" s="66">
        <f t="shared" si="56"/>
        <v>687.08331705947785</v>
      </c>
      <c r="AM63" s="66">
        <f t="shared" si="57"/>
        <v>343.50965740144602</v>
      </c>
      <c r="AN63" s="66">
        <f t="shared" si="58"/>
        <v>-343.44406746189634</v>
      </c>
      <c r="AO63" s="66">
        <f t="shared" si="59"/>
        <v>-686.82095821524854</v>
      </c>
      <c r="AP63" s="66">
        <f t="shared" si="60"/>
        <v>-1716.5327167073337</v>
      </c>
      <c r="AQ63" s="66">
        <f t="shared" si="61"/>
        <v>-3431.2276295010088</v>
      </c>
    </row>
    <row r="64" spans="1:43" x14ac:dyDescent="0.35">
      <c r="A64" s="3" t="s">
        <v>67</v>
      </c>
      <c r="B64" s="4">
        <f>VLOOKUP(A64,PriceData!$K$4:$L$6,2,FALSE)</f>
        <v>10022</v>
      </c>
      <c r="C64" s="46">
        <f>VLOOKUP(A64,PriceData!$K$4:$M$6,3,FALSE)</f>
        <v>5.0000000000000001E-3</v>
      </c>
      <c r="D64" s="4" t="s">
        <v>59</v>
      </c>
      <c r="E64" s="4" t="s">
        <v>68</v>
      </c>
      <c r="F64" s="4">
        <v>-10</v>
      </c>
      <c r="G64">
        <v>9120</v>
      </c>
      <c r="H64" s="4" t="s">
        <v>60</v>
      </c>
      <c r="I64" s="5">
        <v>40256</v>
      </c>
      <c r="J64" s="46">
        <f t="shared" si="62"/>
        <v>0.47216774083559543</v>
      </c>
      <c r="K64" s="30">
        <f>VLOOKUP(I64,PriceData!$A$5:$D$7,MATCH($E64,PriceData!$A$4:$D$4,0),FALSE)</f>
        <v>5.0000000000000001E-3</v>
      </c>
      <c r="L64" s="2">
        <f t="shared" si="32"/>
        <v>406.81126774628319</v>
      </c>
      <c r="M64" s="2">
        <f t="shared" si="33"/>
        <v>-4068.1126774628319</v>
      </c>
      <c r="N64" s="4" t="s">
        <v>58</v>
      </c>
      <c r="P64" s="60">
        <f t="shared" si="34"/>
        <v>-2865.1110308839361</v>
      </c>
      <c r="Q64" s="60">
        <f t="shared" si="35"/>
        <v>8355.7862474652648</v>
      </c>
      <c r="R64" s="58">
        <f t="shared" si="36"/>
        <v>14.700417788778919</v>
      </c>
      <c r="S64" s="58">
        <f t="shared" si="37"/>
        <v>634.42730798547746</v>
      </c>
      <c r="T64" s="58">
        <f t="shared" si="38"/>
        <v>-5.098150078692246</v>
      </c>
      <c r="U64" s="2">
        <f t="shared" si="39"/>
        <v>-6.095636063201507</v>
      </c>
      <c r="V64" s="65">
        <f t="shared" si="40"/>
        <v>28651.110308839361</v>
      </c>
      <c r="W64" s="65">
        <f t="shared" si="41"/>
        <v>-83557.862474652648</v>
      </c>
      <c r="X64" s="66">
        <f t="shared" si="42"/>
        <v>-147.00417788778918</v>
      </c>
      <c r="Y64" s="66">
        <f t="shared" si="43"/>
        <v>-6344.2730798547746</v>
      </c>
      <c r="Z64" s="66">
        <f t="shared" si="44"/>
        <v>50.98150078692246</v>
      </c>
      <c r="AA64" s="66">
        <f t="shared" si="45"/>
        <v>60.95636063201507</v>
      </c>
      <c r="AB64" s="66">
        <f t="shared" si="46"/>
        <v>-9723.9500168280028</v>
      </c>
      <c r="AC64" s="66">
        <f t="shared" si="47"/>
        <v>-3797.8243180972095</v>
      </c>
      <c r="AD64" s="66">
        <f t="shared" si="48"/>
        <v>-1654.2033698165824</v>
      </c>
      <c r="AE64" s="66">
        <f t="shared" si="49"/>
        <v>-607.27766822810281</v>
      </c>
      <c r="AF64" s="66">
        <f t="shared" si="50"/>
        <v>540.44498706253307</v>
      </c>
      <c r="AG64" s="66">
        <f t="shared" si="51"/>
        <v>1236.9547511919791</v>
      </c>
      <c r="AH64" s="66">
        <f t="shared" si="52"/>
        <v>2135.818135689542</v>
      </c>
      <c r="AI64" s="66">
        <f t="shared" si="53"/>
        <v>3212.976170935025</v>
      </c>
      <c r="AJ64" s="66">
        <f t="shared" si="54"/>
        <v>1430.0444416351456</v>
      </c>
      <c r="AK64" s="66">
        <f t="shared" si="55"/>
        <v>726.16334045635085</v>
      </c>
      <c r="AL64" s="66">
        <f t="shared" si="56"/>
        <v>292.68364655261848</v>
      </c>
      <c r="AM64" s="66">
        <f t="shared" si="57"/>
        <v>146.68011665180074</v>
      </c>
      <c r="AN64" s="66">
        <f t="shared" si="58"/>
        <v>-147.3147976556902</v>
      </c>
      <c r="AO64" s="66">
        <f t="shared" si="59"/>
        <v>-295.22541906262632</v>
      </c>
      <c r="AP64" s="66">
        <f t="shared" si="60"/>
        <v>-742.1838857813691</v>
      </c>
      <c r="AQ64" s="66">
        <f t="shared" si="61"/>
        <v>-1496.1119791662486</v>
      </c>
    </row>
    <row r="65" spans="1:43" x14ac:dyDescent="0.35">
      <c r="A65" s="3" t="s">
        <v>67</v>
      </c>
      <c r="B65" s="4">
        <f>VLOOKUP(A65,PriceData!$K$4:$L$6,2,FALSE)</f>
        <v>10022</v>
      </c>
      <c r="C65" s="46">
        <f>VLOOKUP(A65,PriceData!$K$4:$M$6,3,FALSE)</f>
        <v>5.0000000000000001E-3</v>
      </c>
      <c r="D65" s="4" t="s">
        <v>59</v>
      </c>
      <c r="E65" s="4" t="s">
        <v>68</v>
      </c>
      <c r="F65" s="4">
        <v>-20</v>
      </c>
      <c r="G65">
        <v>10022</v>
      </c>
      <c r="H65" s="4" t="s">
        <v>60</v>
      </c>
      <c r="I65" s="5">
        <v>40256</v>
      </c>
      <c r="J65" s="46">
        <f t="shared" si="62"/>
        <v>0.41000000000000003</v>
      </c>
      <c r="K65" s="30">
        <f>VLOOKUP(I65,PriceData!$A$5:$D$7,MATCH($E65,PriceData!$A$4:$D$4,0),FALSE)</f>
        <v>5.0000000000000001E-3</v>
      </c>
      <c r="L65" s="2">
        <f t="shared" si="32"/>
        <v>705.96860456899594</v>
      </c>
      <c r="M65" s="2">
        <f t="shared" si="33"/>
        <v>-14119.372091379919</v>
      </c>
      <c r="N65" s="4" t="s">
        <v>61</v>
      </c>
      <c r="P65" s="60">
        <f t="shared" si="34"/>
        <v>-4653.3500902536016</v>
      </c>
      <c r="Q65" s="60">
        <f t="shared" si="35"/>
        <v>11241.853599719911</v>
      </c>
      <c r="R65" s="58">
        <f t="shared" si="36"/>
        <v>17.173856348503627</v>
      </c>
      <c r="S65" s="58">
        <f t="shared" si="37"/>
        <v>-32.795007876457611</v>
      </c>
      <c r="T65" s="58">
        <f t="shared" si="38"/>
        <v>-5.1677417728495127</v>
      </c>
      <c r="U65" s="2">
        <f t="shared" si="39"/>
        <v>-9.9844841437790883</v>
      </c>
      <c r="V65" s="65">
        <f t="shared" si="40"/>
        <v>93067.001805072039</v>
      </c>
      <c r="W65" s="65">
        <f t="shared" si="41"/>
        <v>-224837.0719943982</v>
      </c>
      <c r="X65" s="66">
        <f t="shared" si="42"/>
        <v>-343.4771269700725</v>
      </c>
      <c r="Y65" s="66">
        <f t="shared" si="43"/>
        <v>655.90015752915224</v>
      </c>
      <c r="Z65" s="66">
        <f t="shared" si="44"/>
        <v>103.35483545699026</v>
      </c>
      <c r="AA65" s="66">
        <f t="shared" si="45"/>
        <v>199.68968287558175</v>
      </c>
      <c r="AB65" s="66">
        <f t="shared" si="46"/>
        <v>-27494.283790220197</v>
      </c>
      <c r="AC65" s="66">
        <f t="shared" si="47"/>
        <v>-11607.502321438715</v>
      </c>
      <c r="AD65" s="66">
        <f t="shared" si="48"/>
        <v>-5225.9472425060449</v>
      </c>
      <c r="AE65" s="66">
        <f t="shared" si="49"/>
        <v>-1952.0870799427757</v>
      </c>
      <c r="AF65" s="66">
        <f t="shared" si="50"/>
        <v>1772.3862696878678</v>
      </c>
      <c r="AG65" s="66">
        <f t="shared" si="51"/>
        <v>4108.3332229109055</v>
      </c>
      <c r="AH65" s="66">
        <f t="shared" si="52"/>
        <v>7214.4987530558137</v>
      </c>
      <c r="AI65" s="66">
        <f t="shared" si="53"/>
        <v>11074.770231169128</v>
      </c>
      <c r="AJ65" s="66">
        <f t="shared" si="54"/>
        <v>3437.7858694090173</v>
      </c>
      <c r="AK65" s="66">
        <f t="shared" si="55"/>
        <v>1718.1724194941671</v>
      </c>
      <c r="AL65" s="66">
        <f t="shared" si="56"/>
        <v>687.08331705947785</v>
      </c>
      <c r="AM65" s="66">
        <f t="shared" si="57"/>
        <v>343.50965740144602</v>
      </c>
      <c r="AN65" s="66">
        <f t="shared" si="58"/>
        <v>-343.44406746189634</v>
      </c>
      <c r="AO65" s="66">
        <f t="shared" si="59"/>
        <v>-686.82095821524854</v>
      </c>
      <c r="AP65" s="66">
        <f t="shared" si="60"/>
        <v>-1716.5327167073337</v>
      </c>
      <c r="AQ65" s="66">
        <f t="shared" si="61"/>
        <v>-3431.2276295010088</v>
      </c>
    </row>
    <row r="66" spans="1:43" x14ac:dyDescent="0.35">
      <c r="A66" s="3" t="s">
        <v>67</v>
      </c>
      <c r="B66" s="4">
        <f>VLOOKUP(A66,PriceData!$K$4:$L$6,2,FALSE)</f>
        <v>10022</v>
      </c>
      <c r="C66" s="46">
        <f>VLOOKUP(A66,PriceData!$K$4:$M$6,3,FALSE)</f>
        <v>5.0000000000000001E-3</v>
      </c>
      <c r="D66" s="4" t="s">
        <v>59</v>
      </c>
      <c r="E66" s="4" t="s">
        <v>68</v>
      </c>
      <c r="F66" s="4">
        <v>-20</v>
      </c>
      <c r="G66">
        <v>10323</v>
      </c>
      <c r="H66" s="4" t="s">
        <v>62</v>
      </c>
      <c r="I66" s="5">
        <v>40256</v>
      </c>
      <c r="J66" s="46">
        <f t="shared" si="62"/>
        <v>0.39753782583952535</v>
      </c>
      <c r="K66" s="30">
        <f>VLOOKUP(I66,PriceData!$A$5:$D$7,MATCH($E66,PriceData!$A$4:$D$4,0),FALSE)</f>
        <v>5.0000000000000001E-3</v>
      </c>
      <c r="L66" s="2">
        <f t="shared" si="32"/>
        <v>554.76515320714407</v>
      </c>
      <c r="M66" s="2">
        <f t="shared" si="33"/>
        <v>-11095.303064142881</v>
      </c>
      <c r="N66" s="4" t="s">
        <v>58</v>
      </c>
      <c r="P66" s="60">
        <f t="shared" si="34"/>
        <v>4660.5885132066678</v>
      </c>
      <c r="Q66" s="60">
        <f t="shared" si="35"/>
        <v>11596.114854726689</v>
      </c>
      <c r="R66" s="58">
        <f t="shared" si="36"/>
        <v>17.17659241382335</v>
      </c>
      <c r="S66" s="58">
        <f t="shared" si="37"/>
        <v>96.703682221908721</v>
      </c>
      <c r="T66" s="58">
        <f t="shared" si="38"/>
        <v>-5.0132425387673099</v>
      </c>
      <c r="U66" s="2">
        <f t="shared" si="39"/>
        <v>7.64920516383473</v>
      </c>
      <c r="V66" s="65">
        <f t="shared" si="40"/>
        <v>-93211.77026413336</v>
      </c>
      <c r="W66" s="65">
        <f t="shared" si="41"/>
        <v>-231922.2970945338</v>
      </c>
      <c r="X66" s="66">
        <f t="shared" si="42"/>
        <v>-343.53184827646703</v>
      </c>
      <c r="Y66" s="66">
        <f t="shared" si="43"/>
        <v>-1934.0736444381744</v>
      </c>
      <c r="Z66" s="66">
        <f t="shared" si="44"/>
        <v>100.26485077534619</v>
      </c>
      <c r="AA66" s="66">
        <f t="shared" si="45"/>
        <v>-152.98410327669461</v>
      </c>
      <c r="AB66" s="66">
        <f t="shared" si="46"/>
        <v>10125.81779138988</v>
      </c>
      <c r="AC66" s="66">
        <f t="shared" si="47"/>
        <v>7031.6294979884924</v>
      </c>
      <c r="AD66" s="66">
        <f t="shared" si="48"/>
        <v>4080.1648528453916</v>
      </c>
      <c r="AE66" s="66">
        <f t="shared" si="49"/>
        <v>1771.264878594302</v>
      </c>
      <c r="AF66" s="66">
        <f t="shared" si="50"/>
        <v>-1956.5974605226438</v>
      </c>
      <c r="AG66" s="66">
        <f t="shared" si="51"/>
        <v>-5231.8047336531527</v>
      </c>
      <c r="AH66" s="66">
        <f t="shared" si="52"/>
        <v>-11545.138701877386</v>
      </c>
      <c r="AI66" s="66">
        <f t="shared" si="53"/>
        <v>-26838.976749679059</v>
      </c>
      <c r="AJ66" s="66">
        <f t="shared" si="54"/>
        <v>3421.1060963604905</v>
      </c>
      <c r="AK66" s="66">
        <f t="shared" si="55"/>
        <v>1714.749563868445</v>
      </c>
      <c r="AL66" s="66">
        <f t="shared" si="56"/>
        <v>686.64768909626218</v>
      </c>
      <c r="AM66" s="66">
        <f t="shared" si="57"/>
        <v>343.43158163541375</v>
      </c>
      <c r="AN66" s="66">
        <f t="shared" si="58"/>
        <v>-343.62514877728245</v>
      </c>
      <c r="AO66" s="66">
        <f t="shared" si="59"/>
        <v>-687.42387969756237</v>
      </c>
      <c r="AP66" s="66">
        <f t="shared" si="60"/>
        <v>-1719.6860981121608</v>
      </c>
      <c r="AQ66" s="66">
        <f t="shared" si="61"/>
        <v>-3442.1476443531901</v>
      </c>
    </row>
    <row r="67" spans="1:43" x14ac:dyDescent="0.35">
      <c r="A67" s="3" t="s">
        <v>67</v>
      </c>
      <c r="B67" s="4">
        <f>VLOOKUP(A67,PriceData!$K$4:$L$6,2,FALSE)</f>
        <v>10022</v>
      </c>
      <c r="C67" s="46">
        <f>VLOOKUP(A67,PriceData!$K$4:$M$6,3,FALSE)</f>
        <v>5.0000000000000001E-3</v>
      </c>
      <c r="D67" s="4" t="s">
        <v>59</v>
      </c>
      <c r="E67" s="4" t="s">
        <v>68</v>
      </c>
      <c r="F67" s="4">
        <v>-20</v>
      </c>
      <c r="G67">
        <v>10323</v>
      </c>
      <c r="H67" s="4" t="s">
        <v>60</v>
      </c>
      <c r="I67" s="5">
        <v>40256</v>
      </c>
      <c r="J67" s="46">
        <f t="shared" si="62"/>
        <v>0.39753782583952535</v>
      </c>
      <c r="K67" s="30">
        <f>VLOOKUP(I67,PriceData!$A$5:$D$7,MATCH($E67,PriceData!$A$4:$D$4,0),FALSE)</f>
        <v>5.0000000000000001E-3</v>
      </c>
      <c r="L67" s="2">
        <f t="shared" si="32"/>
        <v>855.48490019456494</v>
      </c>
      <c r="M67" s="2">
        <f t="shared" si="33"/>
        <v>-17109.698003891299</v>
      </c>
      <c r="N67" s="4" t="s">
        <v>58</v>
      </c>
      <c r="P67" s="60">
        <f t="shared" si="34"/>
        <v>-5352.0802718695322</v>
      </c>
      <c r="Q67" s="60">
        <f t="shared" si="35"/>
        <v>11596.114854726689</v>
      </c>
      <c r="R67" s="58">
        <f t="shared" si="36"/>
        <v>17.17659241382335</v>
      </c>
      <c r="S67" s="58">
        <f t="shared" si="37"/>
        <v>96.703682221908721</v>
      </c>
      <c r="T67" s="58">
        <f t="shared" si="38"/>
        <v>-5.0091230901784405</v>
      </c>
      <c r="U67" s="2">
        <f t="shared" si="39"/>
        <v>-11.564778950694759</v>
      </c>
      <c r="V67" s="65">
        <f t="shared" si="40"/>
        <v>107041.60543739065</v>
      </c>
      <c r="W67" s="65">
        <f t="shared" si="41"/>
        <v>-231922.2970945338</v>
      </c>
      <c r="X67" s="66">
        <f t="shared" si="42"/>
        <v>-343.53184827646703</v>
      </c>
      <c r="Y67" s="66">
        <f t="shared" si="43"/>
        <v>-1934.0736444381744</v>
      </c>
      <c r="Z67" s="66">
        <f t="shared" si="44"/>
        <v>100.18246180356881</v>
      </c>
      <c r="AA67" s="66">
        <f t="shared" si="45"/>
        <v>231.29557901389518</v>
      </c>
      <c r="AB67" s="66">
        <f t="shared" si="46"/>
        <v>-29924.857348914884</v>
      </c>
      <c r="AC67" s="66">
        <f t="shared" si="47"/>
        <v>-12993.708072163863</v>
      </c>
      <c r="AD67" s="66">
        <f t="shared" si="48"/>
        <v>-5932.5039322308294</v>
      </c>
      <c r="AE67" s="66">
        <f t="shared" si="49"/>
        <v>-2233.8026354362046</v>
      </c>
      <c r="AF67" s="66">
        <f t="shared" si="50"/>
        <v>2048.4700535078446</v>
      </c>
      <c r="AG67" s="66">
        <f t="shared" si="51"/>
        <v>4780.8640514230319</v>
      </c>
      <c r="AH67" s="66">
        <f t="shared" si="52"/>
        <v>8480.1988682750289</v>
      </c>
      <c r="AI67" s="66">
        <f t="shared" si="53"/>
        <v>13211.698390625706</v>
      </c>
      <c r="AJ67" s="66">
        <f t="shared" si="54"/>
        <v>3421.1060963604905</v>
      </c>
      <c r="AK67" s="66">
        <f t="shared" si="55"/>
        <v>1714.749563868445</v>
      </c>
      <c r="AL67" s="66">
        <f t="shared" si="56"/>
        <v>686.64768909628037</v>
      </c>
      <c r="AM67" s="66">
        <f t="shared" si="57"/>
        <v>343.43158163543194</v>
      </c>
      <c r="AN67" s="66">
        <f t="shared" si="58"/>
        <v>-343.62514877730064</v>
      </c>
      <c r="AO67" s="66">
        <f t="shared" si="59"/>
        <v>-687.42387969754418</v>
      </c>
      <c r="AP67" s="66">
        <f t="shared" si="60"/>
        <v>-1719.686098112179</v>
      </c>
      <c r="AQ67" s="66">
        <f t="shared" si="61"/>
        <v>-3442.1476443532083</v>
      </c>
    </row>
    <row r="68" spans="1:43" x14ac:dyDescent="0.35">
      <c r="A68" s="3" t="s">
        <v>67</v>
      </c>
      <c r="B68" s="4">
        <f>VLOOKUP(A68,PriceData!$K$4:$L$6,2,FALSE)</f>
        <v>10022</v>
      </c>
      <c r="C68" s="46">
        <f>VLOOKUP(A68,PriceData!$K$4:$M$6,3,FALSE)</f>
        <v>5.0000000000000001E-3</v>
      </c>
      <c r="D68" s="4" t="s">
        <v>59</v>
      </c>
      <c r="E68" s="4" t="s">
        <v>68</v>
      </c>
      <c r="F68" s="4">
        <v>50</v>
      </c>
      <c r="G68">
        <v>8519</v>
      </c>
      <c r="H68" s="4" t="s">
        <v>60</v>
      </c>
      <c r="I68" s="5">
        <v>40256</v>
      </c>
      <c r="J68" s="46">
        <f t="shared" si="62"/>
        <v>0.53413924786865796</v>
      </c>
      <c r="K68" s="30">
        <f>VLOOKUP(I68,PriceData!$A$5:$D$7,MATCH($E68,PriceData!$A$4:$D$4,0),FALSE)</f>
        <v>5.0000000000000001E-3</v>
      </c>
      <c r="L68" s="2">
        <f t="shared" si="32"/>
        <v>300.50652353568876</v>
      </c>
      <c r="M68" s="2">
        <f t="shared" si="33"/>
        <v>15025.326176784438</v>
      </c>
      <c r="N68" s="4" t="s">
        <v>58</v>
      </c>
      <c r="P68" s="60">
        <f t="shared" si="34"/>
        <v>-2063.5656328803757</v>
      </c>
      <c r="Q68" s="60">
        <f t="shared" si="35"/>
        <v>6189.3048272388996</v>
      </c>
      <c r="R68" s="58">
        <f t="shared" si="36"/>
        <v>12.318062603675854</v>
      </c>
      <c r="S68" s="58">
        <f t="shared" si="37"/>
        <v>1114.822410604223</v>
      </c>
      <c r="T68" s="58">
        <f t="shared" si="38"/>
        <v>-4.8337957475203792</v>
      </c>
      <c r="U68" s="2">
        <f t="shared" si="39"/>
        <v>-4.4042988119532156</v>
      </c>
      <c r="V68" s="65">
        <f t="shared" si="40"/>
        <v>-103178.28164401879</v>
      </c>
      <c r="W68" s="65">
        <f t="shared" si="41"/>
        <v>309465.24136194499</v>
      </c>
      <c r="X68" s="66">
        <f t="shared" si="42"/>
        <v>615.90313018379265</v>
      </c>
      <c r="Y68" s="66">
        <f t="shared" si="43"/>
        <v>55741.120530211148</v>
      </c>
      <c r="Z68" s="66">
        <f t="shared" si="44"/>
        <v>-241.68978737601896</v>
      </c>
      <c r="AA68" s="66">
        <f t="shared" si="45"/>
        <v>-220.21494059766079</v>
      </c>
      <c r="AB68" s="66">
        <f t="shared" si="46"/>
        <v>36700.960894180069</v>
      </c>
      <c r="AC68" s="66">
        <f t="shared" si="47"/>
        <v>13890.151227804427</v>
      </c>
      <c r="AD68" s="66">
        <f t="shared" si="48"/>
        <v>5992.1227831198621</v>
      </c>
      <c r="AE68" s="66">
        <f t="shared" si="49"/>
        <v>2191.1366109751725</v>
      </c>
      <c r="AF68" s="66">
        <f t="shared" si="50"/>
        <v>-1943.5109004449373</v>
      </c>
      <c r="AG68" s="66">
        <f t="shared" si="51"/>
        <v>-4442.7460041289805</v>
      </c>
      <c r="AH68" s="66">
        <f t="shared" si="52"/>
        <v>-7670.2897368774302</v>
      </c>
      <c r="AI68" s="66">
        <f t="shared" si="53"/>
        <v>-11591.006406326636</v>
      </c>
      <c r="AJ68" s="66">
        <f t="shared" si="54"/>
        <v>-5827.1398621008302</v>
      </c>
      <c r="AK68" s="66">
        <f t="shared" si="55"/>
        <v>-3003.691001636264</v>
      </c>
      <c r="AL68" s="66">
        <f t="shared" si="56"/>
        <v>-1220.281804027627</v>
      </c>
      <c r="AM68" s="66">
        <f t="shared" si="57"/>
        <v>-613.06972698765776</v>
      </c>
      <c r="AN68" s="66">
        <f t="shared" si="58"/>
        <v>618.6451504045408</v>
      </c>
      <c r="AO68" s="66">
        <f t="shared" si="59"/>
        <v>1242.5992427091614</v>
      </c>
      <c r="AP68" s="66">
        <f t="shared" si="60"/>
        <v>3143.8660996588396</v>
      </c>
      <c r="AQ68" s="66">
        <f t="shared" si="61"/>
        <v>6397.8403888588218</v>
      </c>
    </row>
    <row r="69" spans="1:43" x14ac:dyDescent="0.35">
      <c r="A69" s="3" t="s">
        <v>67</v>
      </c>
      <c r="B69" s="4">
        <f>VLOOKUP(A69,PriceData!$K$4:$L$6,2,FALSE)</f>
        <v>10022</v>
      </c>
      <c r="C69" s="46">
        <f>VLOOKUP(A69,PriceData!$K$4:$M$6,3,FALSE)</f>
        <v>5.0000000000000001E-3</v>
      </c>
      <c r="D69" s="4" t="s">
        <v>59</v>
      </c>
      <c r="E69" s="4" t="s">
        <v>68</v>
      </c>
      <c r="F69" s="4">
        <v>-20</v>
      </c>
      <c r="G69">
        <v>9120</v>
      </c>
      <c r="H69" s="4" t="s">
        <v>60</v>
      </c>
      <c r="I69" s="5">
        <v>40256</v>
      </c>
      <c r="J69" s="46">
        <f t="shared" si="62"/>
        <v>0.47216774083559543</v>
      </c>
      <c r="K69" s="30">
        <f>VLOOKUP(I69,PriceData!$A$5:$D$7,MATCH($E69,PriceData!$A$4:$D$4,0),FALSE)</f>
        <v>5.0000000000000001E-3</v>
      </c>
      <c r="L69" s="2">
        <f t="shared" ref="L69:L87" si="63">BSPrice($B69,$J69, $K69, $C69, ($I69-$B$1)/365, $G69, $H69, $D69)</f>
        <v>406.81126774628319</v>
      </c>
      <c r="M69" s="2">
        <f t="shared" ref="M69:M100" si="64">F69*L69</f>
        <v>-8136.2253549256639</v>
      </c>
      <c r="N69" s="4" t="s">
        <v>61</v>
      </c>
      <c r="P69" s="60">
        <f t="shared" ref="P69:P87" si="65">BSDelta(B69, J69, K69, C69, (I69-$B$1)/365, G69, H69, D69)</f>
        <v>-2865.1110308839361</v>
      </c>
      <c r="Q69" s="60">
        <f t="shared" ref="Q69:Q87" si="66">BSGamma(B69, J69, K69, C69, (I69-$B$1)/365, G69, D69)</f>
        <v>8355.7862474652648</v>
      </c>
      <c r="R69" s="58">
        <f t="shared" ref="R69:R87" si="67">BSVega(B69, J69, K69, C69, (I69-$B$1)/365,G69, D69)</f>
        <v>14.700417788778919</v>
      </c>
      <c r="S69" s="58">
        <f t="shared" ref="S69:S87" si="68">BSVolga(B69, J69, K69, C69, (I69-$B$1)/365,G69, D69)</f>
        <v>634.42730798547746</v>
      </c>
      <c r="T69" s="58">
        <f t="shared" ref="T69:T87" si="69">BSTheta(B69,J69,K69, C69, (I69-$B$1)/365, G69, H69, D69)</f>
        <v>-5.098150078692246</v>
      </c>
      <c r="U69" s="2">
        <f t="shared" ref="U69:U87" si="70">BSRho(B69, J69, K69, C69, (I69-$B$1)/365, G69, H69, D69)</f>
        <v>-6.095636063201507</v>
      </c>
      <c r="V69" s="65">
        <f t="shared" ref="V69:V87" si="71">$F69*$P69</f>
        <v>57302.220617678722</v>
      </c>
      <c r="W69" s="65">
        <f t="shared" ref="W69:W87" si="72">$F69*$Q69</f>
        <v>-167115.7249493053</v>
      </c>
      <c r="X69" s="66">
        <f t="shared" ref="X69:X87" si="73">$F69*R69</f>
        <v>-294.00835577557837</v>
      </c>
      <c r="Y69" s="66">
        <f t="shared" ref="Y69:Y87" si="74">$F69*S69</f>
        <v>-12688.546159709549</v>
      </c>
      <c r="Z69" s="66">
        <f t="shared" ref="Z69:Z87" si="75">$F69*T69</f>
        <v>101.96300157384492</v>
      </c>
      <c r="AA69" s="66">
        <f t="shared" ref="AA69:AA87" si="76">$F69*U69</f>
        <v>121.91272126403014</v>
      </c>
      <c r="AB69" s="66">
        <f t="shared" ref="AB69:AB87" si="77">(BSPrice($B69*0.8,$J69, $K69, $C69, ($I69-$B$1)/365, $G69, $H69, $D69) - BSPrice($B69,$J69, $K69, $C69, ($I69-$B$1)/365, $G69, $H69, $D69)) * $F69</f>
        <v>-19447.900033656006</v>
      </c>
      <c r="AC69" s="66">
        <f t="shared" ref="AC69:AC87" si="78">(BSPrice($B69*0.9,$J69, $K69, $C69, ($I69-$B$1)/365, $G69, $H69, $D69) - BSPrice($B69,$J69, $K69, $C69, ($I69-$B$1)/365, $G69, $H69, $D69)) * $F69</f>
        <v>-7595.6486361944189</v>
      </c>
      <c r="AD69" s="66">
        <f t="shared" ref="AD69:AD87" si="79">(BSPrice($B69*0.95,$J69, $K69, $C69, ($I69-$B$1)/365, $G69, $H69, $D69) - BSPrice($B69,$J69, $K69, $C69, ($I69-$B$1)/365, $G69, $H69, $D69)) * $F69</f>
        <v>-3308.4067396331648</v>
      </c>
      <c r="AE69" s="66">
        <f t="shared" ref="AE69:AE87" si="80">(BSPrice($B69*0.98,$J69, $K69, $C69, ($I69-$B$1)/365, $G69, $H69, $D69) - BSPrice($B69,$J69, $K69, $C69, ($I69-$B$1)/365, $G69, $H69, $D69)) * $F69</f>
        <v>-1214.5553364562056</v>
      </c>
      <c r="AF69" s="66">
        <f t="shared" ref="AF69:AF87" si="81">(BSPrice($B69*1.02,$J69, $K69, $C69, ($I69-$B$1)/365, $G69, $H69, $D69) - BSPrice($B69,$J69, $K69, $C69, ($I69-$B$1)/365, $G69, $H69, $D69)) * $F69</f>
        <v>1080.8899741250661</v>
      </c>
      <c r="AG69" s="66">
        <f t="shared" ref="AG69:AG87" si="82">(BSPrice($B69*1.05,$J69, $K69, $C69, ($I69-$B$1)/365, $G69, $H69, $D69) - BSPrice($B69,$J69, $K69, $C69, ($I69-$B$1)/365, $G69, $H69, $D69)) * $F69</f>
        <v>2473.9095023839582</v>
      </c>
      <c r="AH69" s="66">
        <f t="shared" ref="AH69:AH87" si="83">(BSPrice($B69*1.1,$J69, $K69, $C69, ($I69-$B$1)/365, $G69, $H69, $D69) - BSPrice($B69,$J69, $K69, $C69, ($I69-$B$1)/365, $G69, $H69, $D69)) * $F69</f>
        <v>4271.6362713790841</v>
      </c>
      <c r="AI69" s="66">
        <f t="shared" ref="AI69:AI87" si="84">(BSPrice($B69*1.2,$J69, $K69, $C69, ($I69-$B$1)/365, $G69, $H69, $D69) - BSPrice($B69,$J69, $K69, $C69, ($I69-$B$1)/365, $G69, $H69, $D69)) * $F69</f>
        <v>6425.9523418700501</v>
      </c>
      <c r="AJ69" s="66">
        <f t="shared" ref="AJ69:AJ87" si="85">(BSPrice($B69,$J69-0.1, $K69, $C69, ($I69-$B$1)/365, $G69, $H69, $D69) - BSPrice($B69,$J69, $K69, $C69, ($I69-$B$1)/365, $G69, $H69, $D69)) * $F69</f>
        <v>2860.0888832702913</v>
      </c>
      <c r="AK69" s="66">
        <f t="shared" ref="AK69:AK87" si="86">(BSPrice($B69,$J69-0.05,$K69,$C69,($I69-$B$1)/365,$G69,$H69,$D69)-BSPrice($B69,$J69,$K69,$C69,($I69-$B$1)/365,$G69,$H69,$D69))*$F69</f>
        <v>1452.3266809127017</v>
      </c>
      <c r="AL69" s="66">
        <f t="shared" ref="AL69:AL87" si="87">(BSPrice($B69,$J69-0.02, $K69, $C69, ($I69-$B$1)/365, $G69, $H69, $D69) - BSPrice($B69,$J69, $K69, $C69, ($I69-$B$1)/365, $G69, $H69, $D69)) * $F69</f>
        <v>585.36729310523697</v>
      </c>
      <c r="AM69" s="66">
        <f t="shared" ref="AM69:AM87" si="88">(BSPrice($B69,$J69-0.01, $K69, $C69, ($I69-$B$1)/365, $G69, $H69, $D69) - BSPrice($B69,$J69, $K69, $C69, ($I69-$B$1)/365, $G69, $H69, $D69)) * $F69</f>
        <v>293.36023330360149</v>
      </c>
      <c r="AN69" s="66">
        <f t="shared" ref="AN69:AN87" si="89">(BSPrice($B69,$J69+0.01, $K69, $C69, ($I69-$B$1)/365, $G69, $H69, $D69) - BSPrice($B69,$J69, $K69, $C69, ($I69-$B$1)/365, $G69, $H69, $D69)) * $F69</f>
        <v>-294.6295953113804</v>
      </c>
      <c r="AO69" s="66">
        <f t="shared" ref="AO69:AO87" si="90">(BSPrice($B69,$J69+0.02, $K69, $C69, ($I69-$B$1)/365, $G69, $H69, $D69) - BSPrice($B69,$J69, $K69, $C69, ($I69-$B$1)/365, $G69, $H69, $D69)) * $F69</f>
        <v>-590.45083812525263</v>
      </c>
      <c r="AP69" s="66">
        <f t="shared" ref="AP69:AP87" si="91">(BSPrice($B69,$J69+0.05, $K69, $C69, ($I69-$B$1)/365, $G69, $H69, $D69) - BSPrice($B69,$J69, $K69, $C69, ($I69-$B$1)/365, $G69, $H69, $D69)) * $F69</f>
        <v>-1484.3677715627382</v>
      </c>
      <c r="AQ69" s="66">
        <f t="shared" ref="AQ69:AQ87" si="92">(BSPrice($B69,$J69+0.1, $K69, $C69, ($I69-$B$1)/365, $G69, $H69, $D69) - BSPrice($B69,$J69, $K69, $C69, ($I69-$B$1)/365, $G69, $H69, $D69)) * $F69</f>
        <v>-2992.2239583324972</v>
      </c>
    </row>
    <row r="70" spans="1:43" x14ac:dyDescent="0.35">
      <c r="A70" s="3" t="s">
        <v>67</v>
      </c>
      <c r="B70" s="4">
        <f>VLOOKUP(A70,PriceData!$K$4:$L$6,2,FALSE)</f>
        <v>10022</v>
      </c>
      <c r="C70" s="46">
        <f>VLOOKUP(A70,PriceData!$K$4:$M$6,3,FALSE)</f>
        <v>5.0000000000000001E-3</v>
      </c>
      <c r="D70" s="4" t="s">
        <v>59</v>
      </c>
      <c r="E70" s="4" t="s">
        <v>68</v>
      </c>
      <c r="F70" s="4">
        <v>-20</v>
      </c>
      <c r="G70">
        <v>9120</v>
      </c>
      <c r="H70" s="4" t="s">
        <v>60</v>
      </c>
      <c r="I70" s="5">
        <v>40256</v>
      </c>
      <c r="J70" s="46">
        <f t="shared" si="62"/>
        <v>0.47216774083559543</v>
      </c>
      <c r="K70" s="30">
        <f>VLOOKUP(I70,PriceData!$A$5:$D$7,MATCH($E70,PriceData!$A$4:$D$4,0),FALSE)</f>
        <v>5.0000000000000001E-3</v>
      </c>
      <c r="L70" s="2">
        <f t="shared" si="63"/>
        <v>406.81126774628319</v>
      </c>
      <c r="M70" s="2">
        <f t="shared" si="64"/>
        <v>-8136.2253549256639</v>
      </c>
      <c r="N70" s="4" t="s">
        <v>58</v>
      </c>
      <c r="P70" s="60">
        <f t="shared" si="65"/>
        <v>-2865.1110308839361</v>
      </c>
      <c r="Q70" s="60">
        <f t="shared" si="66"/>
        <v>8355.7862474652648</v>
      </c>
      <c r="R70" s="58">
        <f t="shared" si="67"/>
        <v>14.700417788778919</v>
      </c>
      <c r="S70" s="58">
        <f t="shared" si="68"/>
        <v>634.42730798547746</v>
      </c>
      <c r="T70" s="58">
        <f t="shared" si="69"/>
        <v>-5.098150078692246</v>
      </c>
      <c r="U70" s="2">
        <f t="shared" si="70"/>
        <v>-6.095636063201507</v>
      </c>
      <c r="V70" s="65">
        <f t="shared" si="71"/>
        <v>57302.220617678722</v>
      </c>
      <c r="W70" s="65">
        <f t="shared" si="72"/>
        <v>-167115.7249493053</v>
      </c>
      <c r="X70" s="66">
        <f t="shared" si="73"/>
        <v>-294.00835577557837</v>
      </c>
      <c r="Y70" s="66">
        <f t="shared" si="74"/>
        <v>-12688.546159709549</v>
      </c>
      <c r="Z70" s="66">
        <f t="shared" si="75"/>
        <v>101.96300157384492</v>
      </c>
      <c r="AA70" s="66">
        <f t="shared" si="76"/>
        <v>121.91272126403014</v>
      </c>
      <c r="AB70" s="66">
        <f t="shared" si="77"/>
        <v>-19447.900033656006</v>
      </c>
      <c r="AC70" s="66">
        <f t="shared" si="78"/>
        <v>-7595.6486361944189</v>
      </c>
      <c r="AD70" s="66">
        <f t="shared" si="79"/>
        <v>-3308.4067396331648</v>
      </c>
      <c r="AE70" s="66">
        <f t="shared" si="80"/>
        <v>-1214.5553364562056</v>
      </c>
      <c r="AF70" s="66">
        <f t="shared" si="81"/>
        <v>1080.8899741250661</v>
      </c>
      <c r="AG70" s="66">
        <f t="shared" si="82"/>
        <v>2473.9095023839582</v>
      </c>
      <c r="AH70" s="66">
        <f t="shared" si="83"/>
        <v>4271.6362713790841</v>
      </c>
      <c r="AI70" s="66">
        <f t="shared" si="84"/>
        <v>6425.9523418700501</v>
      </c>
      <c r="AJ70" s="66">
        <f t="shared" si="85"/>
        <v>2860.0888832702913</v>
      </c>
      <c r="AK70" s="66">
        <f t="shared" si="86"/>
        <v>1452.3266809127017</v>
      </c>
      <c r="AL70" s="66">
        <f t="shared" si="87"/>
        <v>585.36729310523697</v>
      </c>
      <c r="AM70" s="66">
        <f t="shared" si="88"/>
        <v>293.36023330360149</v>
      </c>
      <c r="AN70" s="66">
        <f t="shared" si="89"/>
        <v>-294.6295953113804</v>
      </c>
      <c r="AO70" s="66">
        <f t="shared" si="90"/>
        <v>-590.45083812525263</v>
      </c>
      <c r="AP70" s="66">
        <f t="shared" si="91"/>
        <v>-1484.3677715627382</v>
      </c>
      <c r="AQ70" s="66">
        <f t="shared" si="92"/>
        <v>-2992.2239583324972</v>
      </c>
    </row>
    <row r="71" spans="1:43" x14ac:dyDescent="0.35">
      <c r="A71" s="3" t="s">
        <v>67</v>
      </c>
      <c r="B71" s="4">
        <f>VLOOKUP(A71,PriceData!$K$4:$L$6,2,FALSE)</f>
        <v>10022</v>
      </c>
      <c r="C71" s="46">
        <f>VLOOKUP(A71,PriceData!$K$4:$M$6,3,FALSE)</f>
        <v>5.0000000000000001E-3</v>
      </c>
      <c r="D71" s="4" t="s">
        <v>59</v>
      </c>
      <c r="E71" s="4" t="s">
        <v>68</v>
      </c>
      <c r="F71" s="4">
        <v>-25</v>
      </c>
      <c r="G71">
        <v>10022</v>
      </c>
      <c r="H71" s="4" t="s">
        <v>62</v>
      </c>
      <c r="I71" s="5">
        <v>40256</v>
      </c>
      <c r="J71" s="46">
        <f t="shared" si="62"/>
        <v>0.41000000000000003</v>
      </c>
      <c r="K71" s="30">
        <f>VLOOKUP(I71,PriceData!$A$5:$D$7,MATCH($E71,PriceData!$A$4:$D$4,0),FALSE)</f>
        <v>5.0000000000000001E-3</v>
      </c>
      <c r="L71" s="2">
        <f t="shared" si="63"/>
        <v>705.96860456899594</v>
      </c>
      <c r="M71" s="2">
        <f t="shared" si="64"/>
        <v>-17649.215114224899</v>
      </c>
      <c r="N71" s="4" t="s">
        <v>58</v>
      </c>
      <c r="P71" s="60">
        <f t="shared" si="65"/>
        <v>5359.3186948225975</v>
      </c>
      <c r="Q71" s="60">
        <f t="shared" si="66"/>
        <v>11241.853599719911</v>
      </c>
      <c r="R71" s="58">
        <f t="shared" si="67"/>
        <v>17.173856348503627</v>
      </c>
      <c r="S71" s="58">
        <f t="shared" si="68"/>
        <v>-32.795007876457611</v>
      </c>
      <c r="T71" s="58">
        <f t="shared" si="69"/>
        <v>-5.1677417728495127</v>
      </c>
      <c r="U71" s="2">
        <f t="shared" si="70"/>
        <v>8.6692549626642439</v>
      </c>
      <c r="V71" s="65">
        <f t="shared" si="71"/>
        <v>-133982.96737056493</v>
      </c>
      <c r="W71" s="65">
        <f t="shared" si="72"/>
        <v>-281046.33999299776</v>
      </c>
      <c r="X71" s="66">
        <f t="shared" si="73"/>
        <v>-429.34640871259069</v>
      </c>
      <c r="Y71" s="66">
        <f t="shared" si="74"/>
        <v>819.8751969114403</v>
      </c>
      <c r="Z71" s="66">
        <f t="shared" si="75"/>
        <v>129.19354432123782</v>
      </c>
      <c r="AA71" s="66">
        <f t="shared" si="76"/>
        <v>-216.73137406660609</v>
      </c>
      <c r="AB71" s="66">
        <f t="shared" si="77"/>
        <v>15695.489187605708</v>
      </c>
      <c r="AC71" s="66">
        <f t="shared" si="78"/>
        <v>10522.294060892091</v>
      </c>
      <c r="AD71" s="66">
        <f t="shared" si="79"/>
        <v>5983.4019282126746</v>
      </c>
      <c r="AE71" s="66">
        <f t="shared" si="80"/>
        <v>2566.2255426096635</v>
      </c>
      <c r="AF71" s="66">
        <f t="shared" si="81"/>
        <v>-2790.8515554282531</v>
      </c>
      <c r="AG71" s="66">
        <f t="shared" si="82"/>
        <v>-7380.4194527066102</v>
      </c>
      <c r="AH71" s="66">
        <f t="shared" si="83"/>
        <v>-16013.54852137074</v>
      </c>
      <c r="AI71" s="66">
        <f t="shared" si="84"/>
        <v>-36219.881136419601</v>
      </c>
      <c r="AJ71" s="66">
        <f t="shared" si="85"/>
        <v>4297.2323367612717</v>
      </c>
      <c r="AK71" s="66">
        <f t="shared" si="86"/>
        <v>2147.7155243677089</v>
      </c>
      <c r="AL71" s="66">
        <f t="shared" si="87"/>
        <v>858.85414632434731</v>
      </c>
      <c r="AM71" s="66">
        <f t="shared" si="88"/>
        <v>429.38707175180753</v>
      </c>
      <c r="AN71" s="66">
        <f t="shared" si="89"/>
        <v>-429.30508432737042</v>
      </c>
      <c r="AO71" s="66">
        <f t="shared" si="90"/>
        <v>-858.52619776906067</v>
      </c>
      <c r="AP71" s="66">
        <f t="shared" si="91"/>
        <v>-2145.6658958841672</v>
      </c>
      <c r="AQ71" s="66">
        <f t="shared" si="92"/>
        <v>-4289.034536876261</v>
      </c>
    </row>
    <row r="72" spans="1:43" x14ac:dyDescent="0.35">
      <c r="A72" s="3" t="s">
        <v>67</v>
      </c>
      <c r="B72" s="4">
        <f>VLOOKUP(A72,PriceData!$K$4:$L$6,2,FALSE)</f>
        <v>10022</v>
      </c>
      <c r="C72" s="46">
        <f>VLOOKUP(A72,PriceData!$K$4:$M$6,3,FALSE)</f>
        <v>5.0000000000000001E-3</v>
      </c>
      <c r="D72" s="4" t="s">
        <v>59</v>
      </c>
      <c r="E72" s="4" t="s">
        <v>68</v>
      </c>
      <c r="F72" s="4">
        <v>10</v>
      </c>
      <c r="G72">
        <v>8519</v>
      </c>
      <c r="H72" s="4" t="s">
        <v>60</v>
      </c>
      <c r="I72" s="5">
        <v>40256</v>
      </c>
      <c r="J72" s="46">
        <f t="shared" si="62"/>
        <v>0.53413924786865796</v>
      </c>
      <c r="K72" s="30">
        <f>VLOOKUP(I72,PriceData!$A$5:$D$7,MATCH($E72,PriceData!$A$4:$D$4,0),FALSE)</f>
        <v>5.0000000000000001E-3</v>
      </c>
      <c r="L72" s="2">
        <f t="shared" si="63"/>
        <v>300.50652353568876</v>
      </c>
      <c r="M72" s="2">
        <f t="shared" si="64"/>
        <v>3005.0652353568876</v>
      </c>
      <c r="N72" s="4" t="s">
        <v>63</v>
      </c>
      <c r="P72" s="60">
        <f t="shared" si="65"/>
        <v>-2063.5656328803757</v>
      </c>
      <c r="Q72" s="60">
        <f t="shared" si="66"/>
        <v>6189.3048272388996</v>
      </c>
      <c r="R72" s="58">
        <f t="shared" si="67"/>
        <v>12.318062603675854</v>
      </c>
      <c r="S72" s="58">
        <f t="shared" si="68"/>
        <v>1114.822410604223</v>
      </c>
      <c r="T72" s="58">
        <f t="shared" si="69"/>
        <v>-4.8337957475203792</v>
      </c>
      <c r="U72" s="2">
        <f t="shared" si="70"/>
        <v>-4.4042988119532156</v>
      </c>
      <c r="V72" s="65">
        <f t="shared" si="71"/>
        <v>-20635.656328803758</v>
      </c>
      <c r="W72" s="65">
        <f t="shared" si="72"/>
        <v>61893.048272388995</v>
      </c>
      <c r="X72" s="66">
        <f t="shared" si="73"/>
        <v>123.18062603675854</v>
      </c>
      <c r="Y72" s="66">
        <f t="shared" si="74"/>
        <v>11148.224106042231</v>
      </c>
      <c r="Z72" s="66">
        <f t="shared" si="75"/>
        <v>-48.337957475203794</v>
      </c>
      <c r="AA72" s="66">
        <f t="shared" si="76"/>
        <v>-44.042988119532154</v>
      </c>
      <c r="AB72" s="66">
        <f t="shared" si="77"/>
        <v>7340.1921788360141</v>
      </c>
      <c r="AC72" s="66">
        <f t="shared" si="78"/>
        <v>2778.0302455608853</v>
      </c>
      <c r="AD72" s="66">
        <f t="shared" si="79"/>
        <v>1198.4245566239724</v>
      </c>
      <c r="AE72" s="66">
        <f t="shared" si="80"/>
        <v>438.2273221950345</v>
      </c>
      <c r="AF72" s="66">
        <f t="shared" si="81"/>
        <v>-388.70218008898746</v>
      </c>
      <c r="AG72" s="66">
        <f t="shared" si="82"/>
        <v>-888.54920082579611</v>
      </c>
      <c r="AH72" s="66">
        <f t="shared" si="83"/>
        <v>-1534.057947375486</v>
      </c>
      <c r="AI72" s="66">
        <f t="shared" si="84"/>
        <v>-2318.2012812653275</v>
      </c>
      <c r="AJ72" s="66">
        <f t="shared" si="85"/>
        <v>-1165.427972420166</v>
      </c>
      <c r="AK72" s="66">
        <f t="shared" si="86"/>
        <v>-600.7382003272528</v>
      </c>
      <c r="AL72" s="66">
        <f t="shared" si="87"/>
        <v>-244.0563608055254</v>
      </c>
      <c r="AM72" s="66">
        <f t="shared" si="88"/>
        <v>-122.61394539753155</v>
      </c>
      <c r="AN72" s="66">
        <f t="shared" si="89"/>
        <v>123.72903008090816</v>
      </c>
      <c r="AO72" s="66">
        <f t="shared" si="90"/>
        <v>248.51984854183229</v>
      </c>
      <c r="AP72" s="66">
        <f t="shared" si="91"/>
        <v>628.77321993176793</v>
      </c>
      <c r="AQ72" s="66">
        <f t="shared" si="92"/>
        <v>1279.5680777717644</v>
      </c>
    </row>
    <row r="73" spans="1:43" x14ac:dyDescent="0.35">
      <c r="A73" s="3" t="s">
        <v>67</v>
      </c>
      <c r="B73" s="4">
        <f>VLOOKUP(A73,PriceData!$K$4:$L$6,2,FALSE)</f>
        <v>10022</v>
      </c>
      <c r="C73" s="46">
        <f>VLOOKUP(A73,PriceData!$K$4:$M$6,3,FALSE)</f>
        <v>5.0000000000000001E-3</v>
      </c>
      <c r="D73" s="4" t="s">
        <v>59</v>
      </c>
      <c r="E73" s="4" t="s">
        <v>68</v>
      </c>
      <c r="F73" s="4">
        <v>-25</v>
      </c>
      <c r="G73">
        <v>10022</v>
      </c>
      <c r="H73" s="4" t="s">
        <v>60</v>
      </c>
      <c r="I73" s="5">
        <v>40347</v>
      </c>
      <c r="J73" s="46">
        <f t="shared" si="62"/>
        <v>0.36000000000000004</v>
      </c>
      <c r="K73" s="30">
        <f>VLOOKUP(I73,PriceData!$A$5:$D$7,MATCH($E73,PriceData!$A$4:$D$4,0),FALSE)</f>
        <v>5.0000000000000001E-3</v>
      </c>
      <c r="L73" s="2">
        <f t="shared" si="63"/>
        <v>945.69811475775714</v>
      </c>
      <c r="M73" s="2">
        <f t="shared" si="64"/>
        <v>-23642.452868943928</v>
      </c>
      <c r="N73" s="4" t="s">
        <v>58</v>
      </c>
      <c r="P73" s="60">
        <f t="shared" si="65"/>
        <v>-4527.2484503304167</v>
      </c>
      <c r="Q73" s="60">
        <f t="shared" si="66"/>
        <v>8336.2186768370284</v>
      </c>
      <c r="R73" s="58">
        <f t="shared" si="67"/>
        <v>26.146036003405563</v>
      </c>
      <c r="S73" s="58">
        <f t="shared" si="68"/>
        <v>-102.50678772842016</v>
      </c>
      <c r="T73" s="58">
        <f t="shared" si="69"/>
        <v>-2.9469738354638091</v>
      </c>
      <c r="U73" s="2">
        <f t="shared" si="70"/>
        <v>-23.841054899973141</v>
      </c>
      <c r="V73" s="65">
        <f t="shared" si="71"/>
        <v>113181.21125826042</v>
      </c>
      <c r="W73" s="65">
        <f t="shared" si="72"/>
        <v>-208405.46692092571</v>
      </c>
      <c r="X73" s="66">
        <f t="shared" si="73"/>
        <v>-653.65090008513903</v>
      </c>
      <c r="Y73" s="66">
        <f t="shared" si="74"/>
        <v>2562.6696932105042</v>
      </c>
      <c r="Z73" s="66">
        <f t="shared" si="75"/>
        <v>73.674345886595233</v>
      </c>
      <c r="AA73" s="66">
        <f t="shared" si="76"/>
        <v>596.02637249932855</v>
      </c>
      <c r="AB73" s="66">
        <f t="shared" si="77"/>
        <v>-31300.755347593484</v>
      </c>
      <c r="AC73" s="66">
        <f t="shared" si="78"/>
        <v>-13478.113184232392</v>
      </c>
      <c r="AD73" s="66">
        <f t="shared" si="79"/>
        <v>-6191.4555031509508</v>
      </c>
      <c r="AE73" s="66">
        <f t="shared" si="80"/>
        <v>-2347.779908069856</v>
      </c>
      <c r="AF73" s="66">
        <f t="shared" si="81"/>
        <v>2181.1331267288551</v>
      </c>
      <c r="AG73" s="66">
        <f t="shared" si="82"/>
        <v>5152.4577101122759</v>
      </c>
      <c r="AH73" s="66">
        <f t="shared" si="83"/>
        <v>9358.3843102093506</v>
      </c>
      <c r="AI73" s="66">
        <f t="shared" si="84"/>
        <v>15393.774765995113</v>
      </c>
      <c r="AJ73" s="66">
        <f t="shared" si="85"/>
        <v>6548.1493900799251</v>
      </c>
      <c r="AK73" s="66">
        <f t="shared" si="86"/>
        <v>3271.311416923345</v>
      </c>
      <c r="AL73" s="66">
        <f t="shared" si="87"/>
        <v>1307.8049712054508</v>
      </c>
      <c r="AM73" s="66">
        <f t="shared" si="88"/>
        <v>653.7778635484301</v>
      </c>
      <c r="AN73" s="66">
        <f t="shared" si="89"/>
        <v>-653.52159727353865</v>
      </c>
      <c r="AO73" s="66">
        <f t="shared" si="90"/>
        <v>-1306.7799144389937</v>
      </c>
      <c r="AP73" s="66">
        <f t="shared" si="91"/>
        <v>-3264.9051766899447</v>
      </c>
      <c r="AQ73" s="66">
        <f t="shared" si="92"/>
        <v>-6522.5296362000563</v>
      </c>
    </row>
    <row r="74" spans="1:43" x14ac:dyDescent="0.35">
      <c r="A74" s="3" t="s">
        <v>67</v>
      </c>
      <c r="B74" s="4">
        <f>VLOOKUP(A74,PriceData!$K$4:$L$6,2,FALSE)</f>
        <v>10022</v>
      </c>
      <c r="C74" s="46">
        <f>VLOOKUP(A74,PriceData!$K$4:$M$6,3,FALSE)</f>
        <v>5.0000000000000001E-3</v>
      </c>
      <c r="D74" s="4" t="s">
        <v>59</v>
      </c>
      <c r="E74" s="4" t="s">
        <v>68</v>
      </c>
      <c r="F74" s="4">
        <v>-10</v>
      </c>
      <c r="G74">
        <v>9120</v>
      </c>
      <c r="H74" s="4" t="s">
        <v>60</v>
      </c>
      <c r="I74" s="5">
        <v>40347</v>
      </c>
      <c r="J74" s="46">
        <f t="shared" si="62"/>
        <v>0.42216774083559544</v>
      </c>
      <c r="K74" s="30">
        <f>VLOOKUP(I74,PriceData!$A$5:$D$7,MATCH($E74,PriceData!$A$4:$D$4,0),FALSE)</f>
        <v>5.0000000000000001E-3</v>
      </c>
      <c r="L74" s="2">
        <f t="shared" si="63"/>
        <v>667.7534821882723</v>
      </c>
      <c r="M74" s="2">
        <f t="shared" si="64"/>
        <v>-6677.534821882723</v>
      </c>
      <c r="N74" s="4" t="s">
        <v>58</v>
      </c>
      <c r="P74" s="60">
        <f t="shared" si="65"/>
        <v>-3164.0295072936733</v>
      </c>
      <c r="Q74" s="60">
        <f t="shared" si="66"/>
        <v>6386.7291114580748</v>
      </c>
      <c r="R74" s="58">
        <f t="shared" si="67"/>
        <v>23.490799399988845</v>
      </c>
      <c r="S74" s="58">
        <f t="shared" si="68"/>
        <v>529.49939843623292</v>
      </c>
      <c r="T74" s="58">
        <f t="shared" si="69"/>
        <v>-3.109424299922761</v>
      </c>
      <c r="U74" s="2">
        <f t="shared" si="70"/>
        <v>-16.691876584318617</v>
      </c>
      <c r="V74" s="65">
        <f t="shared" si="71"/>
        <v>31640.295072936733</v>
      </c>
      <c r="W74" s="65">
        <f t="shared" si="72"/>
        <v>-63867.291114580745</v>
      </c>
      <c r="X74" s="66">
        <f t="shared" si="73"/>
        <v>-234.90799399988845</v>
      </c>
      <c r="Y74" s="66">
        <f t="shared" si="74"/>
        <v>-5294.9939843623288</v>
      </c>
      <c r="Z74" s="66">
        <f t="shared" si="75"/>
        <v>31.09424299922761</v>
      </c>
      <c r="AA74" s="66">
        <f t="shared" si="76"/>
        <v>166.91876584318618</v>
      </c>
      <c r="AB74" s="66">
        <f t="shared" si="77"/>
        <v>-9282.9912251682654</v>
      </c>
      <c r="AC74" s="66">
        <f t="shared" si="78"/>
        <v>-3857.8910024907191</v>
      </c>
      <c r="AD74" s="66">
        <f t="shared" si="79"/>
        <v>-1748.7808969081834</v>
      </c>
      <c r="AE74" s="66">
        <f t="shared" si="80"/>
        <v>-658.81246516514693</v>
      </c>
      <c r="AF74" s="66">
        <f t="shared" si="81"/>
        <v>607.72340632634496</v>
      </c>
      <c r="AG74" s="66">
        <f t="shared" si="82"/>
        <v>1429.6335744769294</v>
      </c>
      <c r="AH74" s="66">
        <f t="shared" si="83"/>
        <v>2583.7199905202806</v>
      </c>
      <c r="AI74" s="66">
        <f t="shared" si="84"/>
        <v>4233.2779795687311</v>
      </c>
      <c r="AJ74" s="66">
        <f t="shared" si="85"/>
        <v>2312.7009675499812</v>
      </c>
      <c r="AK74" s="66">
        <f t="shared" si="86"/>
        <v>1166.8326591608275</v>
      </c>
      <c r="AL74" s="66">
        <f t="shared" si="87"/>
        <v>468.69199620466588</v>
      </c>
      <c r="AM74" s="66">
        <f t="shared" si="88"/>
        <v>234.63529729053334</v>
      </c>
      <c r="AN74" s="66">
        <f t="shared" si="89"/>
        <v>-235.16512779804088</v>
      </c>
      <c r="AO74" s="66">
        <f t="shared" si="90"/>
        <v>-470.81529933712773</v>
      </c>
      <c r="AP74" s="66">
        <f t="shared" si="91"/>
        <v>-1180.2795467179476</v>
      </c>
      <c r="AQ74" s="66">
        <f t="shared" si="92"/>
        <v>-2369.1301866282038</v>
      </c>
    </row>
    <row r="75" spans="1:43" x14ac:dyDescent="0.35">
      <c r="A75" s="3" t="s">
        <v>67</v>
      </c>
      <c r="B75" s="4">
        <f>VLOOKUP(A75,PriceData!$K$4:$L$6,2,FALSE)</f>
        <v>10022</v>
      </c>
      <c r="C75" s="46">
        <f>VLOOKUP(A75,PriceData!$K$4:$M$6,3,FALSE)</f>
        <v>5.0000000000000001E-3</v>
      </c>
      <c r="D75" s="4" t="s">
        <v>59</v>
      </c>
      <c r="E75" s="4" t="s">
        <v>68</v>
      </c>
      <c r="F75" s="4">
        <v>-15</v>
      </c>
      <c r="G75">
        <v>9120</v>
      </c>
      <c r="H75" s="4" t="s">
        <v>60</v>
      </c>
      <c r="I75" s="5">
        <v>40347</v>
      </c>
      <c r="J75" s="46">
        <f t="shared" si="62"/>
        <v>0.42216774083559544</v>
      </c>
      <c r="K75" s="30">
        <f>VLOOKUP(I75,PriceData!$A$5:$D$7,MATCH($E75,PriceData!$A$4:$D$4,0),FALSE)</f>
        <v>5.0000000000000001E-3</v>
      </c>
      <c r="L75" s="2">
        <f t="shared" si="63"/>
        <v>667.7534821882723</v>
      </c>
      <c r="M75" s="2">
        <f t="shared" si="64"/>
        <v>-10016.302232824084</v>
      </c>
      <c r="N75" s="4" t="s">
        <v>61</v>
      </c>
      <c r="P75" s="60">
        <f t="shared" si="65"/>
        <v>-3164.0295072936733</v>
      </c>
      <c r="Q75" s="60">
        <f t="shared" si="66"/>
        <v>6386.7291114580748</v>
      </c>
      <c r="R75" s="58">
        <f t="shared" si="67"/>
        <v>23.490799399988845</v>
      </c>
      <c r="S75" s="58">
        <f t="shared" si="68"/>
        <v>529.49939843623292</v>
      </c>
      <c r="T75" s="58">
        <f t="shared" si="69"/>
        <v>-3.109424299922761</v>
      </c>
      <c r="U75" s="2">
        <f t="shared" si="70"/>
        <v>-16.691876584318617</v>
      </c>
      <c r="V75" s="65">
        <f t="shared" si="71"/>
        <v>47460.442609405101</v>
      </c>
      <c r="W75" s="65">
        <f t="shared" si="72"/>
        <v>-95800.936671871124</v>
      </c>
      <c r="X75" s="66">
        <f t="shared" si="73"/>
        <v>-352.36199099983264</v>
      </c>
      <c r="Y75" s="66">
        <f t="shared" si="74"/>
        <v>-7942.4909765434941</v>
      </c>
      <c r="Z75" s="66">
        <f t="shared" si="75"/>
        <v>46.641364498841412</v>
      </c>
      <c r="AA75" s="66">
        <f t="shared" si="76"/>
        <v>250.37814876477927</v>
      </c>
      <c r="AB75" s="66">
        <f t="shared" si="77"/>
        <v>-13924.4868377524</v>
      </c>
      <c r="AC75" s="66">
        <f t="shared" si="78"/>
        <v>-5786.8365037360782</v>
      </c>
      <c r="AD75" s="66">
        <f t="shared" si="79"/>
        <v>-2623.1713453622751</v>
      </c>
      <c r="AE75" s="66">
        <f t="shared" si="80"/>
        <v>-988.2186977477204</v>
      </c>
      <c r="AF75" s="66">
        <f t="shared" si="81"/>
        <v>911.58510948951744</v>
      </c>
      <c r="AG75" s="66">
        <f t="shared" si="82"/>
        <v>2144.4503617153941</v>
      </c>
      <c r="AH75" s="66">
        <f t="shared" si="83"/>
        <v>3875.5799857804209</v>
      </c>
      <c r="AI75" s="66">
        <f t="shared" si="84"/>
        <v>6349.9169693530976</v>
      </c>
      <c r="AJ75" s="66">
        <f t="shared" si="85"/>
        <v>3469.0514513249718</v>
      </c>
      <c r="AK75" s="66">
        <f t="shared" si="86"/>
        <v>1750.2489887412412</v>
      </c>
      <c r="AL75" s="66">
        <f t="shared" si="87"/>
        <v>703.03799430699883</v>
      </c>
      <c r="AM75" s="66">
        <f t="shared" si="88"/>
        <v>351.95294593580002</v>
      </c>
      <c r="AN75" s="66">
        <f t="shared" si="89"/>
        <v>-352.74769169706133</v>
      </c>
      <c r="AO75" s="66">
        <f t="shared" si="90"/>
        <v>-706.22294900569159</v>
      </c>
      <c r="AP75" s="66">
        <f t="shared" si="91"/>
        <v>-1770.4193200769214</v>
      </c>
      <c r="AQ75" s="66">
        <f t="shared" si="92"/>
        <v>-3553.6952799423057</v>
      </c>
    </row>
    <row r="76" spans="1:43" x14ac:dyDescent="0.35">
      <c r="A76" s="3" t="s">
        <v>67</v>
      </c>
      <c r="B76" s="4">
        <f>VLOOKUP(A76,PriceData!$K$4:$L$6,2,FALSE)</f>
        <v>10022</v>
      </c>
      <c r="C76" s="46">
        <f>VLOOKUP(A76,PriceData!$K$4:$M$6,3,FALSE)</f>
        <v>5.0000000000000001E-3</v>
      </c>
      <c r="D76" s="4" t="s">
        <v>59</v>
      </c>
      <c r="E76" s="4" t="s">
        <v>68</v>
      </c>
      <c r="F76" s="4">
        <v>-20</v>
      </c>
      <c r="G76">
        <v>11225</v>
      </c>
      <c r="H76" s="4" t="s">
        <v>62</v>
      </c>
      <c r="I76" s="5">
        <v>40347</v>
      </c>
      <c r="J76" s="46">
        <f t="shared" si="62"/>
        <v>0.32950101005471172</v>
      </c>
      <c r="K76" s="30">
        <f>VLOOKUP(I76,PriceData!$A$5:$D$7,MATCH($E76,PriceData!$A$4:$D$4,0),FALSE)</f>
        <v>5.0000000000000001E-3</v>
      </c>
      <c r="L76" s="2">
        <f t="shared" si="63"/>
        <v>438.99639307709685</v>
      </c>
      <c r="M76" s="2">
        <f t="shared" si="64"/>
        <v>-8779.9278615419371</v>
      </c>
      <c r="N76" s="4" t="s">
        <v>58</v>
      </c>
      <c r="P76" s="60">
        <f t="shared" si="65"/>
        <v>3399.8507265051057</v>
      </c>
      <c r="Q76" s="60">
        <f t="shared" si="66"/>
        <v>8424.1630525351666</v>
      </c>
      <c r="R76" s="58">
        <f t="shared" si="67"/>
        <v>24.183422866491583</v>
      </c>
      <c r="S76" s="58">
        <f t="shared" si="68"/>
        <v>1907.420276560372</v>
      </c>
      <c r="T76" s="58">
        <f t="shared" si="69"/>
        <v>-2.4997920932606426</v>
      </c>
      <c r="U76" s="2">
        <f t="shared" si="70"/>
        <v>12.897968192193247</v>
      </c>
      <c r="V76" s="65">
        <f t="shared" si="71"/>
        <v>-67997.014530102111</v>
      </c>
      <c r="W76" s="65">
        <f t="shared" si="72"/>
        <v>-168483.26105070332</v>
      </c>
      <c r="X76" s="66">
        <f t="shared" si="73"/>
        <v>-483.66845732983165</v>
      </c>
      <c r="Y76" s="66">
        <f t="shared" si="74"/>
        <v>-38148.405531207442</v>
      </c>
      <c r="Z76" s="66">
        <f t="shared" si="75"/>
        <v>49.995841865212853</v>
      </c>
      <c r="AA76" s="66">
        <f t="shared" si="76"/>
        <v>-257.95936384386494</v>
      </c>
      <c r="AB76" s="66">
        <f t="shared" si="77"/>
        <v>7702.2948436273646</v>
      </c>
      <c r="AC76" s="66">
        <f t="shared" si="78"/>
        <v>5194.5705720452906</v>
      </c>
      <c r="AD76" s="66">
        <f t="shared" si="79"/>
        <v>2986.7978810937348</v>
      </c>
      <c r="AE76" s="66">
        <f t="shared" si="80"/>
        <v>1292.9976657257703</v>
      </c>
      <c r="AF76" s="66">
        <f t="shared" si="81"/>
        <v>-1427.6889431714608</v>
      </c>
      <c r="AG76" s="66">
        <f t="shared" si="82"/>
        <v>-3825.5067956802395</v>
      </c>
      <c r="AH76" s="66">
        <f t="shared" si="83"/>
        <v>-8505.8477189728819</v>
      </c>
      <c r="AI76" s="66">
        <f t="shared" si="84"/>
        <v>-20303.227693110719</v>
      </c>
      <c r="AJ76" s="66">
        <f t="shared" si="85"/>
        <v>4569.6895961498012</v>
      </c>
      <c r="AK76" s="66">
        <f t="shared" si="86"/>
        <v>2362.5453475026643</v>
      </c>
      <c r="AL76" s="66">
        <f t="shared" si="87"/>
        <v>959.23113133462721</v>
      </c>
      <c r="AM76" s="66">
        <f t="shared" si="88"/>
        <v>481.70312945898331</v>
      </c>
      <c r="AN76" s="66">
        <f t="shared" si="89"/>
        <v>-485.52093879759923</v>
      </c>
      <c r="AO76" s="66">
        <f t="shared" si="90"/>
        <v>-974.5380846376429</v>
      </c>
      <c r="AP76" s="66">
        <f t="shared" si="91"/>
        <v>-2459.8004177877192</v>
      </c>
      <c r="AQ76" s="66">
        <f t="shared" si="92"/>
        <v>-4982.8119152769978</v>
      </c>
    </row>
    <row r="77" spans="1:43" x14ac:dyDescent="0.35">
      <c r="A77" s="3" t="s">
        <v>67</v>
      </c>
      <c r="B77" s="4">
        <f>VLOOKUP(A77,PriceData!$K$4:$L$6,2,FALSE)</f>
        <v>10022</v>
      </c>
      <c r="C77" s="46">
        <f>VLOOKUP(A77,PriceData!$K$4:$M$6,3,FALSE)</f>
        <v>5.0000000000000001E-3</v>
      </c>
      <c r="D77" s="4" t="s">
        <v>59</v>
      </c>
      <c r="E77" s="4" t="s">
        <v>68</v>
      </c>
      <c r="F77" s="4">
        <v>-10</v>
      </c>
      <c r="G77">
        <v>11225</v>
      </c>
      <c r="H77" s="4" t="s">
        <v>60</v>
      </c>
      <c r="I77" s="5">
        <v>40347</v>
      </c>
      <c r="J77" s="46">
        <f t="shared" si="62"/>
        <v>0.32950101005471172</v>
      </c>
      <c r="K77" s="30">
        <f>VLOOKUP(I77,PriceData!$A$5:$D$7,MATCH($E77,PriceData!$A$4:$D$4,0),FALSE)</f>
        <v>5.0000000000000001E-3</v>
      </c>
      <c r="L77" s="2">
        <f t="shared" si="63"/>
        <v>1639.3790116710452</v>
      </c>
      <c r="M77" s="2">
        <f t="shared" si="64"/>
        <v>-16393.79011671045</v>
      </c>
      <c r="N77" s="4" t="s">
        <v>66</v>
      </c>
      <c r="P77" s="60">
        <f t="shared" si="65"/>
        <v>-6600.3442889134849</v>
      </c>
      <c r="Q77" s="60">
        <f t="shared" si="66"/>
        <v>8424.1630525351666</v>
      </c>
      <c r="R77" s="58">
        <f t="shared" si="67"/>
        <v>24.183422866491583</v>
      </c>
      <c r="S77" s="58">
        <f t="shared" si="68"/>
        <v>1907.420276560372</v>
      </c>
      <c r="T77" s="58">
        <f t="shared" si="69"/>
        <v>-2.4833484957456569</v>
      </c>
      <c r="U77" s="2">
        <f t="shared" si="70"/>
        <v>-35.893589172409321</v>
      </c>
      <c r="V77" s="65">
        <f t="shared" si="71"/>
        <v>66003.442889134851</v>
      </c>
      <c r="W77" s="65">
        <f t="shared" si="72"/>
        <v>-84241.630525351662</v>
      </c>
      <c r="X77" s="66">
        <f t="shared" si="73"/>
        <v>-241.83422866491583</v>
      </c>
      <c r="Y77" s="66">
        <f t="shared" si="74"/>
        <v>-19074.202765603721</v>
      </c>
      <c r="Z77" s="66">
        <f t="shared" si="75"/>
        <v>24.833484957456569</v>
      </c>
      <c r="AA77" s="66">
        <f t="shared" si="76"/>
        <v>358.93589172409321</v>
      </c>
      <c r="AB77" s="66">
        <f t="shared" si="77"/>
        <v>-16149.242609023495</v>
      </c>
      <c r="AC77" s="66">
        <f t="shared" si="78"/>
        <v>-7402.9097293959239</v>
      </c>
      <c r="AD77" s="66">
        <f t="shared" si="79"/>
        <v>-3506.6985671624388</v>
      </c>
      <c r="AE77" s="66">
        <f t="shared" si="80"/>
        <v>-1353.5401702208492</v>
      </c>
      <c r="AF77" s="66">
        <f t="shared" si="81"/>
        <v>1286.1945314979766</v>
      </c>
      <c r="AG77" s="66">
        <f t="shared" si="82"/>
        <v>3087.3441098691637</v>
      </c>
      <c r="AH77" s="66">
        <f t="shared" si="83"/>
        <v>5747.2711559321397</v>
      </c>
      <c r="AI77" s="66">
        <f t="shared" si="84"/>
        <v>9848.7761842818109</v>
      </c>
      <c r="AJ77" s="66">
        <f t="shared" si="85"/>
        <v>2284.8447980748824</v>
      </c>
      <c r="AK77" s="66">
        <f t="shared" si="86"/>
        <v>1181.2726737513185</v>
      </c>
      <c r="AL77" s="66">
        <f t="shared" si="87"/>
        <v>479.61556566731815</v>
      </c>
      <c r="AM77" s="66">
        <f t="shared" si="88"/>
        <v>240.85156472947347</v>
      </c>
      <c r="AN77" s="66">
        <f t="shared" si="89"/>
        <v>-242.7604693988178</v>
      </c>
      <c r="AO77" s="66">
        <f t="shared" si="90"/>
        <v>-487.26904231883054</v>
      </c>
      <c r="AP77" s="66">
        <f t="shared" si="91"/>
        <v>-1229.9002088938596</v>
      </c>
      <c r="AQ77" s="66">
        <f t="shared" si="92"/>
        <v>-2491.405957638508</v>
      </c>
    </row>
    <row r="78" spans="1:43" x14ac:dyDescent="0.35">
      <c r="A78" s="3" t="s">
        <v>67</v>
      </c>
      <c r="B78" s="4">
        <f>VLOOKUP(A78,PriceData!$K$4:$L$6,2,FALSE)</f>
        <v>10022</v>
      </c>
      <c r="C78" s="46">
        <f>VLOOKUP(A78,PriceData!$K$4:$M$6,3,FALSE)</f>
        <v>5.0000000000000001E-3</v>
      </c>
      <c r="D78" s="4" t="s">
        <v>59</v>
      </c>
      <c r="E78" s="4" t="s">
        <v>68</v>
      </c>
      <c r="F78" s="4">
        <v>-15</v>
      </c>
      <c r="G78">
        <v>10323</v>
      </c>
      <c r="H78" s="4" t="s">
        <v>62</v>
      </c>
      <c r="I78" s="5">
        <v>40347</v>
      </c>
      <c r="J78" s="46">
        <f t="shared" si="62"/>
        <v>0.34753782583952536</v>
      </c>
      <c r="K78" s="30">
        <f>VLOOKUP(I78,PriceData!$A$5:$D$7,MATCH($E78,PriceData!$A$4:$D$4,0),FALSE)</f>
        <v>5.0000000000000001E-3</v>
      </c>
      <c r="L78" s="2">
        <f t="shared" si="63"/>
        <v>784.31358243083378</v>
      </c>
      <c r="M78" s="2">
        <f t="shared" si="64"/>
        <v>-11764.703736462507</v>
      </c>
      <c r="N78" s="4" t="s">
        <v>58</v>
      </c>
      <c r="P78" s="60">
        <f t="shared" si="65"/>
        <v>4942.9768123679669</v>
      </c>
      <c r="Q78" s="60">
        <f t="shared" si="66"/>
        <v>8695.4049438432685</v>
      </c>
      <c r="R78" s="58">
        <f t="shared" si="67"/>
        <v>26.328501836023584</v>
      </c>
      <c r="S78" s="58">
        <f t="shared" si="68"/>
        <v>26.434128603088269</v>
      </c>
      <c r="T78" s="58">
        <f t="shared" si="69"/>
        <v>-2.8666617285441185</v>
      </c>
      <c r="U78" s="2">
        <f t="shared" si="70"/>
        <v>18.115820645479566</v>
      </c>
      <c r="V78" s="65">
        <f t="shared" si="71"/>
        <v>-74144.652185519502</v>
      </c>
      <c r="W78" s="65">
        <f t="shared" si="72"/>
        <v>-130431.07415764903</v>
      </c>
      <c r="X78" s="66">
        <f t="shared" si="73"/>
        <v>-394.92752754035376</v>
      </c>
      <c r="Y78" s="66">
        <f t="shared" si="74"/>
        <v>-396.51192904632404</v>
      </c>
      <c r="Z78" s="66">
        <f t="shared" si="75"/>
        <v>42.99992592816178</v>
      </c>
      <c r="AA78" s="66">
        <f t="shared" si="76"/>
        <v>-271.73730968219348</v>
      </c>
      <c r="AB78" s="66">
        <f t="shared" si="77"/>
        <v>9638.3496118468975</v>
      </c>
      <c r="AC78" s="66">
        <f t="shared" si="78"/>
        <v>6090.123821716661</v>
      </c>
      <c r="AD78" s="66">
        <f t="shared" si="79"/>
        <v>3377.2954995147074</v>
      </c>
      <c r="AE78" s="66">
        <f t="shared" si="80"/>
        <v>1430.4251224767404</v>
      </c>
      <c r="AF78" s="66">
        <f t="shared" si="81"/>
        <v>-1534.7102162929832</v>
      </c>
      <c r="AG78" s="66">
        <f t="shared" si="82"/>
        <v>-4027.1208194458541</v>
      </c>
      <c r="AH78" s="66">
        <f t="shared" si="83"/>
        <v>-8661.7284555519072</v>
      </c>
      <c r="AI78" s="66">
        <f t="shared" si="84"/>
        <v>-19498.409806003801</v>
      </c>
      <c r="AJ78" s="66">
        <f t="shared" si="85"/>
        <v>3942.7649519475494</v>
      </c>
      <c r="AK78" s="66">
        <f t="shared" si="86"/>
        <v>1973.6555042749023</v>
      </c>
      <c r="AL78" s="66">
        <f t="shared" si="87"/>
        <v>789.7469322386587</v>
      </c>
      <c r="AM78" s="66">
        <f t="shared" si="88"/>
        <v>394.90418454955488</v>
      </c>
      <c r="AN78" s="66">
        <f t="shared" si="89"/>
        <v>-394.94399193406935</v>
      </c>
      <c r="AO78" s="66">
        <f t="shared" si="90"/>
        <v>-789.90804217496134</v>
      </c>
      <c r="AP78" s="66">
        <f t="shared" si="91"/>
        <v>-1974.7463427023149</v>
      </c>
      <c r="AQ78" s="66">
        <f t="shared" si="92"/>
        <v>-3948.4283831316998</v>
      </c>
    </row>
    <row r="79" spans="1:43" x14ac:dyDescent="0.35">
      <c r="A79" s="3" t="s">
        <v>67</v>
      </c>
      <c r="B79" s="4">
        <f>VLOOKUP(A79,PriceData!$K$4:$L$6,2,FALSE)</f>
        <v>10022</v>
      </c>
      <c r="C79" s="46">
        <f>VLOOKUP(A79,PriceData!$K$4:$M$6,3,FALSE)</f>
        <v>5.0000000000000001E-3</v>
      </c>
      <c r="D79" s="4" t="s">
        <v>59</v>
      </c>
      <c r="E79" s="4" t="s">
        <v>68</v>
      </c>
      <c r="F79" s="4">
        <v>-20</v>
      </c>
      <c r="G79">
        <v>10022</v>
      </c>
      <c r="H79" s="4" t="s">
        <v>60</v>
      </c>
      <c r="I79" s="5">
        <v>40347</v>
      </c>
      <c r="J79" s="46">
        <f t="shared" si="62"/>
        <v>0.36000000000000004</v>
      </c>
      <c r="K79" s="30">
        <f>VLOOKUP(I79,PriceData!$A$5:$D$7,MATCH($E79,PriceData!$A$4:$D$4,0),FALSE)</f>
        <v>5.0000000000000001E-3</v>
      </c>
      <c r="L79" s="2">
        <f t="shared" si="63"/>
        <v>945.69811475775714</v>
      </c>
      <c r="M79" s="2">
        <f t="shared" si="64"/>
        <v>-18913.962295155143</v>
      </c>
      <c r="N79" s="4" t="s">
        <v>58</v>
      </c>
      <c r="P79" s="60">
        <f t="shared" si="65"/>
        <v>-4527.2484503304167</v>
      </c>
      <c r="Q79" s="60">
        <f t="shared" si="66"/>
        <v>8336.2186768370284</v>
      </c>
      <c r="R79" s="58">
        <f t="shared" si="67"/>
        <v>26.146036003405563</v>
      </c>
      <c r="S79" s="58">
        <f t="shared" si="68"/>
        <v>-102.50678772842016</v>
      </c>
      <c r="T79" s="58">
        <f t="shared" si="69"/>
        <v>-2.9469738354638091</v>
      </c>
      <c r="U79" s="2">
        <f t="shared" si="70"/>
        <v>-23.841054899973141</v>
      </c>
      <c r="V79" s="65">
        <f t="shared" si="71"/>
        <v>90544.969006608328</v>
      </c>
      <c r="W79" s="65">
        <f t="shared" si="72"/>
        <v>-166724.37353674058</v>
      </c>
      <c r="X79" s="66">
        <f t="shared" si="73"/>
        <v>-522.92072006811122</v>
      </c>
      <c r="Y79" s="66">
        <f t="shared" si="74"/>
        <v>2050.1357545684032</v>
      </c>
      <c r="Z79" s="66">
        <f t="shared" si="75"/>
        <v>58.939476709276178</v>
      </c>
      <c r="AA79" s="66">
        <f t="shared" si="76"/>
        <v>476.82109799946284</v>
      </c>
      <c r="AB79" s="66">
        <f t="shared" si="77"/>
        <v>-25040.604278074788</v>
      </c>
      <c r="AC79" s="66">
        <f t="shared" si="78"/>
        <v>-10782.490547385914</v>
      </c>
      <c r="AD79" s="66">
        <f t="shared" si="79"/>
        <v>-4953.1644025207606</v>
      </c>
      <c r="AE79" s="66">
        <f t="shared" si="80"/>
        <v>-1878.2239264558848</v>
      </c>
      <c r="AF79" s="66">
        <f t="shared" si="81"/>
        <v>1744.9065013830841</v>
      </c>
      <c r="AG79" s="66">
        <f t="shared" si="82"/>
        <v>4121.9661680898207</v>
      </c>
      <c r="AH79" s="66">
        <f t="shared" si="83"/>
        <v>7486.7074481674808</v>
      </c>
      <c r="AI79" s="66">
        <f t="shared" si="84"/>
        <v>12315.01981279609</v>
      </c>
      <c r="AJ79" s="66">
        <f t="shared" si="85"/>
        <v>5238.5195120639401</v>
      </c>
      <c r="AK79" s="66">
        <f t="shared" si="86"/>
        <v>2617.049133538676</v>
      </c>
      <c r="AL79" s="66">
        <f t="shared" si="87"/>
        <v>1046.2439769643606</v>
      </c>
      <c r="AM79" s="66">
        <f t="shared" si="88"/>
        <v>523.02229083874408</v>
      </c>
      <c r="AN79" s="66">
        <f t="shared" si="89"/>
        <v>-522.81727781883092</v>
      </c>
      <c r="AO79" s="66">
        <f t="shared" si="90"/>
        <v>-1045.423931551195</v>
      </c>
      <c r="AP79" s="66">
        <f t="shared" si="91"/>
        <v>-2611.9241413519558</v>
      </c>
      <c r="AQ79" s="66">
        <f t="shared" si="92"/>
        <v>-5218.023708960045</v>
      </c>
    </row>
    <row r="80" spans="1:43" x14ac:dyDescent="0.35">
      <c r="A80" s="3" t="s">
        <v>67</v>
      </c>
      <c r="B80" s="4">
        <f>VLOOKUP(A80,PriceData!$K$4:$L$6,2,FALSE)</f>
        <v>10022</v>
      </c>
      <c r="C80" s="46">
        <f>VLOOKUP(A80,PriceData!$K$4:$M$6,3,FALSE)</f>
        <v>5.0000000000000001E-3</v>
      </c>
      <c r="D80" s="4" t="s">
        <v>59</v>
      </c>
      <c r="E80" s="4" t="s">
        <v>68</v>
      </c>
      <c r="F80" s="4">
        <v>-20</v>
      </c>
      <c r="G80">
        <v>11525</v>
      </c>
      <c r="H80" s="4" t="s">
        <v>62</v>
      </c>
      <c r="I80" s="5">
        <v>40347</v>
      </c>
      <c r="J80" s="46">
        <f t="shared" si="62"/>
        <v>0.32811057320454412</v>
      </c>
      <c r="K80" s="30">
        <f>VLOOKUP(I80,PriceData!$A$5:$D$7,MATCH($E80,PriceData!$A$4:$D$4,0),FALSE)</f>
        <v>5.0000000000000001E-3</v>
      </c>
      <c r="L80" s="2">
        <f t="shared" si="63"/>
        <v>362.50006316623876</v>
      </c>
      <c r="M80" s="2">
        <f t="shared" si="64"/>
        <v>-7250.0012633247752</v>
      </c>
      <c r="N80" s="4" t="s">
        <v>63</v>
      </c>
      <c r="P80" s="60">
        <f t="shared" si="65"/>
        <v>2956.4549297354911</v>
      </c>
      <c r="Q80" s="60">
        <f t="shared" si="66"/>
        <v>7974.4667038571006</v>
      </c>
      <c r="R80" s="58">
        <f t="shared" si="67"/>
        <v>22.795867821988697</v>
      </c>
      <c r="S80" s="58">
        <f t="shared" si="68"/>
        <v>2811.2702220085002</v>
      </c>
      <c r="T80" s="58">
        <f t="shared" si="69"/>
        <v>-2.3470987921778925</v>
      </c>
      <c r="U80" s="2">
        <f t="shared" si="70"/>
        <v>11.299693802315376</v>
      </c>
      <c r="V80" s="65">
        <f t="shared" si="71"/>
        <v>-59129.098594709823</v>
      </c>
      <c r="W80" s="65">
        <f t="shared" si="72"/>
        <v>-159489.334077142</v>
      </c>
      <c r="X80" s="66">
        <f t="shared" si="73"/>
        <v>-455.91735643977393</v>
      </c>
      <c r="Y80" s="66">
        <f t="shared" si="74"/>
        <v>-56225.404440170008</v>
      </c>
      <c r="Z80" s="66">
        <f t="shared" si="75"/>
        <v>46.941975843557849</v>
      </c>
      <c r="AA80" s="66">
        <f t="shared" si="76"/>
        <v>-225.99387604630752</v>
      </c>
      <c r="AB80" s="66">
        <f t="shared" si="77"/>
        <v>6447.5887461481288</v>
      </c>
      <c r="AC80" s="66">
        <f t="shared" si="78"/>
        <v>4422.6108358431293</v>
      </c>
      <c r="AD80" s="66">
        <f t="shared" si="79"/>
        <v>2569.2409316128123</v>
      </c>
      <c r="AE80" s="66">
        <f t="shared" si="80"/>
        <v>1119.4590658547077</v>
      </c>
      <c r="AF80" s="66">
        <f t="shared" si="81"/>
        <v>-1246.9629425838593</v>
      </c>
      <c r="AG80" s="66">
        <f t="shared" si="82"/>
        <v>-3363.2825043471439</v>
      </c>
      <c r="AH80" s="66">
        <f t="shared" si="83"/>
        <v>-7558.8382184998773</v>
      </c>
      <c r="AI80" s="66">
        <f t="shared" si="84"/>
        <v>-18405.098475527666</v>
      </c>
      <c r="AJ80" s="66">
        <f t="shared" si="85"/>
        <v>4176.2334093593381</v>
      </c>
      <c r="AK80" s="66">
        <f t="shared" si="86"/>
        <v>2198.2869778552868</v>
      </c>
      <c r="AL80" s="66">
        <f t="shared" si="87"/>
        <v>899.93830887415243</v>
      </c>
      <c r="AM80" s="66">
        <f t="shared" si="88"/>
        <v>453.02670794784717</v>
      </c>
      <c r="AN80" s="66">
        <f t="shared" si="89"/>
        <v>-458.65304921976531</v>
      </c>
      <c r="AO80" s="66">
        <f t="shared" si="90"/>
        <v>-922.48936920848791</v>
      </c>
      <c r="AP80" s="66">
        <f t="shared" si="91"/>
        <v>-2341.252678896617</v>
      </c>
      <c r="AQ80" s="66">
        <f t="shared" si="92"/>
        <v>-4778.2495585415109</v>
      </c>
    </row>
    <row r="81" spans="1:43" x14ac:dyDescent="0.35">
      <c r="A81" s="3" t="s">
        <v>67</v>
      </c>
      <c r="B81" s="4">
        <f>VLOOKUP(A81,PriceData!$K$4:$L$6,2,FALSE)</f>
        <v>10022</v>
      </c>
      <c r="C81" s="46">
        <f>VLOOKUP(A81,PriceData!$K$4:$M$6,3,FALSE)</f>
        <v>5.0000000000000001E-3</v>
      </c>
      <c r="D81" s="4" t="s">
        <v>59</v>
      </c>
      <c r="E81" s="4" t="s">
        <v>68</v>
      </c>
      <c r="F81" s="4">
        <v>5</v>
      </c>
      <c r="G81">
        <v>8519</v>
      </c>
      <c r="H81" s="4" t="s">
        <v>60</v>
      </c>
      <c r="I81" s="5">
        <v>40347</v>
      </c>
      <c r="J81" s="46">
        <f t="shared" si="62"/>
        <v>0.48413924786865792</v>
      </c>
      <c r="K81" s="30">
        <f>VLOOKUP(I81,PriceData!$A$5:$D$7,MATCH($E81,PriceData!$A$4:$D$4,0),FALSE)</f>
        <v>5.0000000000000001E-3</v>
      </c>
      <c r="L81" s="2">
        <f t="shared" si="63"/>
        <v>571.29818452504742</v>
      </c>
      <c r="M81" s="2">
        <f t="shared" si="64"/>
        <v>2856.4909226252371</v>
      </c>
      <c r="N81" s="4" t="s">
        <v>58</v>
      </c>
      <c r="P81" s="60">
        <f t="shared" si="65"/>
        <v>-2519.8719715572929</v>
      </c>
      <c r="Q81" s="60">
        <f t="shared" si="66"/>
        <v>4993.3610176188577</v>
      </c>
      <c r="R81" s="58">
        <f t="shared" si="67"/>
        <v>21.061898385625238</v>
      </c>
      <c r="S81" s="58">
        <f t="shared" si="68"/>
        <v>1013.8209279742146</v>
      </c>
      <c r="T81" s="58">
        <f t="shared" si="69"/>
        <v>-3.1987436965611598</v>
      </c>
      <c r="U81" s="2">
        <f t="shared" si="70"/>
        <v>-13.465645337454575</v>
      </c>
      <c r="V81" s="65">
        <f t="shared" si="71"/>
        <v>-12599.359857786465</v>
      </c>
      <c r="W81" s="65">
        <f t="shared" si="72"/>
        <v>24966.80508809429</v>
      </c>
      <c r="X81" s="66">
        <f t="shared" si="73"/>
        <v>105.30949192812619</v>
      </c>
      <c r="Y81" s="66">
        <f t="shared" si="74"/>
        <v>5069.1046398710732</v>
      </c>
      <c r="Z81" s="66">
        <f t="shared" si="75"/>
        <v>-15.993718482805798</v>
      </c>
      <c r="AA81" s="66">
        <f t="shared" si="76"/>
        <v>-67.328226687272874</v>
      </c>
      <c r="AB81" s="66">
        <f t="shared" si="77"/>
        <v>3723.8645277164483</v>
      </c>
      <c r="AC81" s="66">
        <f t="shared" si="78"/>
        <v>1535.6536798475736</v>
      </c>
      <c r="AD81" s="66">
        <f t="shared" si="79"/>
        <v>695.63014172626254</v>
      </c>
      <c r="AE81" s="66">
        <f t="shared" si="80"/>
        <v>262.18060868355224</v>
      </c>
      <c r="AF81" s="66">
        <f t="shared" si="81"/>
        <v>-242.20526928958861</v>
      </c>
      <c r="AG81" s="66">
        <f t="shared" si="82"/>
        <v>-570.72305158942982</v>
      </c>
      <c r="AH81" s="66">
        <f t="shared" si="83"/>
        <v>-1035.2038068987292</v>
      </c>
      <c r="AI81" s="66">
        <f t="shared" si="84"/>
        <v>-1712.1695290011519</v>
      </c>
      <c r="AJ81" s="66">
        <f t="shared" si="85"/>
        <v>-1020.9580948295229</v>
      </c>
      <c r="AK81" s="66">
        <f t="shared" si="86"/>
        <v>-519.44421816853037</v>
      </c>
      <c r="AL81" s="66">
        <f t="shared" si="87"/>
        <v>-209.55877944503982</v>
      </c>
      <c r="AM81" s="66">
        <f t="shared" si="88"/>
        <v>-105.05034303243065</v>
      </c>
      <c r="AN81" s="66">
        <f t="shared" si="89"/>
        <v>105.55745117050492</v>
      </c>
      <c r="AO81" s="66">
        <f t="shared" si="90"/>
        <v>211.58958693930344</v>
      </c>
      <c r="AP81" s="66">
        <f t="shared" si="91"/>
        <v>532.24142184170432</v>
      </c>
      <c r="AQ81" s="66">
        <f t="shared" si="92"/>
        <v>1073.6860226907675</v>
      </c>
    </row>
    <row r="82" spans="1:43" x14ac:dyDescent="0.35">
      <c r="A82" s="3" t="s">
        <v>67</v>
      </c>
      <c r="B82" s="4">
        <f>VLOOKUP(A82,PriceData!$K$4:$L$6,2,FALSE)</f>
        <v>10022</v>
      </c>
      <c r="C82" s="46">
        <f>VLOOKUP(A82,PriceData!$K$4:$M$6,3,FALSE)</f>
        <v>5.0000000000000001E-3</v>
      </c>
      <c r="D82" s="4" t="s">
        <v>59</v>
      </c>
      <c r="E82" s="4" t="s">
        <v>68</v>
      </c>
      <c r="F82" s="4">
        <v>-20</v>
      </c>
      <c r="G82">
        <v>11525</v>
      </c>
      <c r="H82" s="4" t="s">
        <v>62</v>
      </c>
      <c r="I82" s="5">
        <v>40347</v>
      </c>
      <c r="J82" s="46">
        <f t="shared" si="62"/>
        <v>0.32811057320454412</v>
      </c>
      <c r="K82" s="30">
        <f>VLOOKUP(I82,PriceData!$A$5:$D$7,MATCH($E82,PriceData!$A$4:$D$4,0),FALSE)</f>
        <v>5.0000000000000001E-3</v>
      </c>
      <c r="L82" s="2">
        <f t="shared" si="63"/>
        <v>362.50006316623876</v>
      </c>
      <c r="M82" s="2">
        <f t="shared" si="64"/>
        <v>-7250.0012633247752</v>
      </c>
      <c r="N82" s="4" t="s">
        <v>58</v>
      </c>
      <c r="P82" s="60">
        <f t="shared" si="65"/>
        <v>2956.4549297354911</v>
      </c>
      <c r="Q82" s="60">
        <f t="shared" si="66"/>
        <v>7974.4667038571006</v>
      </c>
      <c r="R82" s="58">
        <f t="shared" si="67"/>
        <v>22.795867821988697</v>
      </c>
      <c r="S82" s="58">
        <f t="shared" si="68"/>
        <v>2811.2702220085002</v>
      </c>
      <c r="T82" s="58">
        <f t="shared" si="69"/>
        <v>-2.3470987921778925</v>
      </c>
      <c r="U82" s="2">
        <f t="shared" si="70"/>
        <v>11.299693802315376</v>
      </c>
      <c r="V82" s="65">
        <f t="shared" si="71"/>
        <v>-59129.098594709823</v>
      </c>
      <c r="W82" s="65">
        <f t="shared" si="72"/>
        <v>-159489.334077142</v>
      </c>
      <c r="X82" s="66">
        <f t="shared" si="73"/>
        <v>-455.91735643977393</v>
      </c>
      <c r="Y82" s="66">
        <f t="shared" si="74"/>
        <v>-56225.404440170008</v>
      </c>
      <c r="Z82" s="66">
        <f t="shared" si="75"/>
        <v>46.941975843557849</v>
      </c>
      <c r="AA82" s="66">
        <f t="shared" si="76"/>
        <v>-225.99387604630752</v>
      </c>
      <c r="AB82" s="66">
        <f t="shared" si="77"/>
        <v>6447.5887461481288</v>
      </c>
      <c r="AC82" s="66">
        <f t="shared" si="78"/>
        <v>4422.6108358431293</v>
      </c>
      <c r="AD82" s="66">
        <f t="shared" si="79"/>
        <v>2569.2409316128123</v>
      </c>
      <c r="AE82" s="66">
        <f t="shared" si="80"/>
        <v>1119.4590658547077</v>
      </c>
      <c r="AF82" s="66">
        <f t="shared" si="81"/>
        <v>-1246.9629425838593</v>
      </c>
      <c r="AG82" s="66">
        <f t="shared" si="82"/>
        <v>-3363.2825043471439</v>
      </c>
      <c r="AH82" s="66">
        <f t="shared" si="83"/>
        <v>-7558.8382184998773</v>
      </c>
      <c r="AI82" s="66">
        <f t="shared" si="84"/>
        <v>-18405.098475527666</v>
      </c>
      <c r="AJ82" s="66">
        <f t="shared" si="85"/>
        <v>4176.2334093593381</v>
      </c>
      <c r="AK82" s="66">
        <f t="shared" si="86"/>
        <v>2198.2869778552868</v>
      </c>
      <c r="AL82" s="66">
        <f t="shared" si="87"/>
        <v>899.93830887415243</v>
      </c>
      <c r="AM82" s="66">
        <f t="shared" si="88"/>
        <v>453.02670794784717</v>
      </c>
      <c r="AN82" s="66">
        <f t="shared" si="89"/>
        <v>-458.65304921976531</v>
      </c>
      <c r="AO82" s="66">
        <f t="shared" si="90"/>
        <v>-922.48936920848791</v>
      </c>
      <c r="AP82" s="66">
        <f t="shared" si="91"/>
        <v>-2341.252678896617</v>
      </c>
      <c r="AQ82" s="66">
        <f t="shared" si="92"/>
        <v>-4778.2495585415109</v>
      </c>
    </row>
    <row r="83" spans="1:43" x14ac:dyDescent="0.35">
      <c r="A83" s="3" t="s">
        <v>67</v>
      </c>
      <c r="B83" s="4">
        <f>VLOOKUP(A83,PriceData!$K$4:$L$6,2,FALSE)</f>
        <v>10022</v>
      </c>
      <c r="C83" s="46">
        <f>VLOOKUP(A83,PriceData!$K$4:$M$6,3,FALSE)</f>
        <v>5.0000000000000001E-3</v>
      </c>
      <c r="D83" s="4" t="s">
        <v>59</v>
      </c>
      <c r="E83" s="4" t="s">
        <v>68</v>
      </c>
      <c r="F83" s="4">
        <v>-10</v>
      </c>
      <c r="G83">
        <v>9721</v>
      </c>
      <c r="H83" s="4" t="s">
        <v>60</v>
      </c>
      <c r="I83" s="5">
        <v>40438</v>
      </c>
      <c r="J83" s="46">
        <f t="shared" si="62"/>
        <v>0.34752036702571659</v>
      </c>
      <c r="K83" s="30">
        <f>VLOOKUP(I83,PriceData!$A$5:$D$7,MATCH($E83,PriceData!$A$4:$D$4,0),FALSE)</f>
        <v>7.4999999999999997E-3</v>
      </c>
      <c r="L83" s="2">
        <f t="shared" si="63"/>
        <v>972.67276766229679</v>
      </c>
      <c r="M83" s="2">
        <f t="shared" si="64"/>
        <v>-9726.7276766229679</v>
      </c>
      <c r="N83" s="4" t="s">
        <v>64</v>
      </c>
      <c r="P83" s="60">
        <f t="shared" si="65"/>
        <v>-3985.6913428553635</v>
      </c>
      <c r="Q83" s="60">
        <f t="shared" si="66"/>
        <v>6704.0350970420877</v>
      </c>
      <c r="R83" s="58">
        <f t="shared" si="67"/>
        <v>31.914914212018527</v>
      </c>
      <c r="S83" s="58">
        <f t="shared" si="68"/>
        <v>-74.758062721330873</v>
      </c>
      <c r="T83" s="58">
        <f t="shared" si="69"/>
        <v>-2.1709308576052182</v>
      </c>
      <c r="U83" s="2">
        <f t="shared" si="70"/>
        <v>-33.96139801724425</v>
      </c>
      <c r="V83" s="65">
        <f t="shared" si="71"/>
        <v>39856.913428553635</v>
      </c>
      <c r="W83" s="65">
        <f t="shared" si="72"/>
        <v>-67040.35097042087</v>
      </c>
      <c r="X83" s="66">
        <f t="shared" si="73"/>
        <v>-319.14914212018527</v>
      </c>
      <c r="Y83" s="66">
        <f t="shared" si="74"/>
        <v>747.58062721330873</v>
      </c>
      <c r="Z83" s="66">
        <f t="shared" si="75"/>
        <v>21.70930857605218</v>
      </c>
      <c r="AA83" s="66">
        <f t="shared" si="76"/>
        <v>339.6139801724425</v>
      </c>
      <c r="AB83" s="66">
        <f t="shared" si="77"/>
        <v>-10899.866026612299</v>
      </c>
      <c r="AC83" s="66">
        <f t="shared" si="78"/>
        <v>-4693.6383208820644</v>
      </c>
      <c r="AD83" s="66">
        <f t="shared" si="79"/>
        <v>-2165.4627776124562</v>
      </c>
      <c r="AE83" s="66">
        <f t="shared" si="80"/>
        <v>-824.28594725390212</v>
      </c>
      <c r="AF83" s="66">
        <f t="shared" si="81"/>
        <v>770.66552556094393</v>
      </c>
      <c r="AG83" s="66">
        <f t="shared" si="82"/>
        <v>1830.7255315455768</v>
      </c>
      <c r="AH83" s="66">
        <f t="shared" si="83"/>
        <v>3360.3334768149216</v>
      </c>
      <c r="AI83" s="66">
        <f t="shared" si="84"/>
        <v>5660.6270515304641</v>
      </c>
      <c r="AJ83" s="66">
        <f t="shared" si="85"/>
        <v>3191.9925542524516</v>
      </c>
      <c r="AK83" s="66">
        <f t="shared" si="86"/>
        <v>1596.3245464438387</v>
      </c>
      <c r="AL83" s="66">
        <f t="shared" si="87"/>
        <v>638.42646614033129</v>
      </c>
      <c r="AM83" s="66">
        <f t="shared" si="88"/>
        <v>319.18390687798365</v>
      </c>
      <c r="AN83" s="66">
        <f t="shared" si="89"/>
        <v>-319.10924514771978</v>
      </c>
      <c r="AO83" s="66">
        <f t="shared" si="90"/>
        <v>-638.12897896570121</v>
      </c>
      <c r="AP83" s="66">
        <f t="shared" si="91"/>
        <v>-1594.5169971405676</v>
      </c>
      <c r="AQ83" s="66">
        <f t="shared" si="92"/>
        <v>-3185.5641389443599</v>
      </c>
    </row>
    <row r="84" spans="1:43" x14ac:dyDescent="0.35">
      <c r="A84" s="3" t="s">
        <v>67</v>
      </c>
      <c r="B84" s="4">
        <f>VLOOKUP(A84,PriceData!$K$4:$L$6,2,FALSE)</f>
        <v>10022</v>
      </c>
      <c r="C84" s="46">
        <f>VLOOKUP(A84,PriceData!$K$4:$M$6,3,FALSE)</f>
        <v>5.0000000000000001E-3</v>
      </c>
      <c r="D84" s="4" t="s">
        <v>59</v>
      </c>
      <c r="E84" s="4" t="s">
        <v>68</v>
      </c>
      <c r="F84" s="4">
        <v>-5</v>
      </c>
      <c r="G84">
        <v>7617</v>
      </c>
      <c r="H84" s="4" t="s">
        <v>60</v>
      </c>
      <c r="I84" s="5">
        <v>40438</v>
      </c>
      <c r="J84" s="46">
        <f t="shared" si="62"/>
        <v>0.5752835905302579</v>
      </c>
      <c r="K84" s="30">
        <f>VLOOKUP(I84,PriceData!$A$5:$D$7,MATCH($E84,PriceData!$A$4:$D$4,0),FALSE)</f>
        <v>7.4999999999999997E-3</v>
      </c>
      <c r="L84" s="2">
        <f t="shared" si="63"/>
        <v>710.92406048627072</v>
      </c>
      <c r="M84" s="2">
        <f t="shared" si="64"/>
        <v>-3554.6203024313536</v>
      </c>
      <c r="N84" s="4" t="s">
        <v>58</v>
      </c>
      <c r="P84" s="60">
        <f t="shared" si="65"/>
        <v>-2064.2786200217561</v>
      </c>
      <c r="Q84" s="60">
        <f t="shared" si="66"/>
        <v>2994.6533813990309</v>
      </c>
      <c r="R84" s="58">
        <f t="shared" si="67"/>
        <v>23.599656844449488</v>
      </c>
      <c r="S84" s="58">
        <f t="shared" si="68"/>
        <v>1147.2250857243289</v>
      </c>
      <c r="T84" s="58">
        <f t="shared" si="69"/>
        <v>-2.6865521416535634</v>
      </c>
      <c r="U84" s="2">
        <f t="shared" si="70"/>
        <v>-19.008237537726213</v>
      </c>
      <c r="V84" s="65">
        <f t="shared" si="71"/>
        <v>10321.39310010878</v>
      </c>
      <c r="W84" s="65">
        <f t="shared" si="72"/>
        <v>-14973.266906995155</v>
      </c>
      <c r="X84" s="66">
        <f t="shared" si="73"/>
        <v>-117.99828422224743</v>
      </c>
      <c r="Y84" s="66">
        <f t="shared" si="74"/>
        <v>-5736.1254286216445</v>
      </c>
      <c r="Z84" s="66">
        <f t="shared" si="75"/>
        <v>13.432760708267818</v>
      </c>
      <c r="AA84" s="66">
        <f t="shared" si="76"/>
        <v>95.041187688631069</v>
      </c>
      <c r="AB84" s="66">
        <f t="shared" si="77"/>
        <v>-2782.5442581276047</v>
      </c>
      <c r="AC84" s="66">
        <f t="shared" si="78"/>
        <v>-1196.1388060561967</v>
      </c>
      <c r="AD84" s="66">
        <f t="shared" si="79"/>
        <v>-555.24279372653837</v>
      </c>
      <c r="AE84" s="66">
        <f t="shared" si="80"/>
        <v>-212.52683338490215</v>
      </c>
      <c r="AF84" s="66">
        <f t="shared" si="81"/>
        <v>200.54594680744458</v>
      </c>
      <c r="AG84" s="66">
        <f t="shared" si="82"/>
        <v>480.28780919706037</v>
      </c>
      <c r="AH84" s="66">
        <f t="shared" si="83"/>
        <v>895.26320140453663</v>
      </c>
      <c r="AI84" s="66">
        <f t="shared" si="84"/>
        <v>1562.6567727896497</v>
      </c>
      <c r="AJ84" s="66">
        <f t="shared" si="85"/>
        <v>1144.4861486031061</v>
      </c>
      <c r="AK84" s="66">
        <f t="shared" si="86"/>
        <v>582.03290806376003</v>
      </c>
      <c r="AL84" s="66">
        <f t="shared" si="87"/>
        <v>234.80105656497699</v>
      </c>
      <c r="AM84" s="66">
        <f t="shared" si="88"/>
        <v>117.70552734298462</v>
      </c>
      <c r="AN84" s="66">
        <f t="shared" si="89"/>
        <v>-118.27930331470498</v>
      </c>
      <c r="AO84" s="66">
        <f t="shared" si="90"/>
        <v>-237.09812303578019</v>
      </c>
      <c r="AP84" s="66">
        <f t="shared" si="91"/>
        <v>-596.47581482905935</v>
      </c>
      <c r="AQ84" s="66">
        <f t="shared" si="92"/>
        <v>-1203.5116178882117</v>
      </c>
    </row>
    <row r="85" spans="1:43" x14ac:dyDescent="0.35">
      <c r="A85" s="3" t="s">
        <v>67</v>
      </c>
      <c r="B85" s="4">
        <f>VLOOKUP(A85,PriceData!$K$4:$L$6,2,FALSE)</f>
        <v>10022</v>
      </c>
      <c r="C85" s="46">
        <f>VLOOKUP(A85,PriceData!$K$4:$M$6,3,FALSE)</f>
        <v>5.0000000000000001E-3</v>
      </c>
      <c r="D85" s="4" t="s">
        <v>59</v>
      </c>
      <c r="E85" s="4" t="s">
        <v>68</v>
      </c>
      <c r="F85" s="4">
        <v>-10</v>
      </c>
      <c r="G85">
        <v>9721</v>
      </c>
      <c r="H85" s="4" t="s">
        <v>60</v>
      </c>
      <c r="I85" s="5">
        <v>40438</v>
      </c>
      <c r="J85" s="46">
        <f t="shared" si="62"/>
        <v>0.34752036702571659</v>
      </c>
      <c r="K85" s="30">
        <f>VLOOKUP(I85,PriceData!$A$5:$D$7,MATCH($E85,PriceData!$A$4:$D$4,0),FALSE)</f>
        <v>7.4999999999999997E-3</v>
      </c>
      <c r="L85" s="2">
        <f t="shared" si="63"/>
        <v>972.67276766229679</v>
      </c>
      <c r="M85" s="2">
        <f t="shared" si="64"/>
        <v>-9726.7276766229679</v>
      </c>
      <c r="N85" s="4" t="s">
        <v>63</v>
      </c>
      <c r="P85" s="60">
        <f t="shared" si="65"/>
        <v>-3985.6913428553635</v>
      </c>
      <c r="Q85" s="60">
        <f t="shared" si="66"/>
        <v>6704.0350970420877</v>
      </c>
      <c r="R85" s="58">
        <f t="shared" si="67"/>
        <v>31.914914212018527</v>
      </c>
      <c r="S85" s="58">
        <f t="shared" si="68"/>
        <v>-74.758062721330873</v>
      </c>
      <c r="T85" s="58">
        <f t="shared" si="69"/>
        <v>-2.1709308576052182</v>
      </c>
      <c r="U85" s="2">
        <f t="shared" si="70"/>
        <v>-33.96139801724425</v>
      </c>
      <c r="V85" s="65">
        <f t="shared" si="71"/>
        <v>39856.913428553635</v>
      </c>
      <c r="W85" s="65">
        <f t="shared" si="72"/>
        <v>-67040.35097042087</v>
      </c>
      <c r="X85" s="66">
        <f t="shared" si="73"/>
        <v>-319.14914212018527</v>
      </c>
      <c r="Y85" s="66">
        <f t="shared" si="74"/>
        <v>747.58062721330873</v>
      </c>
      <c r="Z85" s="66">
        <f t="shared" si="75"/>
        <v>21.70930857605218</v>
      </c>
      <c r="AA85" s="66">
        <f t="shared" si="76"/>
        <v>339.6139801724425</v>
      </c>
      <c r="AB85" s="66">
        <f t="shared" si="77"/>
        <v>-10899.866026612299</v>
      </c>
      <c r="AC85" s="66">
        <f t="shared" si="78"/>
        <v>-4693.6383208820644</v>
      </c>
      <c r="AD85" s="66">
        <f t="shared" si="79"/>
        <v>-2165.4627776124562</v>
      </c>
      <c r="AE85" s="66">
        <f t="shared" si="80"/>
        <v>-824.28594725390212</v>
      </c>
      <c r="AF85" s="66">
        <f t="shared" si="81"/>
        <v>770.66552556094393</v>
      </c>
      <c r="AG85" s="66">
        <f t="shared" si="82"/>
        <v>1830.7255315455768</v>
      </c>
      <c r="AH85" s="66">
        <f t="shared" si="83"/>
        <v>3360.3334768149216</v>
      </c>
      <c r="AI85" s="66">
        <f t="shared" si="84"/>
        <v>5660.6270515304641</v>
      </c>
      <c r="AJ85" s="66">
        <f t="shared" si="85"/>
        <v>3191.9925542524516</v>
      </c>
      <c r="AK85" s="66">
        <f t="shared" si="86"/>
        <v>1596.3245464438387</v>
      </c>
      <c r="AL85" s="66">
        <f t="shared" si="87"/>
        <v>638.42646614033129</v>
      </c>
      <c r="AM85" s="66">
        <f t="shared" si="88"/>
        <v>319.18390687798365</v>
      </c>
      <c r="AN85" s="66">
        <f t="shared" si="89"/>
        <v>-319.10924514771978</v>
      </c>
      <c r="AO85" s="66">
        <f t="shared" si="90"/>
        <v>-638.12897896570121</v>
      </c>
      <c r="AP85" s="66">
        <f t="shared" si="91"/>
        <v>-1594.5169971405676</v>
      </c>
      <c r="AQ85" s="66">
        <f t="shared" si="92"/>
        <v>-3185.5641389443599</v>
      </c>
    </row>
    <row r="86" spans="1:43" x14ac:dyDescent="0.35">
      <c r="A86" s="3" t="s">
        <v>67</v>
      </c>
      <c r="B86" s="4">
        <f>VLOOKUP(A86,PriceData!$K$4:$L$6,2,FALSE)</f>
        <v>10022</v>
      </c>
      <c r="C86" s="46">
        <f>VLOOKUP(A86,PriceData!$K$4:$M$6,3,FALSE)</f>
        <v>5.0000000000000001E-3</v>
      </c>
      <c r="D86" s="4" t="s">
        <v>59</v>
      </c>
      <c r="E86" s="4" t="s">
        <v>68</v>
      </c>
      <c r="F86" s="4">
        <v>-10</v>
      </c>
      <c r="G86">
        <v>8819</v>
      </c>
      <c r="H86" s="4" t="s">
        <v>60</v>
      </c>
      <c r="I86" s="5">
        <v>40438</v>
      </c>
      <c r="J86" s="46">
        <f t="shared" si="62"/>
        <v>0.42285122533835773</v>
      </c>
      <c r="K86" s="30">
        <f>VLOOKUP(I86,PriceData!$A$5:$D$7,MATCH($E86,PriceData!$A$4:$D$4,0),FALSE)</f>
        <v>7.4999999999999997E-3</v>
      </c>
      <c r="L86" s="2">
        <f t="shared" si="63"/>
        <v>783.32650300920295</v>
      </c>
      <c r="M86" s="2">
        <f t="shared" si="64"/>
        <v>-7833.2650300920295</v>
      </c>
      <c r="N86" s="4" t="s">
        <v>58</v>
      </c>
      <c r="P86" s="60">
        <f t="shared" si="65"/>
        <v>-2924.2391611836733</v>
      </c>
      <c r="Q86" s="60">
        <f t="shared" si="66"/>
        <v>4906.516391216428</v>
      </c>
      <c r="R86" s="58">
        <f t="shared" si="67"/>
        <v>28.420910522857589</v>
      </c>
      <c r="S86" s="58">
        <f t="shared" si="68"/>
        <v>715.82661409033005</v>
      </c>
      <c r="T86" s="58">
        <f t="shared" si="69"/>
        <v>-2.3674385825520252</v>
      </c>
      <c r="U86" s="2">
        <f t="shared" si="70"/>
        <v>-25.394285371184083</v>
      </c>
      <c r="V86" s="65">
        <f t="shared" si="71"/>
        <v>29242.391611836734</v>
      </c>
      <c r="W86" s="65">
        <f t="shared" si="72"/>
        <v>-49065.16391216428</v>
      </c>
      <c r="X86" s="66">
        <f t="shared" si="73"/>
        <v>-284.20910522857588</v>
      </c>
      <c r="Y86" s="66">
        <f t="shared" si="74"/>
        <v>-7158.2661409033008</v>
      </c>
      <c r="Z86" s="66">
        <f t="shared" si="75"/>
        <v>23.674385825520254</v>
      </c>
      <c r="AA86" s="66">
        <f t="shared" si="76"/>
        <v>253.94285371184083</v>
      </c>
      <c r="AB86" s="66">
        <f t="shared" si="77"/>
        <v>-8136.6754964565871</v>
      </c>
      <c r="AC86" s="66">
        <f t="shared" si="78"/>
        <v>-3456.6882513161863</v>
      </c>
      <c r="AD86" s="66">
        <f t="shared" si="79"/>
        <v>-1590.0237703509265</v>
      </c>
      <c r="AE86" s="66">
        <f t="shared" si="80"/>
        <v>-604.80909432849785</v>
      </c>
      <c r="AF86" s="66">
        <f t="shared" si="81"/>
        <v>565.55574377974608</v>
      </c>
      <c r="AG86" s="66">
        <f t="shared" si="82"/>
        <v>1344.6515884753308</v>
      </c>
      <c r="AH86" s="66">
        <f t="shared" si="83"/>
        <v>2474.7154966174594</v>
      </c>
      <c r="AI86" s="66">
        <f t="shared" si="84"/>
        <v>4205.2924759260759</v>
      </c>
      <c r="AJ86" s="66">
        <f t="shared" si="85"/>
        <v>2791.8760028156294</v>
      </c>
      <c r="AK86" s="66">
        <f t="shared" si="86"/>
        <v>1410.5062168743098</v>
      </c>
      <c r="AL86" s="66">
        <f t="shared" si="87"/>
        <v>566.89134638492305</v>
      </c>
      <c r="AM86" s="66">
        <f t="shared" si="88"/>
        <v>283.83954266266755</v>
      </c>
      <c r="AN86" s="66">
        <f t="shared" si="89"/>
        <v>-284.55584107642153</v>
      </c>
      <c r="AO86" s="66">
        <f t="shared" si="90"/>
        <v>-569.76221236814581</v>
      </c>
      <c r="AP86" s="66">
        <f t="shared" si="91"/>
        <v>-1428.7001420105435</v>
      </c>
      <c r="AQ86" s="66">
        <f t="shared" si="92"/>
        <v>-2868.4077051191298</v>
      </c>
    </row>
    <row r="87" spans="1:43" x14ac:dyDescent="0.35">
      <c r="A87" s="3" t="s">
        <v>67</v>
      </c>
      <c r="B87" s="4">
        <f>VLOOKUP(A87,PriceData!$K$4:$L$6,2,FALSE)</f>
        <v>10022</v>
      </c>
      <c r="C87" s="46">
        <f>VLOOKUP(A87,PriceData!$K$4:$M$6,3,FALSE)</f>
        <v>5.0000000000000001E-3</v>
      </c>
      <c r="D87" s="4" t="s">
        <v>59</v>
      </c>
      <c r="E87" s="4" t="s">
        <v>68</v>
      </c>
      <c r="F87" s="4">
        <v>-10</v>
      </c>
      <c r="G87">
        <v>8819</v>
      </c>
      <c r="H87" s="4" t="s">
        <v>60</v>
      </c>
      <c r="I87" s="5">
        <v>40438</v>
      </c>
      <c r="J87" s="46">
        <f t="shared" si="62"/>
        <v>0.42285122533835773</v>
      </c>
      <c r="K87" s="30">
        <f>VLOOKUP(I87,PriceData!$A$5:$D$7,MATCH($E87,PriceData!$A$4:$D$4,0),FALSE)</f>
        <v>7.4999999999999997E-3</v>
      </c>
      <c r="L87" s="2">
        <f t="shared" si="63"/>
        <v>783.32650300920295</v>
      </c>
      <c r="M87" s="2">
        <f t="shared" si="64"/>
        <v>-7833.2650300920295</v>
      </c>
      <c r="N87" s="4" t="s">
        <v>58</v>
      </c>
      <c r="P87" s="60">
        <f t="shared" si="65"/>
        <v>-2924.2391611836733</v>
      </c>
      <c r="Q87" s="60">
        <f t="shared" si="66"/>
        <v>4906.516391216428</v>
      </c>
      <c r="R87" s="58">
        <f t="shared" si="67"/>
        <v>28.420910522857589</v>
      </c>
      <c r="S87" s="58">
        <f t="shared" si="68"/>
        <v>715.82661409033005</v>
      </c>
      <c r="T87" s="58">
        <f t="shared" si="69"/>
        <v>-2.3674385825520252</v>
      </c>
      <c r="U87" s="2">
        <f t="shared" si="70"/>
        <v>-25.394285371184083</v>
      </c>
      <c r="V87" s="65">
        <f t="shared" si="71"/>
        <v>29242.391611836734</v>
      </c>
      <c r="W87" s="65">
        <f t="shared" si="72"/>
        <v>-49065.16391216428</v>
      </c>
      <c r="X87" s="66">
        <f t="shared" si="73"/>
        <v>-284.20910522857588</v>
      </c>
      <c r="Y87" s="66">
        <f t="shared" si="74"/>
        <v>-7158.2661409033008</v>
      </c>
      <c r="Z87" s="66">
        <f t="shared" si="75"/>
        <v>23.674385825520254</v>
      </c>
      <c r="AA87" s="66">
        <f t="shared" si="76"/>
        <v>253.94285371184083</v>
      </c>
      <c r="AB87" s="66">
        <f t="shared" si="77"/>
        <v>-8136.6754964565871</v>
      </c>
      <c r="AC87" s="66">
        <f t="shared" si="78"/>
        <v>-3456.6882513161863</v>
      </c>
      <c r="AD87" s="66">
        <f t="shared" si="79"/>
        <v>-1590.0237703509265</v>
      </c>
      <c r="AE87" s="66">
        <f t="shared" si="80"/>
        <v>-604.80909432849785</v>
      </c>
      <c r="AF87" s="66">
        <f t="shared" si="81"/>
        <v>565.55574377974608</v>
      </c>
      <c r="AG87" s="66">
        <f t="shared" si="82"/>
        <v>1344.6515884753308</v>
      </c>
      <c r="AH87" s="66">
        <f t="shared" si="83"/>
        <v>2474.7154966174594</v>
      </c>
      <c r="AI87" s="66">
        <f t="shared" si="84"/>
        <v>4205.2924759260759</v>
      </c>
      <c r="AJ87" s="66">
        <f t="shared" si="85"/>
        <v>2791.8760028156294</v>
      </c>
      <c r="AK87" s="66">
        <f t="shared" si="86"/>
        <v>1410.5062168743098</v>
      </c>
      <c r="AL87" s="66">
        <f t="shared" si="87"/>
        <v>566.89134638492305</v>
      </c>
      <c r="AM87" s="66">
        <f t="shared" si="88"/>
        <v>283.83954266266755</v>
      </c>
      <c r="AN87" s="66">
        <f t="shared" si="89"/>
        <v>-284.55584107642153</v>
      </c>
      <c r="AO87" s="66">
        <f t="shared" si="90"/>
        <v>-569.76221236814581</v>
      </c>
      <c r="AP87" s="66">
        <f t="shared" si="91"/>
        <v>-1428.7001420105435</v>
      </c>
      <c r="AQ87" s="66">
        <f t="shared" si="92"/>
        <v>-2868.4077051191298</v>
      </c>
    </row>
  </sheetData>
  <mergeCells count="2">
    <mergeCell ref="AJ3:AQ3"/>
    <mergeCell ref="AB3:AI3"/>
  </mergeCells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V35"/>
  <sheetViews>
    <sheetView showGridLines="0" workbookViewId="0">
      <selection activeCell="G30" sqref="G30"/>
    </sheetView>
  </sheetViews>
  <sheetFormatPr defaultRowHeight="12.75" x14ac:dyDescent="0.35"/>
  <cols>
    <col min="1" max="1" width="10" bestFit="1" customWidth="1"/>
    <col min="2" max="2" width="9.265625" bestFit="1" customWidth="1"/>
    <col min="8" max="8" width="11.3984375" customWidth="1"/>
    <col min="11" max="11" width="11.3984375" bestFit="1" customWidth="1"/>
    <col min="14" max="14" width="12.3984375" bestFit="1" customWidth="1"/>
  </cols>
  <sheetData>
    <row r="2" spans="1:22" ht="13.15" customHeight="1" thickBot="1" x14ac:dyDescent="0.4"/>
    <row r="3" spans="1:22" ht="13.5" customHeight="1" thickBot="1" x14ac:dyDescent="0.45">
      <c r="B3" s="110" t="s">
        <v>69</v>
      </c>
      <c r="C3" s="108"/>
      <c r="D3" s="109"/>
      <c r="F3" s="6"/>
      <c r="G3" s="110" t="s">
        <v>70</v>
      </c>
      <c r="H3" s="109"/>
      <c r="K3" s="31"/>
      <c r="L3" s="32" t="s">
        <v>71</v>
      </c>
      <c r="M3" s="33" t="s">
        <v>72</v>
      </c>
    </row>
    <row r="4" spans="1:22" ht="13.5" customHeight="1" thickBot="1" x14ac:dyDescent="0.45">
      <c r="A4" s="18" t="s">
        <v>3</v>
      </c>
      <c r="B4" s="24" t="s">
        <v>57</v>
      </c>
      <c r="C4" s="24" t="s">
        <v>65</v>
      </c>
      <c r="D4" s="25" t="s">
        <v>68</v>
      </c>
      <c r="F4" s="6"/>
      <c r="G4" s="26" t="s">
        <v>73</v>
      </c>
      <c r="H4" s="19">
        <v>1.55</v>
      </c>
      <c r="K4" s="34" t="s">
        <v>55</v>
      </c>
      <c r="L4" s="1">
        <v>1100</v>
      </c>
      <c r="M4" s="15">
        <v>0.02</v>
      </c>
    </row>
    <row r="5" spans="1:22" ht="13.5" customHeight="1" thickBot="1" x14ac:dyDescent="0.45">
      <c r="A5" s="9">
        <v>40256</v>
      </c>
      <c r="B5" s="12">
        <v>1.0999999999999999E-2</v>
      </c>
      <c r="C5" s="12">
        <v>2.1999999999999999E-2</v>
      </c>
      <c r="D5" s="13">
        <v>5.0000000000000001E-3</v>
      </c>
      <c r="F5" s="6"/>
      <c r="G5" s="27" t="s">
        <v>74</v>
      </c>
      <c r="H5" s="51">
        <f>1/110</f>
        <v>9.0909090909090905E-3</v>
      </c>
      <c r="K5" s="34" t="s">
        <v>1</v>
      </c>
      <c r="L5" s="1">
        <v>2905</v>
      </c>
      <c r="M5" s="15">
        <v>2.1999999999999999E-2</v>
      </c>
    </row>
    <row r="6" spans="1:22" ht="13.5" customHeight="1" thickBot="1" x14ac:dyDescent="0.45">
      <c r="A6" s="10">
        <v>40347</v>
      </c>
      <c r="B6" s="14">
        <v>1.4999999999999999E-2</v>
      </c>
      <c r="C6" s="14">
        <v>2.3E-2</v>
      </c>
      <c r="D6" s="15">
        <v>5.0000000000000001E-3</v>
      </c>
      <c r="F6" s="6"/>
      <c r="K6" s="35" t="s">
        <v>67</v>
      </c>
      <c r="L6" s="20">
        <v>10022</v>
      </c>
      <c r="M6" s="17">
        <v>5.0000000000000001E-3</v>
      </c>
    </row>
    <row r="7" spans="1:22" ht="13.15" customHeight="1" thickBot="1" x14ac:dyDescent="0.4">
      <c r="A7" s="11">
        <v>40438</v>
      </c>
      <c r="B7" s="16">
        <v>1.7500000000000002E-2</v>
      </c>
      <c r="C7" s="16">
        <v>2.5000000000000001E-2</v>
      </c>
      <c r="D7" s="17">
        <v>7.4999999999999997E-3</v>
      </c>
      <c r="F7" s="6"/>
    </row>
    <row r="12" spans="1:22" ht="13.15" customHeight="1" thickBot="1" x14ac:dyDescent="0.4"/>
    <row r="13" spans="1:22" ht="13.5" customHeight="1" thickBot="1" x14ac:dyDescent="0.45">
      <c r="B13" s="110" t="s">
        <v>75</v>
      </c>
      <c r="C13" s="108"/>
      <c r="D13" s="108"/>
      <c r="E13" s="109"/>
    </row>
    <row r="14" spans="1:22" ht="13.5" customHeight="1" thickBot="1" x14ac:dyDescent="0.45">
      <c r="A14" s="18" t="s">
        <v>3</v>
      </c>
      <c r="B14" s="39">
        <f>ROUND((0.7+COUNTA($A$14:A14)*0.03)*$L$4,0)</f>
        <v>803</v>
      </c>
      <c r="C14" s="40">
        <f>ROUND((0.7+COUNTA($A$14:B14)*0.03)*$L$4,0)</f>
        <v>836</v>
      </c>
      <c r="D14" s="40">
        <f>ROUND((0.7+COUNTA($A$14:C14)*0.03)*$L$4,0)</f>
        <v>869</v>
      </c>
      <c r="E14" s="40">
        <f>ROUND((0.7+COUNTA($A$14:D14)*0.03)*$L$4,0)</f>
        <v>902</v>
      </c>
      <c r="F14" s="40">
        <f>ROUND((0.7+COUNTA($A$14:E14)*0.03)*$L$4,0)</f>
        <v>935</v>
      </c>
      <c r="G14" s="40">
        <f>ROUND((0.7+COUNTA($A$14:F14)*0.03)*$L$4,0)</f>
        <v>968</v>
      </c>
      <c r="H14" s="40">
        <f>ROUND((0.7+COUNTA($A$14:G14)*0.03)*$L$4,0)</f>
        <v>1001</v>
      </c>
      <c r="I14" s="40">
        <f>ROUND((0.7+COUNTA($A$14:H14)*0.03)*$L$4,0)</f>
        <v>1034</v>
      </c>
      <c r="J14" s="40">
        <f>ROUND((0.7+COUNTA($A$14:I14)*0.03)*$L$4,0)</f>
        <v>1067</v>
      </c>
      <c r="K14" s="40">
        <f>ROUND((0.7+COUNTA($A$14:J14)*0.03)*$L$4,0)</f>
        <v>1100</v>
      </c>
      <c r="L14" s="40">
        <f>ROUND((0.7+COUNTA($A$14:K14)*0.03)*$L$4,0)</f>
        <v>1133</v>
      </c>
      <c r="M14" s="40">
        <f>ROUND((0.7+COUNTA($A$14:L14)*0.03)*$L$4,0)</f>
        <v>1166</v>
      </c>
      <c r="N14" s="40">
        <f>ROUND((0.7+COUNTA($A$14:M14)*0.03)*$L$4,0)</f>
        <v>1199</v>
      </c>
      <c r="O14" s="40">
        <f>ROUND((0.7+COUNTA($A$14:N14)*0.03)*$L$4,0)</f>
        <v>1232</v>
      </c>
      <c r="P14" s="40">
        <f>ROUND((0.7+COUNTA($A$14:O14)*0.03)*$L$4,0)</f>
        <v>1265</v>
      </c>
      <c r="Q14" s="40">
        <f>ROUND((0.7+COUNTA($A$14:P14)*0.03)*$L$4,0)</f>
        <v>1298</v>
      </c>
      <c r="R14" s="40">
        <f>ROUND((0.7+COUNTA($A$14:Q14)*0.03)*$L$4,0)</f>
        <v>1331</v>
      </c>
      <c r="S14" s="40">
        <f>ROUND((0.7+COUNTA($A$14:R14)*0.03)*$L$4,0)</f>
        <v>1364</v>
      </c>
      <c r="T14" s="40">
        <f>ROUND((0.7+COUNTA($A$14:S14)*0.03)*$L$4,0)</f>
        <v>1397</v>
      </c>
      <c r="U14" s="40">
        <f>ROUND((0.7+COUNTA($A$14:T14)*0.03)*$L$4,0)</f>
        <v>1430</v>
      </c>
      <c r="V14" s="41">
        <f>ROUND((0.7+COUNTA($A$14:U14)*0.03)*$L$4,0)</f>
        <v>1463</v>
      </c>
    </row>
    <row r="15" spans="1:22" x14ac:dyDescent="0.35">
      <c r="A15" s="36">
        <v>40256</v>
      </c>
      <c r="B15" s="42">
        <f>ComputeSVIImpliedVol($L$4, $B5, $M$4, ($A15-OptionsData!$B$1)/365, B$14)</f>
        <v>0.69743270668214874</v>
      </c>
      <c r="C15" s="43">
        <f>ComputeSVIImpliedVol($L$4, $B5, $M$4, ($A15-OptionsData!$B$1)/365, C$14)</f>
        <v>0.65150715802383286</v>
      </c>
      <c r="D15" s="43">
        <f>ComputeSVIImpliedVol($L$4, $B5, $M$4, ($A15-OptionsData!$B$1)/365, D$14)</f>
        <v>0.60862934363298282</v>
      </c>
      <c r="E15" s="43">
        <f>ComputeSVIImpliedVol($L$4, $B5, $M$4, ($A15-OptionsData!$B$1)/365, E$14)</f>
        <v>0.56890844311500222</v>
      </c>
      <c r="F15" s="43">
        <f>ComputeSVIImpliedVol($L$4, $B5, $M$4, ($A15-OptionsData!$B$1)/365, F$14)</f>
        <v>0.53252581704856539</v>
      </c>
      <c r="G15" s="43">
        <f>ComputeSVIImpliedVol($L$4, $B5, $M$4, ($A15-OptionsData!$B$1)/365, G$14)</f>
        <v>0.49972686896832741</v>
      </c>
      <c r="H15" s="43">
        <f>ComputeSVIImpliedVol($L$4, $B5, $M$4, ($A15-OptionsData!$B$1)/365, H$14)</f>
        <v>0.47079318216922272</v>
      </c>
      <c r="I15" s="43">
        <f>ComputeSVIImpliedVol($L$4, $B5, $M$4, ($A15-OptionsData!$B$1)/365, I$14)</f>
        <v>0.44598602021318745</v>
      </c>
      <c r="J15" s="43">
        <f>ComputeSVIImpliedVol($L$4, $B5, $M$4, ($A15-OptionsData!$B$1)/365, J$14)</f>
        <v>0.4254639706871936</v>
      </c>
      <c r="K15" s="43">
        <f>ComputeSVIImpliedVol($L$4, $B5, $M$4, ($A15-OptionsData!$B$1)/365, K$14)</f>
        <v>0.4092008007118651</v>
      </c>
      <c r="L15" s="43">
        <f>ComputeSVIImpliedVol($L$4, $B5, $M$4, ($A15-OptionsData!$B$1)/365, L$14)</f>
        <v>0.39694651184565882</v>
      </c>
      <c r="M15" s="43">
        <f>ComputeSVIImpliedVol($L$4, $B5, $M$4, ($A15-OptionsData!$B$1)/365, M$14)</f>
        <v>0.38825851084440738</v>
      </c>
      <c r="N15" s="43">
        <f>ComputeSVIImpliedVol($L$4, $B5, $M$4, ($A15-OptionsData!$B$1)/365, N$14)</f>
        <v>0.38258621180424129</v>
      </c>
      <c r="O15" s="43">
        <f>ComputeSVIImpliedVol($L$4, $B5, $M$4, ($A15-OptionsData!$B$1)/365, O$14)</f>
        <v>0.37936391354619808</v>
      </c>
      <c r="P15" s="43">
        <f>ComputeSVIImpliedVol($L$4, $B5, $M$4, ($A15-OptionsData!$B$1)/365, P$14)</f>
        <v>0.37807661531001052</v>
      </c>
      <c r="Q15" s="43">
        <f>ComputeSVIImpliedVol($L$4, $B5, $M$4, ($A15-OptionsData!$B$1)/365, Q$14)</f>
        <v>0.37829043466652862</v>
      </c>
      <c r="R15" s="43">
        <f>ComputeSVIImpliedVol($L$4, $B5, $M$4, ($A15-OptionsData!$B$1)/365, R$14)</f>
        <v>0.37965691727444678</v>
      </c>
      <c r="S15" s="43">
        <f>ComputeSVIImpliedVol($L$4, $B5, $M$4, ($A15-OptionsData!$B$1)/365, S$14)</f>
        <v>0.38190385087516521</v>
      </c>
      <c r="T15" s="43">
        <f>ComputeSVIImpliedVol($L$4, $B5, $M$4, ($A15-OptionsData!$B$1)/365, T$14)</f>
        <v>0.38482158599751609</v>
      </c>
      <c r="U15" s="43">
        <f>ComputeSVIImpliedVol($L$4, $B5, $M$4, ($A15-OptionsData!$B$1)/365, U$14)</f>
        <v>0.38824955347261891</v>
      </c>
      <c r="V15" s="44">
        <f>ComputeSVIImpliedVol($L$4, $B5, $M$4, ($A15-OptionsData!$B$1)/365, V$14)</f>
        <v>0.39206479798958238</v>
      </c>
    </row>
    <row r="16" spans="1:22" x14ac:dyDescent="0.35">
      <c r="A16" s="37">
        <v>40347</v>
      </c>
      <c r="B16" s="45">
        <f>ComputeSVIImpliedVol($L$4, $B6, $M$4, ($A16-OptionsData!$B$1)/365, B$14)</f>
        <v>0.6468541286496805</v>
      </c>
      <c r="C16" s="46">
        <f>ComputeSVIImpliedVol($L$4, $B6, $M$4, ($A16-OptionsData!$B$1)/365, C$14)</f>
        <v>0.60094314520302972</v>
      </c>
      <c r="D16" s="46">
        <f>ComputeSVIImpliedVol($L$4, $B6, $M$4, ($A16-OptionsData!$B$1)/365, D$14)</f>
        <v>0.5580838967147288</v>
      </c>
      <c r="E16" s="46">
        <f>ComputeSVIImpliedVol($L$4, $B6, $M$4, ($A16-OptionsData!$B$1)/365, E$14)</f>
        <v>0.51838666539148304</v>
      </c>
      <c r="F16" s="46">
        <f>ComputeSVIImpliedVol($L$4, $B6, $M$4, ($A16-OptionsData!$B$1)/365, F$14)</f>
        <v>0.48203403334483652</v>
      </c>
      <c r="G16" s="46">
        <f>ComputeSVIImpliedVol($L$4, $B6, $M$4, ($A16-OptionsData!$B$1)/365, G$14)</f>
        <v>0.44927252655649913</v>
      </c>
      <c r="H16" s="46">
        <f>ComputeSVIImpliedVol($L$4, $B6, $M$4, ($A16-OptionsData!$B$1)/365, H$14)</f>
        <v>0.42038432876631615</v>
      </c>
      <c r="I16" s="46">
        <f>ComputeSVIImpliedVol($L$4, $B6, $M$4, ($A16-OptionsData!$B$1)/365, I$14)</f>
        <v>0.3956302003368482</v>
      </c>
      <c r="J16" s="46">
        <f>ComputeSVIImpliedVol($L$4, $B6, $M$4, ($A16-OptionsData!$B$1)/365, J$14)</f>
        <v>0.37516666675621507</v>
      </c>
      <c r="K16" s="46">
        <f>ComputeSVIImpliedVol($L$4, $B6, $M$4, ($A16-OptionsData!$B$1)/365, K$14)</f>
        <v>0.35896400835070608</v>
      </c>
      <c r="L16" s="46">
        <f>ComputeSVIImpliedVol($L$4, $B6, $M$4, ($A16-OptionsData!$B$1)/365, L$14)</f>
        <v>0.34676823093409004</v>
      </c>
      <c r="M16" s="46">
        <f>ComputeSVIImpliedVol($L$4, $B6, $M$4, ($A16-OptionsData!$B$1)/365, M$14)</f>
        <v>0.33813345309744364</v>
      </c>
      <c r="N16" s="46">
        <f>ComputeSVIImpliedVol($L$4, $B6, $M$4, ($A16-OptionsData!$B$1)/365, N$14)</f>
        <v>0.33250725256103891</v>
      </c>
      <c r="O16" s="46">
        <f>ComputeSVIImpliedVol($L$4, $B6, $M$4, ($A16-OptionsData!$B$1)/365, O$14)</f>
        <v>0.32932352495643258</v>
      </c>
      <c r="P16" s="46">
        <f>ComputeSVIImpliedVol($L$4, $B6, $M$4, ($A16-OptionsData!$B$1)/365, P$14)</f>
        <v>0.3280678227809285</v>
      </c>
      <c r="Q16" s="46">
        <f>ComputeSVIImpliedVol($L$4, $B6, $M$4, ($A16-OptionsData!$B$1)/365, Q$14)</f>
        <v>0.32830725519482734</v>
      </c>
      <c r="R16" s="46">
        <f>ComputeSVIImpliedVol($L$4, $B6, $M$4, ($A16-OptionsData!$B$1)/365, R$14)</f>
        <v>0.32969444289961214</v>
      </c>
      <c r="S16" s="46">
        <f>ComputeSVIImpliedVol($L$4, $B6, $M$4, ($A16-OptionsData!$B$1)/365, S$14)</f>
        <v>0.33195815248223176</v>
      </c>
      <c r="T16" s="46">
        <f>ComputeSVIImpliedVol($L$4, $B6, $M$4, ($A16-OptionsData!$B$1)/365, T$14)</f>
        <v>0.33488955396448539</v>
      </c>
      <c r="U16" s="46">
        <f>ComputeSVIImpliedVol($L$4, $B6, $M$4, ($A16-OptionsData!$B$1)/365, U$14)</f>
        <v>0.33832873495019178</v>
      </c>
      <c r="V16" s="47">
        <f>ComputeSVIImpliedVol($L$4, $B6, $M$4, ($A16-OptionsData!$B$1)/365, V$14)</f>
        <v>0.34215325490040699</v>
      </c>
    </row>
    <row r="17" spans="1:22" ht="13.15" customHeight="1" thickBot="1" x14ac:dyDescent="0.4">
      <c r="A17" s="38">
        <v>40438</v>
      </c>
      <c r="B17" s="48">
        <f>ComputeSVIImpliedVol($L$4, $B7, $M$4, ($A17-OptionsData!$B$1)/365, B$14)</f>
        <v>0.6173916003262292</v>
      </c>
      <c r="C17" s="49">
        <f>ComputeSVIImpliedVol($L$4, $B7, $M$4, ($A17-OptionsData!$B$1)/365, C$14)</f>
        <v>0.5714670846709099</v>
      </c>
      <c r="D17" s="49">
        <f>ComputeSVIImpliedVol($L$4, $B7, $M$4, ($A17-OptionsData!$B$1)/365, D$14)</f>
        <v>0.52859058692922001</v>
      </c>
      <c r="E17" s="49">
        <f>ComputeSVIImpliedVol($L$4, $B7, $M$4, ($A17-OptionsData!$B$1)/365, E$14)</f>
        <v>0.48887136490471972</v>
      </c>
      <c r="F17" s="49">
        <f>ComputeSVIImpliedVol($L$4, $B7, $M$4, ($A17-OptionsData!$B$1)/365, F$14)</f>
        <v>0.45249086587384618</v>
      </c>
      <c r="G17" s="49">
        <f>ComputeSVIImpliedVol($L$4, $B7, $M$4, ($A17-OptionsData!$B$1)/365, G$14)</f>
        <v>0.41969457317980446</v>
      </c>
      <c r="H17" s="49">
        <f>ComputeSVIImpliedVol($L$4, $B7, $M$4, ($A17-OptionsData!$B$1)/365, H$14)</f>
        <v>0.39076411312591419</v>
      </c>
      <c r="I17" s="49">
        <f>ComputeSVIImpliedVol($L$4, $B7, $M$4, ($A17-OptionsData!$B$1)/365, I$14)</f>
        <v>0.36596071423984056</v>
      </c>
      <c r="J17" s="49">
        <f>ComputeSVIImpliedVol($L$4, $B7, $M$4, ($A17-OptionsData!$B$1)/365, J$14)</f>
        <v>0.3454428185513545</v>
      </c>
      <c r="K17" s="49">
        <f>ComputeSVIImpliedVol($L$4, $B7, $M$4, ($A17-OptionsData!$B$1)/365, K$14)</f>
        <v>0.32918394622393538</v>
      </c>
      <c r="L17" s="49">
        <f>ComputeSVIImpliedVol($L$4, $B7, $M$4, ($A17-OptionsData!$B$1)/365, L$14)</f>
        <v>0.31693381509550361</v>
      </c>
      <c r="M17" s="49">
        <f>ComputeSVIImpliedVol($L$4, $B7, $M$4, ($A17-OptionsData!$B$1)/365, M$14)</f>
        <v>0.30824959782184991</v>
      </c>
      <c r="N17" s="49">
        <f>ComputeSVIImpliedVol($L$4, $B7, $M$4, ($A17-OptionsData!$B$1)/365, N$14)</f>
        <v>0.30258057724054765</v>
      </c>
      <c r="O17" s="49">
        <f>ComputeSVIImpliedVol($L$4, $B7, $M$4, ($A17-OptionsData!$B$1)/365, O$14)</f>
        <v>0.29936102282234395</v>
      </c>
      <c r="P17" s="49">
        <f>ComputeSVIImpliedVol($L$4, $B7, $M$4, ($A17-OptionsData!$B$1)/365, P$14)</f>
        <v>0.2980759726699227</v>
      </c>
      <c r="Q17" s="49">
        <f>ComputeSVIImpliedVol($L$4, $B7, $M$4, ($A17-OptionsData!$B$1)/365, Q$14)</f>
        <v>0.2982916146036767</v>
      </c>
      <c r="R17" s="49">
        <f>ComputeSVIImpliedVol($L$4, $B7, $M$4, ($A17-OptionsData!$B$1)/365, R$14)</f>
        <v>0.29965957061864001</v>
      </c>
      <c r="S17" s="49">
        <f>ComputeSVIImpliedVol($L$4, $B7, $M$4, ($A17-OptionsData!$B$1)/365, S$14)</f>
        <v>0.30190769803665674</v>
      </c>
      <c r="T17" s="49">
        <f>ComputeSVIImpliedVol($L$4, $B7, $M$4, ($A17-OptionsData!$B$1)/365, T$14)</f>
        <v>0.30482640567421132</v>
      </c>
      <c r="U17" s="49">
        <f>ComputeSVIImpliedVol($L$4, $B7, $M$4, ($A17-OptionsData!$B$1)/365, U$14)</f>
        <v>0.30825517109257683</v>
      </c>
      <c r="V17" s="50">
        <f>ComputeSVIImpliedVol($L$4, $B7, $M$4, ($A17-OptionsData!$B$1)/365, V$14)</f>
        <v>0.31207107561496195</v>
      </c>
    </row>
    <row r="21" spans="1:22" ht="13.15" customHeight="1" thickBot="1" x14ac:dyDescent="0.4"/>
    <row r="22" spans="1:22" ht="13.5" customHeight="1" thickBot="1" x14ac:dyDescent="0.45">
      <c r="B22" s="110" t="s">
        <v>76</v>
      </c>
      <c r="C22" s="108"/>
      <c r="D22" s="108"/>
      <c r="E22" s="109"/>
    </row>
    <row r="23" spans="1:22" ht="13.5" customHeight="1" thickBot="1" x14ac:dyDescent="0.45">
      <c r="A23" s="18" t="s">
        <v>3</v>
      </c>
      <c r="B23" s="39">
        <f>ROUND((0.7+COUNTA($A$23:A23)*0.03)*$L$5,0)</f>
        <v>2121</v>
      </c>
      <c r="C23" s="40">
        <f>ROUND((0.7+COUNTA($A$23:B23)*0.03)*$L$5,0)</f>
        <v>2208</v>
      </c>
      <c r="D23" s="40">
        <f>ROUND((0.7+COUNTA($A$23:C23)*0.03)*$L$5,0)</f>
        <v>2295</v>
      </c>
      <c r="E23" s="40">
        <f>ROUND((0.7+COUNTA($A$23:D23)*0.03)*$L$5,0)</f>
        <v>2382</v>
      </c>
      <c r="F23" s="40">
        <f>ROUND((0.7+COUNTA($A$23:E23)*0.03)*$L$5,0)</f>
        <v>2469</v>
      </c>
      <c r="G23" s="40">
        <f>ROUND((0.7+COUNTA($A$23:F23)*0.03)*$L$5,0)</f>
        <v>2556</v>
      </c>
      <c r="H23" s="40">
        <f>ROUND((0.7+COUNTA($A$23:G23)*0.03)*$L$5,0)</f>
        <v>2644</v>
      </c>
      <c r="I23" s="40">
        <f>ROUND((0.7+COUNTA($A$23:H23)*0.03)*$L$5,0)</f>
        <v>2731</v>
      </c>
      <c r="J23" s="40">
        <f>ROUND((0.7+COUNTA($A$23:I23)*0.03)*$L$5,0)</f>
        <v>2818</v>
      </c>
      <c r="K23" s="40">
        <f>ROUND((0.7+COUNTA($A$23:J23)*0.03)*$L$5,0)</f>
        <v>2905</v>
      </c>
      <c r="L23" s="40">
        <f>ROUND((0.7+COUNTA($A$23:K23)*0.03)*$L$5,0)</f>
        <v>2992</v>
      </c>
      <c r="M23" s="40">
        <f>ROUND((0.7+COUNTA($A$23:L23)*0.03)*$L$5,0)</f>
        <v>3079</v>
      </c>
      <c r="N23" s="40">
        <f>ROUND((0.7+COUNTA($A$23:M23)*0.03)*$L$5,0)</f>
        <v>3166</v>
      </c>
      <c r="O23" s="40">
        <f>ROUND((0.7+COUNTA($A$23:N23)*0.03)*$L$5,0)</f>
        <v>3254</v>
      </c>
      <c r="P23" s="40">
        <f>ROUND((0.7+COUNTA($A$23:O23)*0.03)*$L$5,0)</f>
        <v>3341</v>
      </c>
      <c r="Q23" s="40">
        <f>ROUND((0.7+COUNTA($A$23:P23)*0.03)*$L$5,0)</f>
        <v>3428</v>
      </c>
      <c r="R23" s="40">
        <f>ROUND((0.7+COUNTA($A$23:Q23)*0.03)*$L$5,0)</f>
        <v>3515</v>
      </c>
      <c r="S23" s="40">
        <f>ROUND((0.7+COUNTA($A$23:R23)*0.03)*$L$5,0)</f>
        <v>3602</v>
      </c>
      <c r="T23" s="40">
        <f>ROUND((0.7+COUNTA($A$23:S23)*0.03)*$L$5,0)</f>
        <v>3689</v>
      </c>
      <c r="U23" s="40">
        <f>ROUND((0.7+COUNTA($A$23:T23)*0.03)*$L$5,0)</f>
        <v>3777</v>
      </c>
      <c r="V23" s="41">
        <f>ROUND((0.7+COUNTA($A$23:U23)*0.03)*$L$5,0)</f>
        <v>3864</v>
      </c>
    </row>
    <row r="24" spans="1:22" x14ac:dyDescent="0.35">
      <c r="A24" s="36">
        <v>40256</v>
      </c>
      <c r="B24" s="42">
        <f>ComputeSVIImpliedVol($L$5, $C5, $M$5, ($A24-OptionsData!$B$1)/365, B$23)</f>
        <v>0.6991781272398675</v>
      </c>
      <c r="C24" s="43">
        <f>ComputeSVIImpliedVol($L$5, $C5, $M$5, ($A24-OptionsData!$B$1)/365, C$23)</f>
        <v>0.65329282879237871</v>
      </c>
      <c r="D24" s="43">
        <f>ComputeSVIImpliedVol($L$5, $C5, $M$5, ($A24-OptionsData!$B$1)/365, D$23)</f>
        <v>0.61043171038593336</v>
      </c>
      <c r="E24" s="43">
        <f>ComputeSVIImpliedVol($L$5, $C5, $M$5, ($A24-OptionsData!$B$1)/365, E$23)</f>
        <v>0.57069984984569611</v>
      </c>
      <c r="F24" s="43">
        <f>ComputeSVIImpliedVol($L$5, $C5, $M$5, ($A24-OptionsData!$B$1)/365, F$23)</f>
        <v>0.53427360882026176</v>
      </c>
      <c r="G24" s="43">
        <f>ComputeSVIImpliedVol($L$5, $C5, $M$5, ($A24-OptionsData!$B$1)/365, G$23)</f>
        <v>0.50139327707893011</v>
      </c>
      <c r="H24" s="43">
        <f>ComputeSVIImpliedVol($L$5, $C5, $M$5, ($A24-OptionsData!$B$1)/365, H$23)</f>
        <v>0.47202620384025112</v>
      </c>
      <c r="I24" s="43">
        <f>ComputeSVIImpliedVol($L$5, $C5, $M$5, ($A24-OptionsData!$B$1)/365, I$23)</f>
        <v>0.44710369321260829</v>
      </c>
      <c r="J24" s="43">
        <f>ComputeSVIImpliedVol($L$5, $C5, $M$5, ($A24-OptionsData!$B$1)/365, J$23)</f>
        <v>0.4264333531544322</v>
      </c>
      <c r="K24" s="43">
        <f>ComputeSVIImpliedVol($L$5, $C5, $M$5, ($A24-OptionsData!$B$1)/365, K$23)</f>
        <v>0.41000000000000003</v>
      </c>
      <c r="L24" s="43">
        <f>ComputeSVIImpliedVol($L$5, $C5, $M$5, ($A24-OptionsData!$B$1)/365, L$23)</f>
        <v>0.39756798563679596</v>
      </c>
      <c r="M24" s="43">
        <f>ComputeSVIImpliedVol($L$5, $C5, $M$5, ($A24-OptionsData!$B$1)/365, M$23)</f>
        <v>0.38870814783338209</v>
      </c>
      <c r="N24" s="43">
        <f>ComputeSVIImpliedVol($L$5, $C5, $M$5, ($A24-OptionsData!$B$1)/365, N$23)</f>
        <v>0.38287914834035391</v>
      </c>
      <c r="O24" s="43">
        <f>ComputeSVIImpliedVol($L$5, $C5, $M$5, ($A24-OptionsData!$B$1)/365, O$23)</f>
        <v>0.37949325066550765</v>
      </c>
      <c r="P24" s="43">
        <f>ComputeSVIImpliedVol($L$5, $C5, $M$5, ($A24-OptionsData!$B$1)/365, P$23)</f>
        <v>0.37810838448875234</v>
      </c>
      <c r="Q24" s="43">
        <f>ComputeSVIImpliedVol($L$5, $C5, $M$5, ($A24-OptionsData!$B$1)/365, Q$23)</f>
        <v>0.3782383680292763</v>
      </c>
      <c r="R24" s="43">
        <f>ComputeSVIImpliedVol($L$5, $C5, $M$5, ($A24-OptionsData!$B$1)/365, R$23)</f>
        <v>0.37953314249922887</v>
      </c>
      <c r="S24" s="43">
        <f>ComputeSVIImpliedVol($L$5, $C5, $M$5, ($A24-OptionsData!$B$1)/365, S$23)</f>
        <v>0.38171865851726589</v>
      </c>
      <c r="T24" s="43">
        <f>ComputeSVIImpliedVol($L$5, $C5, $M$5, ($A24-OptionsData!$B$1)/365, T$23)</f>
        <v>0.38458353078877761</v>
      </c>
      <c r="U24" s="43">
        <f>ComputeSVIImpliedVol($L$5, $C5, $M$5, ($A24-OptionsData!$B$1)/365, U$23)</f>
        <v>0.38800705243256683</v>
      </c>
      <c r="V24" s="44">
        <f>ComputeSVIImpliedVol($L$5, $C5, $M$5, ($A24-OptionsData!$B$1)/365, V$23)</f>
        <v>0.39178619863445485</v>
      </c>
    </row>
    <row r="25" spans="1:22" x14ac:dyDescent="0.35">
      <c r="A25" s="37">
        <v>40347</v>
      </c>
      <c r="B25" s="45">
        <f>ComputeSVIImpliedVol($L$5, $C6, $M$5, ($A25-OptionsData!$B$1)/365, B$23)</f>
        <v>0.64968136199349635</v>
      </c>
      <c r="C25" s="46">
        <f>ComputeSVIImpliedVol($L$5, $C6, $M$5, ($A25-OptionsData!$B$1)/365, C$23)</f>
        <v>0.60378360884951388</v>
      </c>
      <c r="D25" s="46">
        <f>ComputeSVIImpliedVol($L$5, $C6, $M$5, ($A25-OptionsData!$B$1)/365, D$23)</f>
        <v>0.56090663168336818</v>
      </c>
      <c r="E25" s="46">
        <f>ComputeSVIImpliedVol($L$5, $C6, $M$5, ($A25-OptionsData!$B$1)/365, E$23)</f>
        <v>0.52115456945450056</v>
      </c>
      <c r="F25" s="46">
        <f>ComputeSVIImpliedVol($L$5, $C6, $M$5, ($A25-OptionsData!$B$1)/365, F$23)</f>
        <v>0.48470273685574106</v>
      </c>
      <c r="G25" s="46">
        <f>ComputeSVIImpliedVol($L$5, $C6, $M$5, ($A25-OptionsData!$B$1)/365, G$23)</f>
        <v>0.45179044549235903</v>
      </c>
      <c r="H25" s="46">
        <f>ComputeSVIImpliedVol($L$5, $C6, $M$5, ($A25-OptionsData!$B$1)/365, H$23)</f>
        <v>0.42238399740380983</v>
      </c>
      <c r="I25" s="46">
        <f>ComputeSVIImpliedVol($L$5, $C6, $M$5, ($A25-OptionsData!$B$1)/365, I$23)</f>
        <v>0.39741595217249831</v>
      </c>
      <c r="J25" s="46">
        <f>ComputeSVIImpliedVol($L$5, $C6, $M$5, ($A25-OptionsData!$B$1)/365, J$23)</f>
        <v>0.37669519516657596</v>
      </c>
      <c r="K25" s="46">
        <f>ComputeSVIImpliedVol($L$5, $C6, $M$5, ($A25-OptionsData!$B$1)/365, K$23)</f>
        <v>0.36020947541332365</v>
      </c>
      <c r="L25" s="46">
        <f>ComputeSVIImpliedVol($L$5, $C6, $M$5, ($A25-OptionsData!$B$1)/365, L$23)</f>
        <v>0.34772658193908196</v>
      </c>
      <c r="M25" s="46">
        <f>ComputeSVIImpliedVol($L$5, $C6, $M$5, ($A25-OptionsData!$B$1)/365, M$23)</f>
        <v>0.33882025143471611</v>
      </c>
      <c r="N25" s="46">
        <f>ComputeSVIImpliedVol($L$5, $C6, $M$5, ($A25-OptionsData!$B$1)/365, N$23)</f>
        <v>0.33295082614007965</v>
      </c>
      <c r="O25" s="46">
        <f>ComputeSVIImpliedVol($L$5, $C6, $M$5, ($A25-OptionsData!$B$1)/365, O$23)</f>
        <v>0.32953064934971316</v>
      </c>
      <c r="P25" s="46">
        <f>ComputeSVIImpliedVol($L$5, $C6, $M$5, ($A25-OptionsData!$B$1)/365, P$23)</f>
        <v>0.32811799827176868</v>
      </c>
      <c r="Q25" s="46">
        <f>ComputeSVIImpliedVol($L$5, $C6, $M$5, ($A25-OptionsData!$B$1)/365, Q$23)</f>
        <v>0.32822542861494541</v>
      </c>
      <c r="R25" s="46">
        <f>ComputeSVIImpliedVol($L$5, $C6, $M$5, ($A25-OptionsData!$B$1)/365, R$23)</f>
        <v>0.32950195647908764</v>
      </c>
      <c r="S25" s="46">
        <f>ComputeSVIImpliedVol($L$5, $C6, $M$5, ($A25-OptionsData!$B$1)/365, S$23)</f>
        <v>0.33167268159516239</v>
      </c>
      <c r="T25" s="46">
        <f>ComputeSVIImpliedVol($L$5, $C6, $M$5, ($A25-OptionsData!$B$1)/365, T$23)</f>
        <v>0.33452550208744714</v>
      </c>
      <c r="U25" s="46">
        <f>ComputeSVIImpliedVol($L$5, $C6, $M$5, ($A25-OptionsData!$B$1)/365, U$23)</f>
        <v>0.33793903168465805</v>
      </c>
      <c r="V25" s="47">
        <f>ComputeSVIImpliedVol($L$5, $C6, $M$5, ($A25-OptionsData!$B$1)/365, V$23)</f>
        <v>0.34171001606489826</v>
      </c>
    </row>
    <row r="26" spans="1:22" ht="13.15" customHeight="1" thickBot="1" x14ac:dyDescent="0.4">
      <c r="A26" s="38">
        <v>40438</v>
      </c>
      <c r="B26" s="48">
        <f>ComputeSVIImpliedVol($L$5, $C7, $M$5, ($A26-OptionsData!$B$1)/365, B$23)</f>
        <v>0.62155289819763493</v>
      </c>
      <c r="C26" s="49">
        <f>ComputeSVIImpliedVol($L$5, $C7, $M$5, ($A26-OptionsData!$B$1)/365, C$23)</f>
        <v>0.57560918132534866</v>
      </c>
      <c r="D26" s="49">
        <f>ComputeSVIImpliedVol($L$5, $C7, $M$5, ($A26-OptionsData!$B$1)/365, D$23)</f>
        <v>0.5326736963684795</v>
      </c>
      <c r="E26" s="49">
        <f>ComputeSVIImpliedVol($L$5, $C7, $M$5, ($A26-OptionsData!$B$1)/365, E$23)</f>
        <v>0.49284711824804434</v>
      </c>
      <c r="F26" s="49">
        <f>ComputeSVIImpliedVol($L$5, $C7, $M$5, ($A26-OptionsData!$B$1)/365, F$23)</f>
        <v>0.45630088682293557</v>
      </c>
      <c r="G26" s="49">
        <f>ComputeSVIImpliedVol($L$5, $C7, $M$5, ($A26-OptionsData!$B$1)/365, G$23)</f>
        <v>0.42327066685481735</v>
      </c>
      <c r="H26" s="49">
        <f>ComputeSVIImpliedVol($L$5, $C7, $M$5, ($A26-OptionsData!$B$1)/365, H$23)</f>
        <v>0.39371881423368227</v>
      </c>
      <c r="I26" s="49">
        <f>ComputeSVIImpliedVol($L$5, $C7, $M$5, ($A26-OptionsData!$B$1)/365, I$23)</f>
        <v>0.36858239664855386</v>
      </c>
      <c r="J26" s="49">
        <f>ComputeSVIImpliedVol($L$5, $C7, $M$5, ($A26-OptionsData!$B$1)/365, J$23)</f>
        <v>0.34767487485320769</v>
      </c>
      <c r="K26" s="49">
        <f>ComputeSVIImpliedVol($L$5, $C7, $M$5, ($A26-OptionsData!$B$1)/365, K$23)</f>
        <v>0.33099474550808305</v>
      </c>
      <c r="L26" s="49">
        <f>ComputeSVIImpliedVol($L$5, $C7, $M$5, ($A26-OptionsData!$B$1)/365, L$23)</f>
        <v>0.31832253543946004</v>
      </c>
      <c r="M26" s="49">
        <f>ComputeSVIImpliedVol($L$5, $C7, $M$5, ($A26-OptionsData!$B$1)/365, M$23)</f>
        <v>0.30924284897681759</v>
      </c>
      <c r="N26" s="49">
        <f>ComputeSVIImpliedVol($L$5, $C7, $M$5, ($A26-OptionsData!$B$1)/365, N$23)</f>
        <v>0.30322243251129011</v>
      </c>
      <c r="O26" s="49">
        <f>ComputeSVIImpliedVol($L$5, $C7, $M$5, ($A26-OptionsData!$B$1)/365, O$23)</f>
        <v>0.29967406175911204</v>
      </c>
      <c r="P26" s="49">
        <f>ComputeSVIImpliedVol($L$5, $C7, $M$5, ($A26-OptionsData!$B$1)/365, P$23)</f>
        <v>0.29815741679134772</v>
      </c>
      <c r="Q26" s="49">
        <f>ComputeSVIImpliedVol($L$5, $C7, $M$5, ($A26-OptionsData!$B$1)/365, Q$23)</f>
        <v>0.29818039364376403</v>
      </c>
      <c r="R26" s="49">
        <f>ComputeSVIImpliedVol($L$5, $C7, $M$5, ($A26-OptionsData!$B$1)/365, R$23)</f>
        <v>0.2993885786495244</v>
      </c>
      <c r="S26" s="49">
        <f>ComputeSVIImpliedVol($L$5, $C7, $M$5, ($A26-OptionsData!$B$1)/365, S$23)</f>
        <v>0.30150390095604862</v>
      </c>
      <c r="T26" s="49">
        <f>ComputeSVIImpliedVol($L$5, $C7, $M$5, ($A26-OptionsData!$B$1)/365, T$23)</f>
        <v>0.30431158113173035</v>
      </c>
      <c r="U26" s="49">
        <f>ComputeSVIImpliedVol($L$5, $C7, $M$5, ($A26-OptionsData!$B$1)/365, U$23)</f>
        <v>0.30768768998056056</v>
      </c>
      <c r="V26" s="50">
        <f>ComputeSVIImpliedVol($L$5, $C7, $M$5, ($A26-OptionsData!$B$1)/365, V$23)</f>
        <v>0.31142811312811658</v>
      </c>
    </row>
    <row r="30" spans="1:22" ht="13.15" customHeight="1" thickBot="1" x14ac:dyDescent="0.4"/>
    <row r="31" spans="1:22" ht="13.5" customHeight="1" thickBot="1" x14ac:dyDescent="0.45">
      <c r="B31" s="110" t="s">
        <v>77</v>
      </c>
      <c r="C31" s="108"/>
      <c r="D31" s="108"/>
      <c r="E31" s="109"/>
    </row>
    <row r="32" spans="1:22" ht="13.5" customHeight="1" thickBot="1" x14ac:dyDescent="0.45">
      <c r="A32" s="18" t="s">
        <v>3</v>
      </c>
      <c r="B32" s="39">
        <f>ROUND((0.7+COUNTA($A$32:A32)*0.03)*$L$6,0)</f>
        <v>7316</v>
      </c>
      <c r="C32" s="40">
        <f>ROUND((0.7+COUNTA($A$32:B32)*0.03)*$L$6,0)</f>
        <v>7617</v>
      </c>
      <c r="D32" s="40">
        <f>ROUND((0.7+COUNTA($A$32:C32)*0.03)*$L$6,0)</f>
        <v>7917</v>
      </c>
      <c r="E32" s="40">
        <f>ROUND((0.7+COUNTA($A$32:D32)*0.03)*$L$6,0)</f>
        <v>8218</v>
      </c>
      <c r="F32" s="40">
        <f>ROUND((0.7+COUNTA($A$32:E32)*0.03)*$L$6,0)</f>
        <v>8519</v>
      </c>
      <c r="G32" s="40">
        <f>ROUND((0.7+COUNTA($A$32:F32)*0.03)*$L$6,0)</f>
        <v>8819</v>
      </c>
      <c r="H32" s="40">
        <f>ROUND((0.7+COUNTA($A$32:G32)*0.03)*$L$6,0)</f>
        <v>9120</v>
      </c>
      <c r="I32" s="40">
        <f>ROUND((0.7+COUNTA($A$32:H32)*0.03)*$L$6,0)</f>
        <v>9421</v>
      </c>
      <c r="J32" s="40">
        <f>ROUND((0.7+COUNTA($A$32:I32)*0.03)*$L$6,0)</f>
        <v>9721</v>
      </c>
      <c r="K32" s="40">
        <f>ROUND((0.7+COUNTA($A$32:J32)*0.03)*$L$6,0)</f>
        <v>10022</v>
      </c>
      <c r="L32" s="40">
        <f>ROUND((0.7+COUNTA($A$32:K32)*0.03)*$L$6,0)</f>
        <v>10323</v>
      </c>
      <c r="M32" s="40">
        <f>ROUND((0.7+COUNTA($A$32:L32)*0.03)*$L$6,0)</f>
        <v>10623</v>
      </c>
      <c r="N32" s="40">
        <f>ROUND((0.7+COUNTA($A$32:M32)*0.03)*$L$6,0)</f>
        <v>10924</v>
      </c>
      <c r="O32" s="40">
        <f>ROUND((0.7+COUNTA($A$32:N32)*0.03)*$L$6,0)</f>
        <v>11225</v>
      </c>
      <c r="P32" s="40">
        <f>ROUND((0.7+COUNTA($A$32:O32)*0.03)*$L$6,0)</f>
        <v>11525</v>
      </c>
      <c r="Q32" s="40">
        <f>ROUND((0.7+COUNTA($A$32:P32)*0.03)*$L$6,0)</f>
        <v>11826</v>
      </c>
      <c r="R32" s="40">
        <f>ROUND((0.7+COUNTA($A$32:Q32)*0.03)*$L$6,0)</f>
        <v>12127</v>
      </c>
      <c r="S32" s="40">
        <f>ROUND((0.7+COUNTA($A$32:R32)*0.03)*$L$6,0)</f>
        <v>12427</v>
      </c>
      <c r="T32" s="40">
        <f>ROUND((0.7+COUNTA($A$32:S32)*0.03)*$L$6,0)</f>
        <v>12728</v>
      </c>
      <c r="U32" s="40">
        <f>ROUND((0.7+COUNTA($A$32:T32)*0.03)*$L$6,0)</f>
        <v>13029</v>
      </c>
      <c r="V32" s="41">
        <f>ROUND((0.7+COUNTA($A$32:U32)*0.03)*$L$6,0)</f>
        <v>13329</v>
      </c>
    </row>
    <row r="33" spans="1:22" x14ac:dyDescent="0.35">
      <c r="A33" s="36">
        <v>40256</v>
      </c>
      <c r="B33" s="42">
        <f>ComputeSVIImpliedVol($L$6, $D5, $M$6, ($A33-OptionsData!$B$1)/365, B$32)</f>
        <v>0.69937823423277312</v>
      </c>
      <c r="C33" s="43">
        <f>ComputeSVIImpliedVol($L$6, $D5, $M$6, ($A33-OptionsData!$B$1)/365, C$32)</f>
        <v>0.65335345948392864</v>
      </c>
      <c r="D33" s="43">
        <f>ComputeSVIImpliedVol($L$6, $D5, $M$6, ($A33-OptionsData!$B$1)/365, D$32)</f>
        <v>0.61050777657168598</v>
      </c>
      <c r="E33" s="43">
        <f>ComputeSVIImpliedVol($L$6, $D5, $M$6, ($A33-OptionsData!$B$1)/365, E$32)</f>
        <v>0.57066112154929638</v>
      </c>
      <c r="F33" s="43">
        <f>ComputeSVIImpliedVol($L$6, $D5, $M$6, ($A33-OptionsData!$B$1)/365, F$32)</f>
        <v>0.53413924786865796</v>
      </c>
      <c r="G33" s="43">
        <f>ComputeSVIImpliedVol($L$6, $D5, $M$6, ($A33-OptionsData!$B$1)/365, G$32)</f>
        <v>0.50128789955019382</v>
      </c>
      <c r="H33" s="43">
        <f>ComputeSVIImpliedVol($L$6, $D5, $M$6, ($A33-OptionsData!$B$1)/365, H$32)</f>
        <v>0.47216774083559543</v>
      </c>
      <c r="I33" s="43">
        <f>ComputeSVIImpliedVol($L$6, $D5, $M$6, ($A33-OptionsData!$B$1)/365, I$32)</f>
        <v>0.44715804419709632</v>
      </c>
      <c r="J33" s="43">
        <f>ComputeSVIImpliedVol($L$6, $D5, $M$6, ($A33-OptionsData!$B$1)/365, J$32)</f>
        <v>0.42648631308121449</v>
      </c>
      <c r="K33" s="43">
        <f>ComputeSVIImpliedVol($L$6, $D5, $M$6, ($A33-OptionsData!$B$1)/365, K$32)</f>
        <v>0.41000000000000003</v>
      </c>
      <c r="L33" s="43">
        <f>ComputeSVIImpliedVol($L$6, $D5, $M$6, ($A33-OptionsData!$B$1)/365, L$32)</f>
        <v>0.39753782583952535</v>
      </c>
      <c r="M33" s="43">
        <f>ComputeSVIImpliedVol($L$6, $D5, $M$6, ($A33-OptionsData!$B$1)/365, M$32)</f>
        <v>0.38869088679327013</v>
      </c>
      <c r="N33" s="43">
        <f>ComputeSVIImpliedVol($L$6, $D5, $M$6, ($A33-OptionsData!$B$1)/365, N$32)</f>
        <v>0.38285559076403775</v>
      </c>
      <c r="O33" s="43">
        <f>ComputeSVIImpliedVol($L$6, $D5, $M$6, ($A33-OptionsData!$B$1)/365, O$32)</f>
        <v>0.37950101005471171</v>
      </c>
      <c r="P33" s="43">
        <f>ComputeSVIImpliedVol($L$6, $D5, $M$6, ($A33-OptionsData!$B$1)/365, P$32)</f>
        <v>0.37811057320454411</v>
      </c>
      <c r="Q33" s="43">
        <f>ComputeSVIImpliedVol($L$6, $D5, $M$6, ($A33-OptionsData!$B$1)/365, Q$32)</f>
        <v>0.37823759230960002</v>
      </c>
      <c r="R33" s="43">
        <f>ComputeSVIImpliedVol($L$6, $D5, $M$6, ($A33-OptionsData!$B$1)/365, R$32)</f>
        <v>0.37953642082627642</v>
      </c>
      <c r="S33" s="43">
        <f>ComputeSVIImpliedVol($L$6, $D5, $M$6, ($A33-OptionsData!$B$1)/365, S$32)</f>
        <v>0.38172215039992052</v>
      </c>
      <c r="T33" s="43">
        <f>ComputeSVIImpliedVol($L$6, $D5, $M$6, ($A33-OptionsData!$B$1)/365, T$32)</f>
        <v>0.38459682493343944</v>
      </c>
      <c r="U33" s="43">
        <f>ComputeSVIImpliedVol($L$6, $D5, $M$6, ($A33-OptionsData!$B$1)/365, U$32)</f>
        <v>0.38799115893175551</v>
      </c>
      <c r="V33" s="44">
        <f>ComputeSVIImpliedVol($L$6, $D5, $M$6, ($A33-OptionsData!$B$1)/365, V$32)</f>
        <v>0.39176693202803226</v>
      </c>
    </row>
    <row r="34" spans="1:22" x14ac:dyDescent="0.35">
      <c r="A34" s="37">
        <v>40347</v>
      </c>
      <c r="B34" s="45">
        <f>ComputeSVIImpliedVol($L$6, $D6, $M$6, ($A34-OptionsData!$B$1)/365, B$32)</f>
        <v>0.64937823423277319</v>
      </c>
      <c r="C34" s="46">
        <f>ComputeSVIImpliedVol($L$6, $D6, $M$6, ($A34-OptionsData!$B$1)/365, C$32)</f>
        <v>0.60335345948392871</v>
      </c>
      <c r="D34" s="46">
        <f>ComputeSVIImpliedVol($L$6, $D6, $M$6, ($A34-OptionsData!$B$1)/365, D$32)</f>
        <v>0.56050777657168604</v>
      </c>
      <c r="E34" s="46">
        <f>ComputeSVIImpliedVol($L$6, $D6, $M$6, ($A34-OptionsData!$B$1)/365, E$32)</f>
        <v>0.52066112154929634</v>
      </c>
      <c r="F34" s="46">
        <f>ComputeSVIImpliedVol($L$6, $D6, $M$6, ($A34-OptionsData!$B$1)/365, F$32)</f>
        <v>0.48413924786865792</v>
      </c>
      <c r="G34" s="46">
        <f>ComputeSVIImpliedVol($L$6, $D6, $M$6, ($A34-OptionsData!$B$1)/365, G$32)</f>
        <v>0.45128789955019383</v>
      </c>
      <c r="H34" s="46">
        <f>ComputeSVIImpliedVol($L$6, $D6, $M$6, ($A34-OptionsData!$B$1)/365, H$32)</f>
        <v>0.42216774083559544</v>
      </c>
      <c r="I34" s="46">
        <f>ComputeSVIImpliedVol($L$6, $D6, $M$6, ($A34-OptionsData!$B$1)/365, I$32)</f>
        <v>0.39715804419709633</v>
      </c>
      <c r="J34" s="46">
        <f>ComputeSVIImpliedVol($L$6, $D6, $M$6, ($A34-OptionsData!$B$1)/365, J$32)</f>
        <v>0.3764863130812145</v>
      </c>
      <c r="K34" s="46">
        <f>ComputeSVIImpliedVol($L$6, $D6, $M$6, ($A34-OptionsData!$B$1)/365, K$32)</f>
        <v>0.36000000000000004</v>
      </c>
      <c r="L34" s="46">
        <f>ComputeSVIImpliedVol($L$6, $D6, $M$6, ($A34-OptionsData!$B$1)/365, L$32)</f>
        <v>0.34753782583952536</v>
      </c>
      <c r="M34" s="46">
        <f>ComputeSVIImpliedVol($L$6, $D6, $M$6, ($A34-OptionsData!$B$1)/365, M$32)</f>
        <v>0.33869088679327014</v>
      </c>
      <c r="N34" s="46">
        <f>ComputeSVIImpliedVol($L$6, $D6, $M$6, ($A34-OptionsData!$B$1)/365, N$32)</f>
        <v>0.33285559076403776</v>
      </c>
      <c r="O34" s="46">
        <f>ComputeSVIImpliedVol($L$6, $D6, $M$6, ($A34-OptionsData!$B$1)/365, O$32)</f>
        <v>0.32950101005471172</v>
      </c>
      <c r="P34" s="46">
        <f>ComputeSVIImpliedVol($L$6, $D6, $M$6, ($A34-OptionsData!$B$1)/365, P$32)</f>
        <v>0.32811057320454412</v>
      </c>
      <c r="Q34" s="46">
        <f>ComputeSVIImpliedVol($L$6, $D6, $M$6, ($A34-OptionsData!$B$1)/365, Q$32)</f>
        <v>0.32823759230960003</v>
      </c>
      <c r="R34" s="46">
        <f>ComputeSVIImpliedVol($L$6, $D6, $M$6, ($A34-OptionsData!$B$1)/365, R$32)</f>
        <v>0.32953642082627643</v>
      </c>
      <c r="S34" s="46">
        <f>ComputeSVIImpliedVol($L$6, $D6, $M$6, ($A34-OptionsData!$B$1)/365, S$32)</f>
        <v>0.33172215039992053</v>
      </c>
      <c r="T34" s="46">
        <f>ComputeSVIImpliedVol($L$6, $D6, $M$6, ($A34-OptionsData!$B$1)/365, T$32)</f>
        <v>0.33459682493343945</v>
      </c>
      <c r="U34" s="46">
        <f>ComputeSVIImpliedVol($L$6, $D6, $M$6, ($A34-OptionsData!$B$1)/365, U$32)</f>
        <v>0.33799115893175552</v>
      </c>
      <c r="V34" s="47">
        <f>ComputeSVIImpliedVol($L$6, $D6, $M$6, ($A34-OptionsData!$B$1)/365, V$32)</f>
        <v>0.34176693202803227</v>
      </c>
    </row>
    <row r="35" spans="1:22" ht="13.15" customHeight="1" thickBot="1" x14ac:dyDescent="0.4">
      <c r="A35" s="38">
        <v>40438</v>
      </c>
      <c r="B35" s="48">
        <f>ComputeSVIImpliedVol($L$6, $D7, $M$6, ($A35-OptionsData!$B$1)/365, B$32)</f>
        <v>0.62135721251367515</v>
      </c>
      <c r="C35" s="49">
        <f>ComputeSVIImpliedVol($L$6, $D7, $M$6, ($A35-OptionsData!$B$1)/365, C$32)</f>
        <v>0.5752835905302579</v>
      </c>
      <c r="D35" s="49">
        <f>ComputeSVIImpliedVol($L$6, $D7, $M$6, ($A35-OptionsData!$B$1)/365, D$32)</f>
        <v>0.53237591211411928</v>
      </c>
      <c r="E35" s="49">
        <f>ComputeSVIImpliedVol($L$6, $D7, $M$6, ($A35-OptionsData!$B$1)/365, E$32)</f>
        <v>0.49245000611593676</v>
      </c>
      <c r="F35" s="49">
        <f>ComputeSVIImpliedVol($L$6, $D7, $M$6, ($A35-OptionsData!$B$1)/365, F$32)</f>
        <v>0.45582766936059937</v>
      </c>
      <c r="G35" s="49">
        <f>ComputeSVIImpliedVol($L$6, $D7, $M$6, ($A35-OptionsData!$B$1)/365, G$32)</f>
        <v>0.42285122533835773</v>
      </c>
      <c r="H35" s="49">
        <f>ComputeSVIImpliedVol($L$6, $D7, $M$6, ($A35-OptionsData!$B$1)/365, H$32)</f>
        <v>0.39357825698103488</v>
      </c>
      <c r="I35" s="49">
        <f>ComputeSVIImpliedVol($L$6, $D7, $M$6, ($A35-OptionsData!$B$1)/365, I$32)</f>
        <v>0.36838973116826368</v>
      </c>
      <c r="J35" s="49">
        <f>ComputeSVIImpliedVol($L$6, $D7, $M$6, ($A35-OptionsData!$B$1)/365, J$32)</f>
        <v>0.34752036702571659</v>
      </c>
      <c r="K35" s="49">
        <f>ComputeSVIImpliedVol($L$6, $D7, $M$6, ($A35-OptionsData!$B$1)/365, K$32)</f>
        <v>0.3308277818403737</v>
      </c>
      <c r="L35" s="49">
        <f>ComputeSVIImpliedVol($L$6, $D7, $M$6, ($A35-OptionsData!$B$1)/365, L$32)</f>
        <v>0.31816492693617782</v>
      </c>
      <c r="M35" s="49">
        <f>ComputeSVIImpliedVol($L$6, $D7, $M$6, ($A35-OptionsData!$B$1)/365, M$32)</f>
        <v>0.30913501807921256</v>
      </c>
      <c r="N35" s="49">
        <f>ComputeSVIImpliedVol($L$6, $D7, $M$6, ($A35-OptionsData!$B$1)/365, N$32)</f>
        <v>0.30313997799891801</v>
      </c>
      <c r="O35" s="49">
        <f>ComputeSVIImpliedVol($L$6, $D7, $M$6, ($A35-OptionsData!$B$1)/365, O$32)</f>
        <v>0.29965131984775129</v>
      </c>
      <c r="P35" s="49">
        <f>ComputeSVIImpliedVol($L$6, $D7, $M$6, ($A35-OptionsData!$B$1)/365, P$32)</f>
        <v>0.29815116484398191</v>
      </c>
      <c r="Q35" s="49">
        <f>ComputeSVIImpliedVol($L$6, $D7, $M$6, ($A35-OptionsData!$B$1)/365, Q$32)</f>
        <v>0.29818882045540285</v>
      </c>
      <c r="R35" s="49">
        <f>ComputeSVIImpliedVol($L$6, $D7, $M$6, ($A35-OptionsData!$B$1)/365, R$32)</f>
        <v>0.29941538271061824</v>
      </c>
      <c r="S35" s="49">
        <f>ComputeSVIImpliedVol($L$6, $D7, $M$6, ($A35-OptionsData!$B$1)/365, S$32)</f>
        <v>0.30154274002838399</v>
      </c>
      <c r="T35" s="49">
        <f>ComputeSVIImpliedVol($L$6, $D7, $M$6, ($A35-OptionsData!$B$1)/365, T$32)</f>
        <v>0.30436970568316712</v>
      </c>
      <c r="U35" s="49">
        <f>ComputeSVIImpliedVol($L$6, $D7, $M$6, ($A35-OptionsData!$B$1)/365, U$32)</f>
        <v>0.30772491616088266</v>
      </c>
      <c r="V35" s="50">
        <f>ComputeSVIImpliedVol($L$6, $D7, $M$6, ($A35-OptionsData!$B$1)/365, V$32)</f>
        <v>0.31146844715810912</v>
      </c>
    </row>
  </sheetData>
  <mergeCells count="5">
    <mergeCell ref="B31:E31"/>
    <mergeCell ref="B3:D3"/>
    <mergeCell ref="B13:E13"/>
    <mergeCell ref="G3:H3"/>
    <mergeCell ref="B22:E2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PivotTablesVolShift</vt:lpstr>
      <vt:lpstr>PivotTablesUnderlyingShift</vt:lpstr>
      <vt:lpstr>OptionsData</vt:lpstr>
      <vt:lpstr>PriceData</vt:lpstr>
      <vt:lpstr>NKY_StrikeList</vt:lpstr>
      <vt:lpstr>NKY_VolTable</vt:lpstr>
      <vt:lpstr>SPX_StrikeList</vt:lpstr>
      <vt:lpstr>SPX_VolTable</vt:lpstr>
      <vt:lpstr>SX5E_StrikeList</vt:lpstr>
      <vt:lpstr>SX5E_VolTable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mhaugh</dc:creator>
  <cp:lastModifiedBy>Yoshihiro Shirai</cp:lastModifiedBy>
  <dcterms:created xsi:type="dcterms:W3CDTF">2008-03-20T09:52:21Z</dcterms:created>
  <dcterms:modified xsi:type="dcterms:W3CDTF">2024-11-06T17:48:49Z</dcterms:modified>
</cp:coreProperties>
</file>