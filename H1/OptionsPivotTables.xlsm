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74" documentId="11_1A5BE14D775746CF56D3112A39631C59AC636F09" xr6:coauthVersionLast="47" xr6:coauthVersionMax="47" xr10:uidLastSave="{C32EAA54-F3A9-4EE4-9CA4-CAE22AD02F36}"/>
  <bookViews>
    <workbookView xWindow="-98" yWindow="-98" windowWidth="21795" windowHeight="12975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5" r:id="rId3"/>
    <sheet name="OptionsData" sheetId="3" r:id="rId4"/>
    <sheet name="PriceData" sheetId="4" r:id="rId5"/>
  </sheets>
  <functionGroups builtInGroupCount="19"/>
  <definedNames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4" l="1"/>
  <c r="B23" i="4"/>
  <c r="B14" i="4"/>
  <c r="H5" i="4"/>
  <c r="K87" i="3"/>
  <c r="C87" i="3"/>
  <c r="B87" i="3"/>
  <c r="K86" i="3"/>
  <c r="C86" i="3"/>
  <c r="B86" i="3"/>
  <c r="K85" i="3"/>
  <c r="C85" i="3"/>
  <c r="B85" i="3"/>
  <c r="K84" i="3"/>
  <c r="C84" i="3"/>
  <c r="B84" i="3"/>
  <c r="K83" i="3"/>
  <c r="C83" i="3"/>
  <c r="B83" i="3"/>
  <c r="K82" i="3"/>
  <c r="C82" i="3"/>
  <c r="B82" i="3"/>
  <c r="K81" i="3"/>
  <c r="C81" i="3"/>
  <c r="B81" i="3"/>
  <c r="K80" i="3"/>
  <c r="C80" i="3"/>
  <c r="B80" i="3"/>
  <c r="K79" i="3"/>
  <c r="C79" i="3"/>
  <c r="B79" i="3"/>
  <c r="K78" i="3"/>
  <c r="C78" i="3"/>
  <c r="B78" i="3"/>
  <c r="K77" i="3"/>
  <c r="C77" i="3"/>
  <c r="B77" i="3"/>
  <c r="K76" i="3"/>
  <c r="C76" i="3"/>
  <c r="B76" i="3"/>
  <c r="K75" i="3"/>
  <c r="C75" i="3"/>
  <c r="B75" i="3"/>
  <c r="K74" i="3"/>
  <c r="C74" i="3"/>
  <c r="B74" i="3"/>
  <c r="K73" i="3"/>
  <c r="C73" i="3"/>
  <c r="B73" i="3"/>
  <c r="K72" i="3"/>
  <c r="C72" i="3"/>
  <c r="B72" i="3"/>
  <c r="K71" i="3"/>
  <c r="C71" i="3"/>
  <c r="B71" i="3"/>
  <c r="K70" i="3"/>
  <c r="C70" i="3"/>
  <c r="B70" i="3"/>
  <c r="K69" i="3"/>
  <c r="C69" i="3"/>
  <c r="B69" i="3"/>
  <c r="K68" i="3"/>
  <c r="C68" i="3"/>
  <c r="B68" i="3"/>
  <c r="K67" i="3"/>
  <c r="C67" i="3"/>
  <c r="B67" i="3"/>
  <c r="K66" i="3"/>
  <c r="C66" i="3"/>
  <c r="B66" i="3"/>
  <c r="K65" i="3"/>
  <c r="C65" i="3"/>
  <c r="B65" i="3"/>
  <c r="K64" i="3"/>
  <c r="C64" i="3"/>
  <c r="B64" i="3"/>
  <c r="K63" i="3"/>
  <c r="C63" i="3"/>
  <c r="B63" i="3"/>
  <c r="C62" i="3"/>
  <c r="B62" i="3"/>
  <c r="K61" i="3"/>
  <c r="C61" i="3"/>
  <c r="B61" i="3"/>
  <c r="K60" i="3"/>
  <c r="C60" i="3"/>
  <c r="B60" i="3"/>
  <c r="K59" i="3"/>
  <c r="C59" i="3"/>
  <c r="B59" i="3"/>
  <c r="K58" i="3"/>
  <c r="C58" i="3"/>
  <c r="B58" i="3"/>
  <c r="K57" i="3"/>
  <c r="C57" i="3"/>
  <c r="B57" i="3"/>
  <c r="K56" i="3"/>
  <c r="C56" i="3"/>
  <c r="B56" i="3"/>
  <c r="K55" i="3"/>
  <c r="C55" i="3"/>
  <c r="B55" i="3"/>
  <c r="K54" i="3"/>
  <c r="C54" i="3"/>
  <c r="B54" i="3"/>
  <c r="K53" i="3"/>
  <c r="C53" i="3"/>
  <c r="B53" i="3"/>
  <c r="K52" i="3"/>
  <c r="C52" i="3"/>
  <c r="B52" i="3"/>
  <c r="K51" i="3"/>
  <c r="C51" i="3"/>
  <c r="B51" i="3"/>
  <c r="K50" i="3"/>
  <c r="C50" i="3"/>
  <c r="B50" i="3"/>
  <c r="K49" i="3"/>
  <c r="C49" i="3"/>
  <c r="B49" i="3"/>
  <c r="K48" i="3"/>
  <c r="C48" i="3"/>
  <c r="B48" i="3"/>
  <c r="K47" i="3"/>
  <c r="C47" i="3"/>
  <c r="B47" i="3"/>
  <c r="K46" i="3"/>
  <c r="C46" i="3"/>
  <c r="B46" i="3"/>
  <c r="K45" i="3"/>
  <c r="C45" i="3"/>
  <c r="B45" i="3"/>
  <c r="K44" i="3"/>
  <c r="C44" i="3"/>
  <c r="B44" i="3"/>
  <c r="K43" i="3"/>
  <c r="C43" i="3"/>
  <c r="B43" i="3"/>
  <c r="K42" i="3"/>
  <c r="C42" i="3"/>
  <c r="B42" i="3"/>
  <c r="K41" i="3"/>
  <c r="C41" i="3"/>
  <c r="B41" i="3"/>
  <c r="K40" i="3"/>
  <c r="C40" i="3"/>
  <c r="B40" i="3"/>
  <c r="K39" i="3"/>
  <c r="C39" i="3"/>
  <c r="B39" i="3"/>
  <c r="K38" i="3"/>
  <c r="C38" i="3"/>
  <c r="B38" i="3"/>
  <c r="K37" i="3"/>
  <c r="C37" i="3"/>
  <c r="B37" i="3"/>
  <c r="K36" i="3"/>
  <c r="C36" i="3"/>
  <c r="B36" i="3"/>
  <c r="K35" i="3"/>
  <c r="C35" i="3"/>
  <c r="B35" i="3"/>
  <c r="C34" i="3"/>
  <c r="B34" i="3"/>
  <c r="K33" i="3"/>
  <c r="C33" i="3"/>
  <c r="B33" i="3"/>
  <c r="K32" i="3"/>
  <c r="C32" i="3"/>
  <c r="B32" i="3"/>
  <c r="K31" i="3"/>
  <c r="C31" i="3"/>
  <c r="B31" i="3"/>
  <c r="K30" i="3"/>
  <c r="C30" i="3"/>
  <c r="B30" i="3"/>
  <c r="K29" i="3"/>
  <c r="C29" i="3"/>
  <c r="B29" i="3"/>
  <c r="K28" i="3"/>
  <c r="C28" i="3"/>
  <c r="B28" i="3"/>
  <c r="K27" i="3"/>
  <c r="C27" i="3"/>
  <c r="B27" i="3"/>
  <c r="K26" i="3"/>
  <c r="C26" i="3"/>
  <c r="B26" i="3"/>
  <c r="K25" i="3"/>
  <c r="C25" i="3"/>
  <c r="B25" i="3"/>
  <c r="K24" i="3"/>
  <c r="C24" i="3"/>
  <c r="B24" i="3"/>
  <c r="K23" i="3"/>
  <c r="C23" i="3"/>
  <c r="B23" i="3"/>
  <c r="K22" i="3"/>
  <c r="C22" i="3"/>
  <c r="B22" i="3"/>
  <c r="K21" i="3"/>
  <c r="C21" i="3"/>
  <c r="B21" i="3"/>
  <c r="K20" i="3"/>
  <c r="C20" i="3"/>
  <c r="B20" i="3"/>
  <c r="K19" i="3"/>
  <c r="C19" i="3"/>
  <c r="B19" i="3"/>
  <c r="K18" i="3"/>
  <c r="C18" i="3"/>
  <c r="B18" i="3"/>
  <c r="K17" i="3"/>
  <c r="C17" i="3"/>
  <c r="B17" i="3"/>
  <c r="K16" i="3"/>
  <c r="C16" i="3"/>
  <c r="B16" i="3"/>
  <c r="K15" i="3"/>
  <c r="C15" i="3"/>
  <c r="B15" i="3"/>
  <c r="K14" i="3"/>
  <c r="C14" i="3"/>
  <c r="B14" i="3"/>
  <c r="K13" i="3"/>
  <c r="C13" i="3"/>
  <c r="B13" i="3"/>
  <c r="K12" i="3"/>
  <c r="C12" i="3"/>
  <c r="B12" i="3"/>
  <c r="K11" i="3"/>
  <c r="C11" i="3"/>
  <c r="B11" i="3"/>
  <c r="K10" i="3"/>
  <c r="C10" i="3"/>
  <c r="B10" i="3"/>
  <c r="K9" i="3"/>
  <c r="C9" i="3"/>
  <c r="B9" i="3"/>
  <c r="K8" i="3"/>
  <c r="C8" i="3"/>
  <c r="B8" i="3"/>
  <c r="K7" i="3"/>
  <c r="C7" i="3"/>
  <c r="B7" i="3"/>
  <c r="K6" i="3"/>
  <c r="C6" i="3"/>
  <c r="B6" i="3"/>
  <c r="C5" i="3"/>
  <c r="B5" i="3"/>
  <c r="V35" i="4"/>
  <c r="F35" i="4"/>
  <c r="K34" i="4"/>
  <c r="P33" i="4"/>
  <c r="V26" i="4"/>
  <c r="F26" i="4"/>
  <c r="K25" i="4"/>
  <c r="P24" i="4"/>
  <c r="V17" i="4"/>
  <c r="F17" i="4"/>
  <c r="K16" i="4"/>
  <c r="P15" i="4"/>
  <c r="CH62" i="3"/>
  <c r="BI62" i="3"/>
  <c r="AM62" i="3"/>
  <c r="P62" i="3"/>
  <c r="U35" i="4"/>
  <c r="E35" i="4"/>
  <c r="J34" i="4"/>
  <c r="O33" i="4"/>
  <c r="U26" i="4"/>
  <c r="E26" i="4"/>
  <c r="J25" i="4"/>
  <c r="O24" i="4"/>
  <c r="U17" i="4"/>
  <c r="E17" i="4"/>
  <c r="J16" i="4"/>
  <c r="O15" i="4"/>
  <c r="CG62" i="3"/>
  <c r="BH62" i="3"/>
  <c r="AL62" i="3"/>
  <c r="L62" i="3"/>
  <c r="T35" i="4"/>
  <c r="D35" i="4"/>
  <c r="I34" i="4"/>
  <c r="N33" i="4"/>
  <c r="T26" i="4"/>
  <c r="D26" i="4"/>
  <c r="I25" i="4"/>
  <c r="J58" i="3" s="1"/>
  <c r="N24" i="4"/>
  <c r="T17" i="4"/>
  <c r="D17" i="4"/>
  <c r="I16" i="4"/>
  <c r="N15" i="4"/>
  <c r="S35" i="4"/>
  <c r="R35" i="4"/>
  <c r="B35" i="4"/>
  <c r="G34" i="4"/>
  <c r="L33" i="4"/>
  <c r="R26" i="4"/>
  <c r="B26" i="4"/>
  <c r="G25" i="4"/>
  <c r="L24" i="4"/>
  <c r="R17" i="4"/>
  <c r="B17" i="4"/>
  <c r="G16" i="4"/>
  <c r="L15" i="4"/>
  <c r="CA62" i="3"/>
  <c r="BB62" i="3"/>
  <c r="AI62" i="3"/>
  <c r="AD58" i="3"/>
  <c r="Q35" i="4"/>
  <c r="V34" i="4"/>
  <c r="F34" i="4"/>
  <c r="K33" i="4"/>
  <c r="Q26" i="4"/>
  <c r="V25" i="4"/>
  <c r="F25" i="4"/>
  <c r="K24" i="4"/>
  <c r="Q17" i="4"/>
  <c r="V16" i="4"/>
  <c r="F16" i="4"/>
  <c r="K15" i="4"/>
  <c r="J65" i="3"/>
  <c r="BZ62" i="3"/>
  <c r="BA62" i="3"/>
  <c r="AH62" i="3"/>
  <c r="AC58" i="3"/>
  <c r="P35" i="4"/>
  <c r="U34" i="4"/>
  <c r="E34" i="4"/>
  <c r="J33" i="4"/>
  <c r="P26" i="4"/>
  <c r="U25" i="4"/>
  <c r="E25" i="4"/>
  <c r="J24" i="4"/>
  <c r="P17" i="4"/>
  <c r="U16" i="4"/>
  <c r="E16" i="4"/>
  <c r="J15" i="4"/>
  <c r="J81" i="3"/>
  <c r="J79" i="3"/>
  <c r="BY62" i="3"/>
  <c r="AZ62" i="3"/>
  <c r="AG62" i="3"/>
  <c r="AB58" i="3"/>
  <c r="O35" i="4"/>
  <c r="T34" i="4"/>
  <c r="D34" i="4"/>
  <c r="I33" i="4"/>
  <c r="O26" i="4"/>
  <c r="T25" i="4"/>
  <c r="D25" i="4"/>
  <c r="I24" i="4"/>
  <c r="O17" i="4"/>
  <c r="T16" i="4"/>
  <c r="D16" i="4"/>
  <c r="I15" i="4"/>
  <c r="AH81" i="3"/>
  <c r="AC79" i="3"/>
  <c r="J66" i="3"/>
  <c r="BX62" i="3"/>
  <c r="AY62" i="3"/>
  <c r="AF62" i="3"/>
  <c r="N35" i="4"/>
  <c r="M35" i="4"/>
  <c r="L35" i="4"/>
  <c r="K35" i="4"/>
  <c r="J35" i="4"/>
  <c r="J83" i="3" s="1"/>
  <c r="I35" i="4"/>
  <c r="H35" i="4"/>
  <c r="M34" i="4"/>
  <c r="R33" i="4"/>
  <c r="B33" i="4"/>
  <c r="H26" i="4"/>
  <c r="M25" i="4"/>
  <c r="R24" i="4"/>
  <c r="B24" i="4"/>
  <c r="H17" i="4"/>
  <c r="M16" i="4"/>
  <c r="R15" i="4"/>
  <c r="B15" i="4"/>
  <c r="U81" i="3"/>
  <c r="T79" i="3"/>
  <c r="U66" i="3"/>
  <c r="T65" i="3"/>
  <c r="CM62" i="3"/>
  <c r="BN62" i="3"/>
  <c r="AO62" i="3"/>
  <c r="R62" i="3"/>
  <c r="P58" i="3"/>
  <c r="G35" i="4"/>
  <c r="L34" i="4"/>
  <c r="J78" i="3" s="1"/>
  <c r="Q33" i="4"/>
  <c r="G26" i="4"/>
  <c r="J61" i="3" s="1"/>
  <c r="L25" i="4"/>
  <c r="Q24" i="4"/>
  <c r="G17" i="4"/>
  <c r="L16" i="4"/>
  <c r="Q15" i="4"/>
  <c r="L83" i="3"/>
  <c r="T81" i="3"/>
  <c r="S79" i="3"/>
  <c r="R78" i="3"/>
  <c r="T66" i="3"/>
  <c r="S65" i="3"/>
  <c r="CL62" i="3"/>
  <c r="BJ62" i="3"/>
  <c r="AN62" i="3"/>
  <c r="Q62" i="3"/>
  <c r="S61" i="3"/>
  <c r="L58" i="3"/>
  <c r="C35" i="4"/>
  <c r="J84" i="3" s="1"/>
  <c r="G33" i="4"/>
  <c r="Q25" i="4"/>
  <c r="J55" i="3" s="1"/>
  <c r="D24" i="4"/>
  <c r="N16" i="4"/>
  <c r="U83" i="3"/>
  <c r="U79" i="3"/>
  <c r="T78" i="3"/>
  <c r="CB62" i="3"/>
  <c r="AJ62" i="3"/>
  <c r="T58" i="3"/>
  <c r="S34" i="4"/>
  <c r="F33" i="4"/>
  <c r="J68" i="3" s="1"/>
  <c r="P25" i="4"/>
  <c r="C24" i="4"/>
  <c r="H16" i="4"/>
  <c r="T83" i="3"/>
  <c r="U65" i="3"/>
  <c r="BW62" i="3"/>
  <c r="AE62" i="3"/>
  <c r="S58" i="3"/>
  <c r="S55" i="3"/>
  <c r="J52" i="3"/>
  <c r="R34" i="4"/>
  <c r="E33" i="4"/>
  <c r="O25" i="4"/>
  <c r="C16" i="4"/>
  <c r="J85" i="3"/>
  <c r="S83" i="3"/>
  <c r="P65" i="3"/>
  <c r="BV62" i="3"/>
  <c r="R58" i="3"/>
  <c r="R55" i="3"/>
  <c r="Q34" i="4"/>
  <c r="D33" i="4"/>
  <c r="N25" i="4"/>
  <c r="S17" i="4"/>
  <c r="B16" i="4"/>
  <c r="R83" i="3"/>
  <c r="AG81" i="3"/>
  <c r="L65" i="3"/>
  <c r="BR62" i="3"/>
  <c r="Q58" i="3"/>
  <c r="Q55" i="3"/>
  <c r="J36" i="3"/>
  <c r="P34" i="4"/>
  <c r="J82" i="3" s="1"/>
  <c r="C33" i="4"/>
  <c r="H25" i="4"/>
  <c r="N17" i="4"/>
  <c r="V15" i="4"/>
  <c r="AB85" i="3"/>
  <c r="Q83" i="3"/>
  <c r="AF81" i="3"/>
  <c r="BQ62" i="3"/>
  <c r="U62" i="3"/>
  <c r="P55" i="3"/>
  <c r="AI52" i="3"/>
  <c r="J35" i="3"/>
  <c r="O34" i="4"/>
  <c r="C25" i="4"/>
  <c r="M17" i="4"/>
  <c r="U15" i="4"/>
  <c r="J87" i="3"/>
  <c r="AI84" i="3"/>
  <c r="P83" i="3"/>
  <c r="AG68" i="3"/>
  <c r="BP62" i="3"/>
  <c r="T62" i="3"/>
  <c r="L55" i="3"/>
  <c r="J53" i="3"/>
  <c r="AF52" i="3"/>
  <c r="N34" i="4"/>
  <c r="S26" i="4"/>
  <c r="B25" i="4"/>
  <c r="L17" i="4"/>
  <c r="T15" i="4"/>
  <c r="AB84" i="3"/>
  <c r="J73" i="3"/>
  <c r="BO62" i="3"/>
  <c r="S62" i="3"/>
  <c r="J56" i="3"/>
  <c r="AE52" i="3"/>
  <c r="AB35" i="3"/>
  <c r="J30" i="3"/>
  <c r="H34" i="4"/>
  <c r="N26" i="4"/>
  <c r="V24" i="4"/>
  <c r="K17" i="4"/>
  <c r="S15" i="4"/>
  <c r="AI87" i="3"/>
  <c r="R84" i="3"/>
  <c r="R68" i="3"/>
  <c r="BG62" i="3"/>
  <c r="AI61" i="3"/>
  <c r="AD52" i="3"/>
  <c r="J50" i="3"/>
  <c r="J31" i="3"/>
  <c r="C34" i="4"/>
  <c r="M26" i="4"/>
  <c r="U24" i="4"/>
  <c r="J17" i="4"/>
  <c r="M15" i="4"/>
  <c r="Q84" i="3"/>
  <c r="AC83" i="3"/>
  <c r="AI82" i="3"/>
  <c r="M33" i="4"/>
  <c r="S25" i="4"/>
  <c r="F24" i="4"/>
  <c r="J47" i="3" s="1"/>
  <c r="P16" i="4"/>
  <c r="C15" i="4"/>
  <c r="L82" i="3"/>
  <c r="AE73" i="3"/>
  <c r="J67" i="3"/>
  <c r="AD65" i="3"/>
  <c r="CN62" i="3"/>
  <c r="AP62" i="3"/>
  <c r="U61" i="3"/>
  <c r="J59" i="3"/>
  <c r="AG55" i="3"/>
  <c r="AE53" i="3"/>
  <c r="Q52" i="3"/>
  <c r="U50" i="3"/>
  <c r="H33" i="4"/>
  <c r="R25" i="4"/>
  <c r="E24" i="4"/>
  <c r="O16" i="4"/>
  <c r="S85" i="3"/>
  <c r="AH83" i="3"/>
  <c r="U78" i="3"/>
  <c r="AD73" i="3"/>
  <c r="CC62" i="3"/>
  <c r="AK62" i="3"/>
  <c r="P61" i="3"/>
  <c r="U58" i="3"/>
  <c r="AC53" i="3"/>
  <c r="P52" i="3"/>
  <c r="B34" i="4"/>
  <c r="AH73" i="3"/>
  <c r="BF62" i="3"/>
  <c r="J57" i="3"/>
  <c r="J54" i="3"/>
  <c r="U47" i="3"/>
  <c r="T36" i="3"/>
  <c r="R35" i="3"/>
  <c r="AB31" i="3"/>
  <c r="V33" i="4"/>
  <c r="I17" i="4"/>
  <c r="AG73" i="3"/>
  <c r="L68" i="3"/>
  <c r="AX62" i="3"/>
  <c r="AI55" i="3"/>
  <c r="AC52" i="3"/>
  <c r="T50" i="3"/>
  <c r="J49" i="3"/>
  <c r="T47" i="3"/>
  <c r="S36" i="3"/>
  <c r="Q35" i="3"/>
  <c r="J33" i="3"/>
  <c r="J11" i="3"/>
  <c r="U33" i="4"/>
  <c r="C17" i="4"/>
  <c r="AF73" i="3"/>
  <c r="AW62" i="3"/>
  <c r="AH55" i="3"/>
  <c r="AB52" i="3"/>
  <c r="S50" i="3"/>
  <c r="S47" i="3"/>
  <c r="R36" i="3"/>
  <c r="J34" i="3"/>
  <c r="J27" i="3"/>
  <c r="AG11" i="3"/>
  <c r="T33" i="4"/>
  <c r="S16" i="4"/>
  <c r="J86" i="3"/>
  <c r="AV62" i="3"/>
  <c r="S33" i="4"/>
  <c r="R16" i="4"/>
  <c r="P81" i="3"/>
  <c r="AU62" i="3"/>
  <c r="AF58" i="3"/>
  <c r="U52" i="3"/>
  <c r="Q47" i="3"/>
  <c r="P36" i="3"/>
  <c r="J32" i="3"/>
  <c r="T31" i="3"/>
  <c r="U30" i="3"/>
  <c r="J26" i="3"/>
  <c r="J22" i="3"/>
  <c r="AE11" i="3"/>
  <c r="Q16" i="4"/>
  <c r="AQ62" i="3"/>
  <c r="AE58" i="3"/>
  <c r="T52" i="3"/>
  <c r="P47" i="3"/>
  <c r="J41" i="3"/>
  <c r="T30" i="3"/>
  <c r="AE26" i="3"/>
  <c r="AD11" i="3"/>
  <c r="L26" i="4"/>
  <c r="H15" i="4"/>
  <c r="J7" i="3" s="1"/>
  <c r="J71" i="3"/>
  <c r="R67" i="3"/>
  <c r="R52" i="3"/>
  <c r="J45" i="3"/>
  <c r="S30" i="3"/>
  <c r="AD26" i="3"/>
  <c r="J9" i="3"/>
  <c r="K26" i="4"/>
  <c r="G15" i="4"/>
  <c r="AH82" i="3"/>
  <c r="AI78" i="3"/>
  <c r="Q67" i="3"/>
  <c r="CE62" i="3"/>
  <c r="R30" i="3"/>
  <c r="AC26" i="3"/>
  <c r="AG9" i="3"/>
  <c r="J26" i="4"/>
  <c r="F15" i="4"/>
  <c r="J6" i="3" s="1"/>
  <c r="AG82" i="3"/>
  <c r="AB78" i="3"/>
  <c r="P67" i="3"/>
  <c r="AC59" i="3"/>
  <c r="J37" i="3"/>
  <c r="J29" i="3"/>
  <c r="J20" i="3"/>
  <c r="I26" i="4"/>
  <c r="J60" i="3" s="1"/>
  <c r="E15" i="4"/>
  <c r="P84" i="3"/>
  <c r="AF82" i="3"/>
  <c r="L67" i="3"/>
  <c r="AB59" i="3"/>
  <c r="AE34" i="3"/>
  <c r="AG33" i="3"/>
  <c r="J24" i="3"/>
  <c r="AG20" i="3"/>
  <c r="J19" i="3"/>
  <c r="J16" i="3"/>
  <c r="U11" i="3"/>
  <c r="AE9" i="3"/>
  <c r="H24" i="4"/>
  <c r="Q68" i="3"/>
  <c r="Q66" i="3"/>
  <c r="AC61" i="3"/>
  <c r="P60" i="3"/>
  <c r="L54" i="3"/>
  <c r="AG53" i="3"/>
  <c r="AB50" i="3"/>
  <c r="P49" i="3"/>
  <c r="J48" i="3"/>
  <c r="S41" i="3"/>
  <c r="J40" i="3"/>
  <c r="AE37" i="3"/>
  <c r="T35" i="3"/>
  <c r="R34" i="3"/>
  <c r="U33" i="3"/>
  <c r="AD32" i="3"/>
  <c r="AE31" i="3"/>
  <c r="S27" i="3"/>
  <c r="G24" i="4"/>
  <c r="J42" i="3" s="1"/>
  <c r="P40" i="3"/>
  <c r="AD37" i="3"/>
  <c r="U35" i="3"/>
  <c r="T33" i="3"/>
  <c r="AD31" i="3"/>
  <c r="U26" i="3"/>
  <c r="T22" i="3"/>
  <c r="AG16" i="3"/>
  <c r="S7" i="3"/>
  <c r="P6" i="3"/>
  <c r="U27" i="3"/>
  <c r="AF37" i="3"/>
  <c r="AH16" i="3"/>
  <c r="C26" i="4"/>
  <c r="P66" i="3"/>
  <c r="J63" i="3"/>
  <c r="Q60" i="3"/>
  <c r="L40" i="3"/>
  <c r="S35" i="3"/>
  <c r="U31" i="3"/>
  <c r="T26" i="3"/>
  <c r="S22" i="3"/>
  <c r="J17" i="3"/>
  <c r="AF16" i="3"/>
  <c r="R7" i="3"/>
  <c r="J5" i="3"/>
  <c r="Q7" i="3"/>
  <c r="AC6" i="3"/>
  <c r="T24" i="4"/>
  <c r="R29" i="3"/>
  <c r="AI27" i="3"/>
  <c r="S26" i="3"/>
  <c r="R22" i="3"/>
  <c r="AF20" i="3"/>
  <c r="AH19" i="3"/>
  <c r="AD16" i="3"/>
  <c r="Q54" i="3"/>
  <c r="AC20" i="3"/>
  <c r="J12" i="3"/>
  <c r="AD9" i="3"/>
  <c r="T11" i="3"/>
  <c r="AG37" i="3"/>
  <c r="L63" i="3"/>
  <c r="U22" i="3"/>
  <c r="S24" i="4"/>
  <c r="L84" i="3"/>
  <c r="J80" i="3"/>
  <c r="AC41" i="3"/>
  <c r="AH27" i="3"/>
  <c r="R26" i="3"/>
  <c r="J25" i="3"/>
  <c r="Q22" i="3"/>
  <c r="AE20" i="3"/>
  <c r="AG19" i="3"/>
  <c r="P7" i="3"/>
  <c r="AH32" i="3"/>
  <c r="Q26" i="3"/>
  <c r="L7" i="3"/>
  <c r="T63" i="3"/>
  <c r="M24" i="4"/>
  <c r="R41" i="3"/>
  <c r="AG26" i="3"/>
  <c r="J10" i="3"/>
  <c r="U53" i="3"/>
  <c r="P54" i="3"/>
  <c r="AH47" i="3"/>
  <c r="L41" i="3"/>
  <c r="AD34" i="3"/>
  <c r="AG32" i="3"/>
  <c r="T27" i="3"/>
  <c r="J18" i="3"/>
  <c r="S16" i="3"/>
  <c r="J13" i="3"/>
  <c r="AF11" i="3"/>
  <c r="AG6" i="3"/>
  <c r="AC34" i="3"/>
  <c r="AI10" i="3"/>
  <c r="AF6" i="3"/>
  <c r="AF31" i="3"/>
  <c r="D15" i="4"/>
  <c r="J72" i="3"/>
  <c r="R49" i="3"/>
  <c r="AF32" i="3"/>
  <c r="R27" i="3"/>
  <c r="J70" i="3"/>
  <c r="Q6" i="3"/>
  <c r="AI79" i="3"/>
  <c r="S59" i="3"/>
  <c r="Q49" i="3"/>
  <c r="AE32" i="3"/>
  <c r="J23" i="3"/>
  <c r="U20" i="3"/>
  <c r="S11" i="3"/>
  <c r="AH10" i="3"/>
  <c r="AE6" i="3"/>
  <c r="AC5" i="3"/>
  <c r="T5" i="3"/>
  <c r="AI37" i="3"/>
  <c r="AG31" i="3"/>
  <c r="Q40" i="3"/>
  <c r="T7" i="3"/>
  <c r="R59" i="3"/>
  <c r="J51" i="3"/>
  <c r="L49" i="3"/>
  <c r="R47" i="3"/>
  <c r="J38" i="3"/>
  <c r="U36" i="3"/>
  <c r="AC32" i="3"/>
  <c r="Q20" i="3"/>
  <c r="R19" i="3"/>
  <c r="R11" i="3"/>
  <c r="AG10" i="3"/>
  <c r="U9" i="3"/>
  <c r="AE5" i="3"/>
  <c r="J21" i="3"/>
  <c r="S6" i="3"/>
  <c r="AI50" i="3"/>
  <c r="U7" i="3"/>
  <c r="P5" i="3"/>
  <c r="P68" i="3"/>
  <c r="AH61" i="3"/>
  <c r="U42" i="3"/>
  <c r="Q36" i="3"/>
  <c r="Q34" i="3"/>
  <c r="AE21" i="3"/>
  <c r="AD17" i="3"/>
  <c r="J14" i="3"/>
  <c r="Q11" i="3"/>
  <c r="AF10" i="3"/>
  <c r="T9" i="3"/>
  <c r="Q9" i="3"/>
  <c r="AI53" i="3"/>
  <c r="J44" i="3"/>
  <c r="Q5" i="3"/>
  <c r="AE82" i="3"/>
  <c r="AB61" i="3"/>
  <c r="T42" i="3"/>
  <c r="AC17" i="3"/>
  <c r="P11" i="3"/>
  <c r="AD10" i="3"/>
  <c r="R5" i="3"/>
  <c r="AH53" i="3"/>
  <c r="T82" i="3"/>
  <c r="AB49" i="3"/>
  <c r="L44" i="3"/>
  <c r="S42" i="3"/>
  <c r="T21" i="3"/>
  <c r="AB17" i="3"/>
  <c r="L11" i="3"/>
  <c r="AC10" i="3"/>
  <c r="P9" i="3"/>
  <c r="U6" i="3"/>
  <c r="S5" i="3"/>
  <c r="Q42" i="3"/>
  <c r="J28" i="3"/>
  <c r="T10" i="3"/>
  <c r="T6" i="3"/>
  <c r="S24" i="3"/>
  <c r="J15" i="3"/>
  <c r="U48" i="3"/>
  <c r="R6" i="3"/>
  <c r="AH50" i="3"/>
  <c r="J39" i="3"/>
  <c r="Q25" i="3"/>
  <c r="T17" i="3"/>
  <c r="J8" i="3"/>
  <c r="AG58" i="3"/>
  <c r="AH58" i="3"/>
  <c r="Q65" i="3"/>
  <c r="R65" i="3"/>
  <c r="AI81" i="3"/>
  <c r="L81" i="3"/>
  <c r="Q81" i="3"/>
  <c r="R81" i="3"/>
  <c r="S81" i="3"/>
  <c r="AE79" i="3"/>
  <c r="AF79" i="3"/>
  <c r="L79" i="3"/>
  <c r="AG79" i="3"/>
  <c r="P79" i="3"/>
  <c r="Q79" i="3"/>
  <c r="R79" i="3"/>
  <c r="AD66" i="3"/>
  <c r="AE66" i="3"/>
  <c r="L66" i="3"/>
  <c r="R66" i="3"/>
  <c r="S66" i="3"/>
  <c r="AD83" i="3"/>
  <c r="AE83" i="3"/>
  <c r="AF83" i="3"/>
  <c r="AG83" i="3"/>
  <c r="AI83" i="3"/>
  <c r="S78" i="3"/>
  <c r="AC78" i="3"/>
  <c r="AD78" i="3"/>
  <c r="AF78" i="3"/>
  <c r="AH78" i="3"/>
  <c r="L78" i="3"/>
  <c r="P78" i="3"/>
  <c r="Q78" i="3"/>
  <c r="T61" i="3"/>
  <c r="AD61" i="3"/>
  <c r="AE61" i="3"/>
  <c r="AF61" i="3"/>
  <c r="L61" i="3"/>
  <c r="AG61" i="3"/>
  <c r="Q61" i="3"/>
  <c r="R61" i="3"/>
  <c r="AF84" i="3"/>
  <c r="AG84" i="3"/>
  <c r="S84" i="3"/>
  <c r="T84" i="3"/>
  <c r="U84" i="3"/>
  <c r="AC84" i="3"/>
  <c r="AD84" i="3"/>
  <c r="AH84" i="3"/>
  <c r="AE84" i="3"/>
  <c r="AE55" i="3"/>
  <c r="AF55" i="3"/>
  <c r="T55" i="3"/>
  <c r="U55" i="3"/>
  <c r="AC55" i="3"/>
  <c r="AD55" i="3"/>
  <c r="S68" i="3"/>
  <c r="T68" i="3"/>
  <c r="U68" i="3"/>
  <c r="AH68" i="3"/>
  <c r="AI68" i="3"/>
  <c r="AG52" i="3"/>
  <c r="AH52" i="3"/>
  <c r="L52" i="3"/>
  <c r="S52" i="3"/>
  <c r="L85" i="3"/>
  <c r="AE85" i="3"/>
  <c r="AG85" i="3"/>
  <c r="P85" i="3"/>
  <c r="Q85" i="3"/>
  <c r="R85" i="3"/>
  <c r="T85" i="3"/>
  <c r="U85" i="3"/>
  <c r="L36" i="3"/>
  <c r="AC82" i="3"/>
  <c r="AD82" i="3"/>
  <c r="P82" i="3"/>
  <c r="Q82" i="3"/>
  <c r="R82" i="3"/>
  <c r="S82" i="3"/>
  <c r="U82" i="3"/>
  <c r="L35" i="3"/>
  <c r="P35" i="3"/>
  <c r="J77" i="3"/>
  <c r="J76" i="3"/>
  <c r="L87" i="3"/>
  <c r="P87" i="3"/>
  <c r="U87" i="3"/>
  <c r="Q87" i="3"/>
  <c r="R87" i="3"/>
  <c r="S87" i="3"/>
  <c r="T87" i="3"/>
  <c r="L53" i="3"/>
  <c r="P53" i="3"/>
  <c r="Q53" i="3"/>
  <c r="R53" i="3"/>
  <c r="S53" i="3"/>
  <c r="T53" i="3"/>
  <c r="AF53" i="3"/>
  <c r="L73" i="3"/>
  <c r="P73" i="3"/>
  <c r="U73" i="3"/>
  <c r="AC73" i="3"/>
  <c r="AB73" i="3"/>
  <c r="Q73" i="3"/>
  <c r="AI73" i="3"/>
  <c r="R73" i="3"/>
  <c r="S73" i="3"/>
  <c r="T73" i="3"/>
  <c r="R56" i="3"/>
  <c r="S56" i="3"/>
  <c r="T56" i="3"/>
  <c r="U56" i="3"/>
  <c r="P56" i="3"/>
  <c r="Q56" i="3"/>
  <c r="L56" i="3"/>
  <c r="L30" i="3"/>
  <c r="P30" i="3"/>
  <c r="Q30" i="3"/>
  <c r="J75" i="3"/>
  <c r="J74" i="3"/>
  <c r="L50" i="3"/>
  <c r="P50" i="3"/>
  <c r="Q50" i="3"/>
  <c r="R50" i="3"/>
  <c r="AH31" i="3"/>
  <c r="AI31" i="3"/>
  <c r="L31" i="3"/>
  <c r="P31" i="3"/>
  <c r="Q31" i="3"/>
  <c r="R31" i="3"/>
  <c r="S31" i="3"/>
  <c r="AB47" i="3"/>
  <c r="AC47" i="3"/>
  <c r="AD47" i="3"/>
  <c r="AE47" i="3"/>
  <c r="L47" i="3"/>
  <c r="AF47" i="3"/>
  <c r="AH67" i="3"/>
  <c r="AI67" i="3"/>
  <c r="AE67" i="3"/>
  <c r="AG67" i="3"/>
  <c r="S67" i="3"/>
  <c r="T67" i="3"/>
  <c r="U67" i="3"/>
  <c r="AB67" i="3"/>
  <c r="AD67" i="3"/>
  <c r="AD59" i="3"/>
  <c r="AE59" i="3"/>
  <c r="AG59" i="3"/>
  <c r="AH59" i="3"/>
  <c r="L59" i="3"/>
  <c r="AI59" i="3"/>
  <c r="P59" i="3"/>
  <c r="Q59" i="3"/>
  <c r="T59" i="3"/>
  <c r="U59" i="3"/>
  <c r="J64" i="3"/>
  <c r="J69" i="3"/>
  <c r="L57" i="3"/>
  <c r="T57" i="3"/>
  <c r="U57" i="3"/>
  <c r="AG57" i="3"/>
  <c r="AH57" i="3"/>
  <c r="AI57" i="3"/>
  <c r="AC57" i="3"/>
  <c r="AD57" i="3"/>
  <c r="P57" i="3"/>
  <c r="Q57" i="3"/>
  <c r="R57" i="3"/>
  <c r="S57" i="3"/>
  <c r="AB57" i="3"/>
  <c r="R54" i="3"/>
  <c r="S54" i="3"/>
  <c r="AC54" i="3"/>
  <c r="AE54" i="3"/>
  <c r="AD54" i="3"/>
  <c r="T54" i="3"/>
  <c r="U54" i="3"/>
  <c r="AB54" i="3"/>
  <c r="S49" i="3"/>
  <c r="T49" i="3"/>
  <c r="U49" i="3"/>
  <c r="L33" i="3"/>
  <c r="P33" i="3"/>
  <c r="Q33" i="3"/>
  <c r="R33" i="3"/>
  <c r="S33" i="3"/>
  <c r="L34" i="3"/>
  <c r="P34" i="3"/>
  <c r="S34" i="3"/>
  <c r="T34" i="3"/>
  <c r="U34" i="3"/>
  <c r="P27" i="3"/>
  <c r="L27" i="3"/>
  <c r="Q27" i="3"/>
  <c r="L86" i="3"/>
  <c r="AI86" i="3"/>
  <c r="T86" i="3"/>
  <c r="AC86" i="3"/>
  <c r="AE86" i="3"/>
  <c r="P86" i="3"/>
  <c r="Q86" i="3"/>
  <c r="R86" i="3"/>
  <c r="S86" i="3"/>
  <c r="U86" i="3"/>
  <c r="U32" i="3"/>
  <c r="AB32" i="3"/>
  <c r="L32" i="3"/>
  <c r="AI32" i="3"/>
  <c r="P32" i="3"/>
  <c r="Q32" i="3"/>
  <c r="R32" i="3"/>
  <c r="S32" i="3"/>
  <c r="T32" i="3"/>
  <c r="AF26" i="3"/>
  <c r="L26" i="3"/>
  <c r="AH26" i="3"/>
  <c r="AI26" i="3"/>
  <c r="P26" i="3"/>
  <c r="L22" i="3"/>
  <c r="P22" i="3"/>
  <c r="P41" i="3"/>
  <c r="Q41" i="3"/>
  <c r="T41" i="3"/>
  <c r="U41" i="3"/>
  <c r="AH71" i="3"/>
  <c r="AI71" i="3"/>
  <c r="L71" i="3"/>
  <c r="T71" i="3"/>
  <c r="U71" i="3"/>
  <c r="AD71" i="3"/>
  <c r="AE71" i="3"/>
  <c r="AF71" i="3"/>
  <c r="AG71" i="3"/>
  <c r="AB71" i="3"/>
  <c r="P71" i="3"/>
  <c r="Q71" i="3"/>
  <c r="R71" i="3"/>
  <c r="S71" i="3"/>
  <c r="L45" i="3"/>
  <c r="P45" i="3"/>
  <c r="Q45" i="3"/>
  <c r="R45" i="3"/>
  <c r="S45" i="3"/>
  <c r="T45" i="3"/>
  <c r="U45" i="3"/>
  <c r="AI9" i="3"/>
  <c r="AF9" i="3"/>
  <c r="L9" i="3"/>
  <c r="R9" i="3"/>
  <c r="S9" i="3"/>
  <c r="L6" i="3"/>
  <c r="L37" i="3"/>
  <c r="P37" i="3"/>
  <c r="AB37" i="3"/>
  <c r="AC37" i="3"/>
  <c r="Q37" i="3"/>
  <c r="R37" i="3"/>
  <c r="S37" i="3"/>
  <c r="T37" i="3"/>
  <c r="U37" i="3"/>
  <c r="L29" i="3"/>
  <c r="P29" i="3"/>
  <c r="Q29" i="3"/>
  <c r="S29" i="3"/>
  <c r="T29" i="3"/>
  <c r="U29" i="3"/>
  <c r="AI20" i="3"/>
  <c r="L20" i="3"/>
  <c r="P20" i="3"/>
  <c r="R20" i="3"/>
  <c r="S20" i="3"/>
  <c r="T20" i="3"/>
  <c r="AI60" i="3"/>
  <c r="T60" i="3"/>
  <c r="U60" i="3"/>
  <c r="L60" i="3"/>
  <c r="R60" i="3"/>
  <c r="S60" i="3"/>
  <c r="L24" i="3"/>
  <c r="P24" i="3"/>
  <c r="Q24" i="3"/>
  <c r="R24" i="3"/>
  <c r="T24" i="3"/>
  <c r="U24" i="3"/>
  <c r="L19" i="3"/>
  <c r="P19" i="3"/>
  <c r="Q19" i="3"/>
  <c r="S19" i="3"/>
  <c r="T19" i="3"/>
  <c r="U19" i="3"/>
  <c r="AI16" i="3"/>
  <c r="L16" i="3"/>
  <c r="P16" i="3"/>
  <c r="Q16" i="3"/>
  <c r="R16" i="3"/>
  <c r="T16" i="3"/>
  <c r="U16" i="3"/>
  <c r="AB48" i="3"/>
  <c r="AC48" i="3"/>
  <c r="AD48" i="3"/>
  <c r="L48" i="3"/>
  <c r="AE48" i="3"/>
  <c r="AF48" i="3"/>
  <c r="P48" i="3"/>
  <c r="AG48" i="3"/>
  <c r="Q48" i="3"/>
  <c r="R48" i="3"/>
  <c r="S48" i="3"/>
  <c r="T48" i="3"/>
  <c r="AG40" i="3"/>
  <c r="AH40" i="3"/>
  <c r="R40" i="3"/>
  <c r="S40" i="3"/>
  <c r="T40" i="3"/>
  <c r="U40" i="3"/>
  <c r="AC40" i="3"/>
  <c r="AE40" i="3"/>
  <c r="AF40" i="3"/>
  <c r="R42" i="3"/>
  <c r="L42" i="3"/>
  <c r="P42" i="3"/>
  <c r="AB42" i="3"/>
  <c r="AE42" i="3"/>
  <c r="AF42" i="3"/>
  <c r="AG42" i="3"/>
  <c r="AH42" i="3"/>
  <c r="U63" i="3"/>
  <c r="AF63" i="3"/>
  <c r="P63" i="3"/>
  <c r="Q63" i="3"/>
  <c r="R63" i="3"/>
  <c r="S63" i="3"/>
  <c r="AE17" i="3"/>
  <c r="L17" i="3"/>
  <c r="AF17" i="3"/>
  <c r="P17" i="3"/>
  <c r="AG17" i="3"/>
  <c r="Q17" i="3"/>
  <c r="AH17" i="3"/>
  <c r="R17" i="3"/>
  <c r="AI17" i="3"/>
  <c r="S17" i="3"/>
  <c r="U17" i="3"/>
  <c r="L5" i="3"/>
  <c r="U5" i="3"/>
  <c r="AB5" i="3"/>
  <c r="L12" i="3"/>
  <c r="P12" i="3"/>
  <c r="Q12" i="3"/>
  <c r="R12" i="3"/>
  <c r="S12" i="3"/>
  <c r="T12" i="3"/>
  <c r="U12" i="3"/>
  <c r="S80" i="3"/>
  <c r="T80" i="3"/>
  <c r="U80" i="3"/>
  <c r="AI80" i="3"/>
  <c r="Q80" i="3"/>
  <c r="R80" i="3"/>
  <c r="AD80" i="3"/>
  <c r="AF80" i="3"/>
  <c r="L80" i="3"/>
  <c r="P80" i="3"/>
  <c r="L25" i="3"/>
  <c r="P25" i="3"/>
  <c r="R25" i="3"/>
  <c r="S25" i="3"/>
  <c r="T25" i="3"/>
  <c r="U25" i="3"/>
  <c r="J43" i="3"/>
  <c r="J46" i="3"/>
  <c r="L10" i="3"/>
  <c r="P10" i="3"/>
  <c r="Q10" i="3"/>
  <c r="R10" i="3"/>
  <c r="S10" i="3"/>
  <c r="U10" i="3"/>
  <c r="AB10" i="3"/>
  <c r="L18" i="3"/>
  <c r="P18" i="3"/>
  <c r="Q18" i="3"/>
  <c r="R18" i="3"/>
  <c r="S18" i="3"/>
  <c r="T18" i="3"/>
  <c r="U18" i="3"/>
  <c r="L13" i="3"/>
  <c r="AI13" i="3"/>
  <c r="P13" i="3"/>
  <c r="Q13" i="3"/>
  <c r="R13" i="3"/>
  <c r="S13" i="3"/>
  <c r="T13" i="3"/>
  <c r="U13" i="3"/>
  <c r="L72" i="3"/>
  <c r="P72" i="3"/>
  <c r="U72" i="3"/>
  <c r="AF72" i="3"/>
  <c r="AG72" i="3"/>
  <c r="AH72" i="3"/>
  <c r="AI72" i="3"/>
  <c r="AD72" i="3"/>
  <c r="AE72" i="3"/>
  <c r="Q72" i="3"/>
  <c r="R72" i="3"/>
  <c r="S72" i="3"/>
  <c r="T72" i="3"/>
  <c r="AB72" i="3"/>
  <c r="AC72" i="3"/>
  <c r="L70" i="3"/>
  <c r="P70" i="3"/>
  <c r="Q70" i="3"/>
  <c r="R70" i="3"/>
  <c r="S70" i="3"/>
  <c r="T70" i="3"/>
  <c r="U70" i="3"/>
  <c r="T23" i="3"/>
  <c r="L23" i="3"/>
  <c r="P23" i="3"/>
  <c r="Q23" i="3"/>
  <c r="R23" i="3"/>
  <c r="S23" i="3"/>
  <c r="U23" i="3"/>
  <c r="L51" i="3"/>
  <c r="Q51" i="3"/>
  <c r="P51" i="3"/>
  <c r="AI51" i="3"/>
  <c r="R51" i="3"/>
  <c r="S51" i="3"/>
  <c r="T51" i="3"/>
  <c r="U51" i="3"/>
  <c r="AB51" i="3"/>
  <c r="AH51" i="3"/>
  <c r="L38" i="3"/>
  <c r="P38" i="3"/>
  <c r="R38" i="3"/>
  <c r="Q38" i="3"/>
  <c r="S38" i="3"/>
  <c r="T38" i="3"/>
  <c r="U38" i="3"/>
  <c r="AC38" i="3"/>
  <c r="AD38" i="3"/>
  <c r="AF38" i="3"/>
  <c r="AG38" i="3"/>
  <c r="AF21" i="3"/>
  <c r="AG21" i="3"/>
  <c r="AH21" i="3"/>
  <c r="L21" i="3"/>
  <c r="P21" i="3"/>
  <c r="Q21" i="3"/>
  <c r="R21" i="3"/>
  <c r="S21" i="3"/>
  <c r="U21" i="3"/>
  <c r="P14" i="3"/>
  <c r="Q14" i="3"/>
  <c r="R14" i="3"/>
  <c r="S14" i="3"/>
  <c r="T14" i="3"/>
  <c r="U14" i="3"/>
  <c r="AH14" i="3"/>
  <c r="AE14" i="3"/>
  <c r="AF14" i="3"/>
  <c r="AG14" i="3"/>
  <c r="L14" i="3"/>
  <c r="AG44" i="3"/>
  <c r="AC44" i="3"/>
  <c r="AF44" i="3"/>
  <c r="P44" i="3"/>
  <c r="Q44" i="3"/>
  <c r="R44" i="3"/>
  <c r="S44" i="3"/>
  <c r="T44" i="3"/>
  <c r="U44" i="3"/>
  <c r="AB28" i="3"/>
  <c r="AF28" i="3"/>
  <c r="AH28" i="3"/>
  <c r="AG28" i="3"/>
  <c r="L28" i="3"/>
  <c r="P28" i="3"/>
  <c r="U28" i="3"/>
  <c r="AC28" i="3"/>
  <c r="AD28" i="3"/>
  <c r="AE28" i="3"/>
  <c r="Q28" i="3"/>
  <c r="R28" i="3"/>
  <c r="S28" i="3"/>
  <c r="T28" i="3"/>
  <c r="T15" i="3"/>
  <c r="AC15" i="3"/>
  <c r="AD15" i="3"/>
  <c r="AE15" i="3"/>
  <c r="AG15" i="3"/>
  <c r="AH15" i="3"/>
  <c r="AI15" i="3"/>
  <c r="L15" i="3"/>
  <c r="P15" i="3"/>
  <c r="Q15" i="3"/>
  <c r="R15" i="3"/>
  <c r="S15" i="3"/>
  <c r="U15" i="3"/>
  <c r="AB15" i="3"/>
  <c r="L39" i="3"/>
  <c r="P39" i="3"/>
  <c r="Q39" i="3"/>
  <c r="R39" i="3"/>
  <c r="S39" i="3"/>
  <c r="T39" i="3"/>
  <c r="U39" i="3"/>
  <c r="AC39" i="3"/>
  <c r="AE39" i="3"/>
  <c r="AF39" i="3"/>
  <c r="AG39" i="3"/>
  <c r="AH39" i="3"/>
  <c r="AI39" i="3"/>
  <c r="P8" i="3"/>
  <c r="Q8" i="3"/>
  <c r="L8" i="3"/>
  <c r="R8" i="3"/>
  <c r="AH8" i="3"/>
  <c r="AG8" i="3"/>
  <c r="AI8" i="3"/>
  <c r="S8" i="3"/>
  <c r="T8" i="3"/>
  <c r="U8" i="3"/>
  <c r="AH77" i="3"/>
  <c r="AB77" i="3"/>
  <c r="AC77" i="3"/>
  <c r="T77" i="3"/>
  <c r="U77" i="3"/>
  <c r="S77" i="3"/>
  <c r="Q77" i="3"/>
  <c r="R77" i="3"/>
  <c r="AD77" i="3"/>
  <c r="AE77" i="3"/>
  <c r="AF77" i="3"/>
  <c r="AG77" i="3"/>
  <c r="L77" i="3"/>
  <c r="AI77" i="3"/>
  <c r="P77" i="3"/>
  <c r="T76" i="3"/>
  <c r="U76" i="3"/>
  <c r="R76" i="3"/>
  <c r="S76" i="3"/>
  <c r="Q76" i="3"/>
  <c r="P76" i="3"/>
  <c r="L76" i="3"/>
  <c r="AI75" i="3"/>
  <c r="L75" i="3"/>
  <c r="P75" i="3"/>
  <c r="Q75" i="3"/>
  <c r="R75" i="3"/>
  <c r="S75" i="3"/>
  <c r="AH75" i="3"/>
  <c r="AE75" i="3"/>
  <c r="AF75" i="3"/>
  <c r="T75" i="3"/>
  <c r="U75" i="3"/>
  <c r="AB75" i="3"/>
  <c r="AC75" i="3"/>
  <c r="L74" i="3"/>
  <c r="T74" i="3"/>
  <c r="U74" i="3"/>
  <c r="R74" i="3"/>
  <c r="S74" i="3"/>
  <c r="P74" i="3"/>
  <c r="Q74" i="3"/>
  <c r="Q64" i="3"/>
  <c r="R64" i="3"/>
  <c r="S64" i="3"/>
  <c r="T64" i="3"/>
  <c r="U64" i="3"/>
  <c r="P64" i="3"/>
  <c r="L64" i="3"/>
  <c r="U69" i="3"/>
  <c r="AB69" i="3"/>
  <c r="AC69" i="3"/>
  <c r="AD69" i="3"/>
  <c r="AE69" i="3"/>
  <c r="L69" i="3"/>
  <c r="T69" i="3"/>
  <c r="AF69" i="3"/>
  <c r="AG69" i="3"/>
  <c r="P69" i="3"/>
  <c r="AH69" i="3"/>
  <c r="Q69" i="3"/>
  <c r="AI69" i="3"/>
  <c r="R69" i="3"/>
  <c r="S69" i="3"/>
  <c r="R43" i="3"/>
  <c r="S43" i="3"/>
  <c r="T43" i="3"/>
  <c r="U43" i="3"/>
  <c r="AB43" i="3"/>
  <c r="AF43" i="3"/>
  <c r="AH43" i="3"/>
  <c r="AI43" i="3"/>
  <c r="L43" i="3"/>
  <c r="P43" i="3"/>
  <c r="Q43" i="3"/>
  <c r="S46" i="3"/>
  <c r="U46" i="3"/>
  <c r="AH46" i="3"/>
  <c r="T46" i="3"/>
  <c r="AI46" i="3"/>
  <c r="P46" i="3"/>
  <c r="Q46" i="3"/>
  <c r="R46" i="3"/>
  <c r="AC46" i="3"/>
  <c r="AD46" i="3"/>
  <c r="AE46" i="3"/>
  <c r="AF46" i="3"/>
  <c r="L46" i="3"/>
  <c r="AG46" i="3"/>
  <c r="M46" i="3" l="1"/>
  <c r="X46" i="3"/>
  <c r="W46" i="3"/>
  <c r="V46" i="3"/>
  <c r="Z46" i="3"/>
  <c r="AA46" i="3"/>
  <c r="Y46" i="3"/>
  <c r="W43" i="3"/>
  <c r="V43" i="3"/>
  <c r="M43" i="3"/>
  <c r="AA43" i="3"/>
  <c r="Z43" i="3"/>
  <c r="Y43" i="3"/>
  <c r="X43" i="3"/>
  <c r="Y69" i="3"/>
  <c r="X69" i="3"/>
  <c r="W69" i="3"/>
  <c r="V69" i="3"/>
  <c r="Z69" i="3"/>
  <c r="M69" i="3"/>
  <c r="AA69" i="3"/>
  <c r="M64" i="3"/>
  <c r="V64" i="3"/>
  <c r="AA64" i="3"/>
  <c r="Z64" i="3"/>
  <c r="Y64" i="3"/>
  <c r="X64" i="3"/>
  <c r="W64" i="3"/>
  <c r="W74" i="3"/>
  <c r="V74" i="3"/>
  <c r="Y74" i="3"/>
  <c r="X74" i="3"/>
  <c r="AA74" i="3"/>
  <c r="Z74" i="3"/>
  <c r="M74" i="3"/>
  <c r="AA75" i="3"/>
  <c r="Z75" i="3"/>
  <c r="Y75" i="3"/>
  <c r="X75" i="3"/>
  <c r="W75" i="3"/>
  <c r="V75" i="3"/>
  <c r="M75" i="3"/>
  <c r="M76" i="3"/>
  <c r="V76" i="3"/>
  <c r="W76" i="3"/>
  <c r="Y76" i="3"/>
  <c r="X76" i="3"/>
  <c r="AA76" i="3"/>
  <c r="Z76" i="3"/>
  <c r="V77" i="3"/>
  <c r="M77" i="3"/>
  <c r="X77" i="3"/>
  <c r="W77" i="3"/>
  <c r="Y77" i="3"/>
  <c r="AA77" i="3"/>
  <c r="Z77" i="3"/>
  <c r="AA8" i="3"/>
  <c r="Z8" i="3"/>
  <c r="Y8" i="3"/>
  <c r="X8" i="3"/>
  <c r="M8" i="3"/>
  <c r="W8" i="3"/>
  <c r="V8" i="3"/>
  <c r="AA39" i="3"/>
  <c r="Z39" i="3"/>
  <c r="Y39" i="3"/>
  <c r="X39" i="3"/>
  <c r="W39" i="3"/>
  <c r="V39" i="3"/>
  <c r="M39" i="3"/>
  <c r="AA15" i="3"/>
  <c r="Y15" i="3"/>
  <c r="X15" i="3"/>
  <c r="W15" i="3"/>
  <c r="V15" i="3"/>
  <c r="M15" i="3"/>
  <c r="Z15" i="3"/>
  <c r="Z28" i="3"/>
  <c r="Y28" i="3"/>
  <c r="X28" i="3"/>
  <c r="W28" i="3"/>
  <c r="AA28" i="3"/>
  <c r="V28" i="3"/>
  <c r="M28" i="3"/>
  <c r="AA44" i="3"/>
  <c r="Z44" i="3"/>
  <c r="Y44" i="3"/>
  <c r="X44" i="3"/>
  <c r="W44" i="3"/>
  <c r="V44" i="3"/>
  <c r="M14" i="3"/>
  <c r="AA14" i="3"/>
  <c r="Z14" i="3"/>
  <c r="Y14" i="3"/>
  <c r="X14" i="3"/>
  <c r="W14" i="3"/>
  <c r="V14" i="3"/>
  <c r="AA21" i="3"/>
  <c r="Y21" i="3"/>
  <c r="X21" i="3"/>
  <c r="W21" i="3"/>
  <c r="V21" i="3"/>
  <c r="M21" i="3"/>
  <c r="AA38" i="3"/>
  <c r="Z38" i="3"/>
  <c r="Y38" i="3"/>
  <c r="W38" i="3"/>
  <c r="X38" i="3"/>
  <c r="V38" i="3"/>
  <c r="M38" i="3"/>
  <c r="AA51" i="3"/>
  <c r="Z51" i="3"/>
  <c r="Y51" i="3"/>
  <c r="X51" i="3"/>
  <c r="V51" i="3"/>
  <c r="W51" i="3"/>
  <c r="M51" i="3"/>
  <c r="AA23" i="3"/>
  <c r="Y23" i="3"/>
  <c r="X23" i="3"/>
  <c r="W23" i="3"/>
  <c r="V23" i="3"/>
  <c r="M23" i="3"/>
  <c r="Z23" i="3"/>
  <c r="AA70" i="3"/>
  <c r="Z70" i="3"/>
  <c r="Y70" i="3"/>
  <c r="X70" i="3"/>
  <c r="W70" i="3"/>
  <c r="V70" i="3"/>
  <c r="M70" i="3"/>
  <c r="Z72" i="3"/>
  <c r="Y72" i="3"/>
  <c r="X72" i="3"/>
  <c r="W72" i="3"/>
  <c r="AA72" i="3"/>
  <c r="V72" i="3"/>
  <c r="M72" i="3"/>
  <c r="AA13" i="3"/>
  <c r="Z13" i="3"/>
  <c r="Y13" i="3"/>
  <c r="X13" i="3"/>
  <c r="W13" i="3"/>
  <c r="V13" i="3"/>
  <c r="M13" i="3"/>
  <c r="AA18" i="3"/>
  <c r="Z18" i="3"/>
  <c r="Y18" i="3"/>
  <c r="X18" i="3"/>
  <c r="W18" i="3"/>
  <c r="V18" i="3"/>
  <c r="M18" i="3"/>
  <c r="AA10" i="3"/>
  <c r="Y10" i="3"/>
  <c r="X10" i="3"/>
  <c r="W10" i="3"/>
  <c r="V10" i="3"/>
  <c r="M10" i="3"/>
  <c r="AA25" i="3"/>
  <c r="Z25" i="3"/>
  <c r="Y25" i="3"/>
  <c r="X25" i="3"/>
  <c r="V25" i="3"/>
  <c r="M25" i="3"/>
  <c r="V80" i="3"/>
  <c r="M80" i="3"/>
  <c r="X80" i="3"/>
  <c r="W80" i="3"/>
  <c r="AA80" i="3"/>
  <c r="Z80" i="3"/>
  <c r="Y80" i="3"/>
  <c r="AA12" i="3"/>
  <c r="Z12" i="3"/>
  <c r="Y12" i="3"/>
  <c r="X12" i="3"/>
  <c r="W12" i="3"/>
  <c r="V12" i="3"/>
  <c r="M12" i="3"/>
  <c r="AA5" i="3"/>
  <c r="M5" i="3"/>
  <c r="AA17" i="3"/>
  <c r="Y17" i="3"/>
  <c r="X17" i="3"/>
  <c r="W17" i="3"/>
  <c r="V17" i="3"/>
  <c r="M17" i="3"/>
  <c r="Y63" i="3"/>
  <c r="X63" i="3"/>
  <c r="W63" i="3"/>
  <c r="V63" i="3"/>
  <c r="AA63" i="3"/>
  <c r="V42" i="3"/>
  <c r="M42" i="3"/>
  <c r="X42" i="3"/>
  <c r="AA40" i="3"/>
  <c r="Z40" i="3"/>
  <c r="Y40" i="3"/>
  <c r="X40" i="3"/>
  <c r="Z48" i="3"/>
  <c r="Y48" i="3"/>
  <c r="X48" i="3"/>
  <c r="W48" i="3"/>
  <c r="V48" i="3"/>
  <c r="M48" i="3"/>
  <c r="AA16" i="3"/>
  <c r="Z16" i="3"/>
  <c r="X16" i="3"/>
  <c r="W16" i="3"/>
  <c r="V16" i="3"/>
  <c r="M16" i="3"/>
  <c r="AA19" i="3"/>
  <c r="Z19" i="3"/>
  <c r="Y19" i="3"/>
  <c r="W19" i="3"/>
  <c r="V19" i="3"/>
  <c r="M19" i="3"/>
  <c r="AA24" i="3"/>
  <c r="Z24" i="3"/>
  <c r="X24" i="3"/>
  <c r="W24" i="3"/>
  <c r="V24" i="3"/>
  <c r="M24" i="3"/>
  <c r="Y60" i="3"/>
  <c r="X60" i="3"/>
  <c r="M60" i="3"/>
  <c r="AA60" i="3"/>
  <c r="Z60" i="3"/>
  <c r="Z20" i="3"/>
  <c r="Y20" i="3"/>
  <c r="X20" i="3"/>
  <c r="V20" i="3"/>
  <c r="M20" i="3"/>
  <c r="AA29" i="3"/>
  <c r="Z29" i="3"/>
  <c r="Y29" i="3"/>
  <c r="W29" i="3"/>
  <c r="V29" i="3"/>
  <c r="M29" i="3"/>
  <c r="AA37" i="3"/>
  <c r="Z37" i="3"/>
  <c r="Y37" i="3"/>
  <c r="X37" i="3"/>
  <c r="W37" i="3"/>
  <c r="V37" i="3"/>
  <c r="M37" i="3"/>
  <c r="M6" i="3"/>
  <c r="Y9" i="3"/>
  <c r="X9" i="3"/>
  <c r="M9" i="3"/>
  <c r="AA45" i="3"/>
  <c r="Z45" i="3"/>
  <c r="Y45" i="3"/>
  <c r="X45" i="3"/>
  <c r="W45" i="3"/>
  <c r="V45" i="3"/>
  <c r="M45" i="3"/>
  <c r="Y71" i="3"/>
  <c r="X71" i="3"/>
  <c r="W71" i="3"/>
  <c r="V71" i="3"/>
  <c r="AA71" i="3"/>
  <c r="Z71" i="3"/>
  <c r="M71" i="3"/>
  <c r="AA41" i="3"/>
  <c r="Z41" i="3"/>
  <c r="W41" i="3"/>
  <c r="V41" i="3"/>
  <c r="V22" i="3"/>
  <c r="M22" i="3"/>
  <c r="V26" i="3"/>
  <c r="M26" i="3"/>
  <c r="Z32" i="3"/>
  <c r="Y32" i="3"/>
  <c r="X32" i="3"/>
  <c r="W32" i="3"/>
  <c r="V32" i="3"/>
  <c r="M32" i="3"/>
  <c r="AA32" i="3"/>
  <c r="AA86" i="3"/>
  <c r="Y86" i="3"/>
  <c r="X86" i="3"/>
  <c r="W86" i="3"/>
  <c r="V86" i="3"/>
  <c r="Z86" i="3"/>
  <c r="M86" i="3"/>
  <c r="W27" i="3"/>
  <c r="M27" i="3"/>
  <c r="V27" i="3"/>
  <c r="AA34" i="3"/>
  <c r="Z34" i="3"/>
  <c r="Y34" i="3"/>
  <c r="V34" i="3"/>
  <c r="M34" i="3"/>
  <c r="Y33" i="3"/>
  <c r="X33" i="3"/>
  <c r="W33" i="3"/>
  <c r="V33" i="3"/>
  <c r="M33" i="3"/>
  <c r="AA49" i="3"/>
  <c r="Z49" i="3"/>
  <c r="Y49" i="3"/>
  <c r="AA54" i="3"/>
  <c r="Z54" i="3"/>
  <c r="Y54" i="3"/>
  <c r="X54" i="3"/>
  <c r="Y57" i="3"/>
  <c r="X57" i="3"/>
  <c r="W57" i="3"/>
  <c r="V57" i="3"/>
  <c r="AA57" i="3"/>
  <c r="Z57" i="3"/>
  <c r="M57" i="3"/>
  <c r="AA59" i="3"/>
  <c r="Z59" i="3"/>
  <c r="W59" i="3"/>
  <c r="V59" i="3"/>
  <c r="M59" i="3"/>
  <c r="AA67" i="3"/>
  <c r="Z67" i="3"/>
  <c r="Y67" i="3"/>
  <c r="M47" i="3"/>
  <c r="Y31" i="3"/>
  <c r="X31" i="3"/>
  <c r="W31" i="3"/>
  <c r="V31" i="3"/>
  <c r="M31" i="3"/>
  <c r="X50" i="3"/>
  <c r="W50" i="3"/>
  <c r="V50" i="3"/>
  <c r="M50" i="3"/>
  <c r="W30" i="3"/>
  <c r="V30" i="3"/>
  <c r="M30" i="3"/>
  <c r="M56" i="3"/>
  <c r="W56" i="3"/>
  <c r="V56" i="3"/>
  <c r="AA56" i="3"/>
  <c r="Z56" i="3"/>
  <c r="Y56" i="3"/>
  <c r="X56" i="3"/>
  <c r="Z73" i="3"/>
  <c r="Y73" i="3"/>
  <c r="X73" i="3"/>
  <c r="W73" i="3"/>
  <c r="AA73" i="3"/>
  <c r="V73" i="3"/>
  <c r="M73" i="3"/>
  <c r="Z53" i="3"/>
  <c r="Y53" i="3"/>
  <c r="X53" i="3"/>
  <c r="W53" i="3"/>
  <c r="V53" i="3"/>
  <c r="M53" i="3"/>
  <c r="Z87" i="3"/>
  <c r="Y87" i="3"/>
  <c r="X87" i="3"/>
  <c r="W87" i="3"/>
  <c r="AA87" i="3"/>
  <c r="V87" i="3"/>
  <c r="M87" i="3"/>
  <c r="V35" i="3"/>
  <c r="M35" i="3"/>
  <c r="AA82" i="3"/>
  <c r="Y82" i="3"/>
  <c r="X82" i="3"/>
  <c r="W82" i="3"/>
  <c r="V82" i="3"/>
  <c r="M36" i="3"/>
  <c r="AA85" i="3"/>
  <c r="Z85" i="3"/>
  <c r="X85" i="3"/>
  <c r="W85" i="3"/>
  <c r="V85" i="3"/>
  <c r="M85" i="3"/>
  <c r="Y52" i="3"/>
  <c r="M52" i="3"/>
  <c r="AA68" i="3"/>
  <c r="Z68" i="3"/>
  <c r="Y68" i="3"/>
  <c r="AA55" i="3"/>
  <c r="Z55" i="3"/>
  <c r="AA84" i="3"/>
  <c r="Z84" i="3"/>
  <c r="Y84" i="3"/>
  <c r="X61" i="3"/>
  <c r="W61" i="3"/>
  <c r="M61" i="3"/>
  <c r="Z61" i="3"/>
  <c r="W78" i="3"/>
  <c r="V78" i="3"/>
  <c r="M78" i="3"/>
  <c r="Y78" i="3"/>
  <c r="Y66" i="3"/>
  <c r="X66" i="3"/>
  <c r="M66" i="3"/>
  <c r="X79" i="3"/>
  <c r="W79" i="3"/>
  <c r="V79" i="3"/>
  <c r="M79" i="3"/>
  <c r="Y81" i="3"/>
  <c r="X81" i="3"/>
  <c r="W81" i="3"/>
  <c r="M81" i="3"/>
  <c r="X65" i="3"/>
  <c r="W65" i="3"/>
  <c r="Z17" i="3"/>
  <c r="W25" i="3"/>
  <c r="X6" i="3"/>
  <c r="AA48" i="3"/>
  <c r="Y24" i="3"/>
  <c r="Z6" i="3"/>
  <c r="Z10" i="3"/>
  <c r="W42" i="3"/>
  <c r="Y5" i="3"/>
  <c r="AA6" i="3"/>
  <c r="V9" i="3"/>
  <c r="M11" i="3"/>
  <c r="Z21" i="3"/>
  <c r="Y42" i="3"/>
  <c r="M44" i="3"/>
  <c r="Z82" i="3"/>
  <c r="X5" i="3"/>
  <c r="V11" i="3"/>
  <c r="Z42" i="3"/>
  <c r="W5" i="3"/>
  <c r="W9" i="3"/>
  <c r="Z9" i="3"/>
  <c r="W11" i="3"/>
  <c r="W34" i="3"/>
  <c r="W36" i="3"/>
  <c r="AA42" i="3"/>
  <c r="V68" i="3"/>
  <c r="V5" i="3"/>
  <c r="AA7" i="3"/>
  <c r="Y6" i="3"/>
  <c r="AA9" i="3"/>
  <c r="X11" i="3"/>
  <c r="X19" i="3"/>
  <c r="W20" i="3"/>
  <c r="AA36" i="3"/>
  <c r="X47" i="3"/>
  <c r="M49" i="3"/>
  <c r="X59" i="3"/>
  <c r="Z7" i="3"/>
  <c r="W40" i="3"/>
  <c r="Z5" i="3"/>
  <c r="Y11" i="3"/>
  <c r="AA20" i="3"/>
  <c r="W49" i="3"/>
  <c r="Y59" i="3"/>
  <c r="W6" i="3"/>
  <c r="X27" i="3"/>
  <c r="X49" i="3"/>
  <c r="Y16" i="3"/>
  <c r="Z27" i="3"/>
  <c r="M41" i="3"/>
  <c r="V54" i="3"/>
  <c r="AA53" i="3"/>
  <c r="X41" i="3"/>
  <c r="Z63" i="3"/>
  <c r="M7" i="3"/>
  <c r="W26" i="3"/>
  <c r="V7" i="3"/>
  <c r="W22" i="3"/>
  <c r="X26" i="3"/>
  <c r="M84" i="3"/>
  <c r="AA22" i="3"/>
  <c r="M63" i="3"/>
  <c r="Z11" i="3"/>
  <c r="W54" i="3"/>
  <c r="X22" i="3"/>
  <c r="Y26" i="3"/>
  <c r="X29" i="3"/>
  <c r="W7" i="3"/>
  <c r="X7" i="3"/>
  <c r="Y22" i="3"/>
  <c r="Z26" i="3"/>
  <c r="AA31" i="3"/>
  <c r="Y35" i="3"/>
  <c r="M40" i="3"/>
  <c r="W60" i="3"/>
  <c r="V66" i="3"/>
  <c r="AA27" i="3"/>
  <c r="V6" i="3"/>
  <c r="Y7" i="3"/>
  <c r="Z22" i="3"/>
  <c r="AA26" i="3"/>
  <c r="Z33" i="3"/>
  <c r="AA35" i="3"/>
  <c r="V40" i="3"/>
  <c r="Y27" i="3"/>
  <c r="AA33" i="3"/>
  <c r="X34" i="3"/>
  <c r="Z35" i="3"/>
  <c r="Y41" i="3"/>
  <c r="V49" i="3"/>
  <c r="M54" i="3"/>
  <c r="V60" i="3"/>
  <c r="W66" i="3"/>
  <c r="W68" i="3"/>
  <c r="AA11" i="3"/>
  <c r="M67" i="3"/>
  <c r="V84" i="3"/>
  <c r="V67" i="3"/>
  <c r="X30" i="3"/>
  <c r="W67" i="3"/>
  <c r="Y30" i="3"/>
  <c r="X52" i="3"/>
  <c r="X67" i="3"/>
  <c r="Z30" i="3"/>
  <c r="V47" i="3"/>
  <c r="Z52" i="3"/>
  <c r="AA30" i="3"/>
  <c r="Z31" i="3"/>
  <c r="V36" i="3"/>
  <c r="W47" i="3"/>
  <c r="AA52" i="3"/>
  <c r="V81" i="3"/>
  <c r="X36" i="3"/>
  <c r="Y47" i="3"/>
  <c r="Y50" i="3"/>
  <c r="W35" i="3"/>
  <c r="Y36" i="3"/>
  <c r="Z47" i="3"/>
  <c r="Z50" i="3"/>
  <c r="M68" i="3"/>
  <c r="X35" i="3"/>
  <c r="Z36" i="3"/>
  <c r="AA47" i="3"/>
  <c r="V52" i="3"/>
  <c r="AA58" i="3"/>
  <c r="V61" i="3"/>
  <c r="AA78" i="3"/>
  <c r="Y85" i="3"/>
  <c r="AA50" i="3"/>
  <c r="W52" i="3"/>
  <c r="AA61" i="3"/>
  <c r="M82" i="3"/>
  <c r="W84" i="3"/>
  <c r="X68" i="3"/>
  <c r="X84" i="3"/>
  <c r="Y62" i="3"/>
  <c r="M55" i="3"/>
  <c r="Z62" i="3"/>
  <c r="V83" i="3"/>
  <c r="V55" i="3"/>
  <c r="AA62" i="3"/>
  <c r="W83" i="3"/>
  <c r="W55" i="3"/>
  <c r="W58" i="3"/>
  <c r="M65" i="3"/>
  <c r="X83" i="3"/>
  <c r="X55" i="3"/>
  <c r="X58" i="3"/>
  <c r="V65" i="3"/>
  <c r="Y83" i="3"/>
  <c r="Y55" i="3"/>
  <c r="Y58" i="3"/>
  <c r="AA65" i="3"/>
  <c r="Z83" i="3"/>
  <c r="Z58" i="3"/>
  <c r="Z78" i="3"/>
  <c r="AA79" i="3"/>
  <c r="AA83" i="3"/>
  <c r="M58" i="3"/>
  <c r="Y61" i="3"/>
  <c r="W62" i="3"/>
  <c r="Y65" i="3"/>
  <c r="Z66" i="3"/>
  <c r="X78" i="3"/>
  <c r="Y79" i="3"/>
  <c r="Z81" i="3"/>
  <c r="M83" i="3"/>
  <c r="V58" i="3"/>
  <c r="X62" i="3"/>
  <c r="Z65" i="3"/>
  <c r="AA66" i="3"/>
  <c r="Z79" i="3"/>
  <c r="AA81" i="3"/>
  <c r="M62" i="3"/>
  <c r="V62" i="3"/>
  <c r="C14" i="4"/>
  <c r="D14" i="4"/>
  <c r="C23" i="4"/>
  <c r="D23" i="4"/>
  <c r="C32" i="4"/>
  <c r="D32" i="4"/>
  <c r="BN46" i="3"/>
  <c r="CL46" i="3"/>
  <c r="BC43" i="3"/>
  <c r="CA69" i="3"/>
  <c r="CC69" i="3"/>
  <c r="BC64" i="3"/>
  <c r="BQ74" i="3"/>
  <c r="AS75" i="3"/>
  <c r="AP76" i="3"/>
  <c r="CE77" i="3"/>
  <c r="AP8" i="3"/>
  <c r="AJ8" i="3"/>
  <c r="BB39" i="3"/>
  <c r="BS39" i="3"/>
  <c r="AK15" i="3"/>
  <c r="CI44" i="3"/>
  <c r="CA14" i="3"/>
  <c r="AN14" i="3"/>
  <c r="AQ21" i="3"/>
  <c r="CL21" i="3"/>
  <c r="CG21" i="3"/>
  <c r="CC38" i="3"/>
  <c r="BK51" i="3"/>
  <c r="AR51" i="3"/>
  <c r="AP23" i="3"/>
  <c r="AQ70" i="3"/>
  <c r="AV72" i="3"/>
  <c r="BJ72" i="3"/>
  <c r="AQ18" i="3"/>
  <c r="AY10" i="3"/>
  <c r="AZ10" i="3"/>
  <c r="AP25" i="3"/>
  <c r="AQ12" i="3"/>
  <c r="AW5" i="3"/>
  <c r="BJ63" i="3"/>
  <c r="BW42" i="3"/>
  <c r="BD40" i="3"/>
  <c r="BY40" i="3"/>
  <c r="AT16" i="3"/>
  <c r="BK16" i="3"/>
  <c r="BU19" i="3"/>
  <c r="CC60" i="3"/>
  <c r="BE60" i="3"/>
  <c r="BJ60" i="3"/>
  <c r="CD20" i="3"/>
  <c r="BV20" i="3"/>
  <c r="AM29" i="3"/>
  <c r="AP37" i="3"/>
  <c r="CJ6" i="3"/>
  <c r="AJ9" i="3"/>
  <c r="CE9" i="3"/>
  <c r="AT45" i="3"/>
  <c r="CH71" i="3"/>
  <c r="AW71" i="3"/>
  <c r="AY71" i="3"/>
  <c r="BJ7" i="3"/>
  <c r="AT41" i="3"/>
  <c r="AR22" i="3"/>
  <c r="CJ26" i="3"/>
  <c r="BD26" i="3"/>
  <c r="AJ27" i="3"/>
  <c r="CL11" i="3"/>
  <c r="AS11" i="3"/>
  <c r="BM33" i="3"/>
  <c r="CA49" i="3"/>
  <c r="AM54" i="3"/>
  <c r="BP57" i="3"/>
  <c r="AJ59" i="3"/>
  <c r="AU59" i="3"/>
  <c r="BA59" i="3"/>
  <c r="BT47" i="3"/>
  <c r="AP47" i="3"/>
  <c r="CI50" i="3"/>
  <c r="BP50" i="3"/>
  <c r="AL30" i="3"/>
  <c r="CH56" i="3"/>
  <c r="AN73" i="3"/>
  <c r="BD73" i="3"/>
  <c r="AR53" i="3"/>
  <c r="CA53" i="3"/>
  <c r="AK53" i="3"/>
  <c r="CJ82" i="3"/>
  <c r="BJ82" i="3"/>
  <c r="CC36" i="3"/>
  <c r="BO52" i="3"/>
  <c r="BN52" i="3"/>
  <c r="BI52" i="3"/>
  <c r="BZ68" i="3"/>
  <c r="CN68" i="3"/>
  <c r="AX55" i="3"/>
  <c r="AL55" i="3"/>
  <c r="BR61" i="3"/>
  <c r="AN61" i="3"/>
  <c r="AX78" i="3"/>
  <c r="AQ83" i="3"/>
  <c r="BI79" i="3"/>
  <c r="AV79" i="3"/>
  <c r="BE81" i="3"/>
  <c r="AV81" i="3"/>
  <c r="BY65" i="3"/>
  <c r="CL65" i="3"/>
  <c r="BW58" i="3"/>
  <c r="BL58" i="3"/>
  <c r="BG5" i="3"/>
  <c r="BQ25" i="3"/>
  <c r="AL13" i="3"/>
  <c r="AU19" i="3"/>
  <c r="BW19" i="3"/>
  <c r="AF19" i="3"/>
  <c r="CK25" i="3"/>
  <c r="AZ23" i="3"/>
  <c r="AV23" i="3"/>
  <c r="BM46" i="3"/>
  <c r="BU46" i="3"/>
  <c r="AM69" i="3"/>
  <c r="BQ69" i="3"/>
  <c r="AT64" i="3"/>
  <c r="BF74" i="3"/>
  <c r="CD75" i="3"/>
  <c r="AL76" i="3"/>
  <c r="AU77" i="3"/>
  <c r="BP8" i="3"/>
  <c r="CF8" i="3"/>
  <c r="CG39" i="3"/>
  <c r="AK39" i="3"/>
  <c r="CE15" i="3"/>
  <c r="BO15" i="3"/>
  <c r="AM44" i="3"/>
  <c r="AZ14" i="3"/>
  <c r="BP14" i="3"/>
  <c r="BX21" i="3"/>
  <c r="BN21" i="3"/>
  <c r="CF21" i="3"/>
  <c r="BS38" i="3"/>
  <c r="CK51" i="3"/>
  <c r="AQ51" i="3"/>
  <c r="AN23" i="3"/>
  <c r="AP70" i="3"/>
  <c r="BZ72" i="3"/>
  <c r="CB72" i="3"/>
  <c r="AP18" i="3"/>
  <c r="CE10" i="3"/>
  <c r="BY10" i="3"/>
  <c r="AO25" i="3"/>
  <c r="AN12" i="3"/>
  <c r="CN5" i="3"/>
  <c r="BD17" i="3"/>
  <c r="BI63" i="3"/>
  <c r="BU42" i="3"/>
  <c r="CL40" i="3"/>
  <c r="BX40" i="3"/>
  <c r="BV16" i="3"/>
  <c r="BF16" i="3"/>
  <c r="CJ19" i="3"/>
  <c r="AX60" i="3"/>
  <c r="AQ60" i="3"/>
  <c r="CK20" i="3"/>
  <c r="BE20" i="3"/>
  <c r="BU20" i="3"/>
  <c r="BS29" i="3"/>
  <c r="BZ37" i="3"/>
  <c r="CI6" i="3"/>
  <c r="CA9" i="3"/>
  <c r="AU9" i="3"/>
  <c r="AM45" i="3"/>
  <c r="BM71" i="3"/>
  <c r="CK71" i="3"/>
  <c r="AX71" i="3"/>
  <c r="BI7" i="3"/>
  <c r="AS41" i="3"/>
  <c r="CC26" i="3"/>
  <c r="BN26" i="3"/>
  <c r="BG26" i="3"/>
  <c r="CA27" i="3"/>
  <c r="BI11" i="3"/>
  <c r="AP11" i="3"/>
  <c r="BL33" i="3"/>
  <c r="BH49" i="3"/>
  <c r="CB54" i="3"/>
  <c r="BO57" i="3"/>
  <c r="BW59" i="3"/>
  <c r="CE59" i="3"/>
  <c r="BQ59" i="3"/>
  <c r="BR47" i="3"/>
  <c r="BW47" i="3"/>
  <c r="AU50" i="3"/>
  <c r="BO50" i="3"/>
  <c r="AK30" i="3"/>
  <c r="BB56" i="3"/>
  <c r="BN73" i="3"/>
  <c r="CK73" i="3"/>
  <c r="CG53" i="3"/>
  <c r="AW53" i="3"/>
  <c r="BN82" i="3"/>
  <c r="BI82" i="3"/>
  <c r="BF36" i="3"/>
  <c r="AS52" i="3"/>
  <c r="BM52" i="3"/>
  <c r="BB52" i="3"/>
  <c r="BA68" i="3"/>
  <c r="AM68" i="3"/>
  <c r="BV55" i="3"/>
  <c r="BW55" i="3"/>
  <c r="AQ55" i="3"/>
  <c r="BN61" i="3"/>
  <c r="BK61" i="3"/>
  <c r="AV78" i="3"/>
  <c r="AK83" i="3"/>
  <c r="CM79" i="3"/>
  <c r="AU79" i="3"/>
  <c r="AK81" i="3"/>
  <c r="AL81" i="3"/>
  <c r="AT65" i="3"/>
  <c r="CK65" i="3"/>
  <c r="CG58" i="3"/>
  <c r="BB58" i="3"/>
  <c r="CL17" i="3"/>
  <c r="CE35" i="3"/>
  <c r="AK13" i="3"/>
  <c r="AE19" i="3"/>
  <c r="BG19" i="3"/>
  <c r="BD19" i="3"/>
  <c r="BG35" i="3"/>
  <c r="AI23" i="3"/>
  <c r="AE23" i="3"/>
  <c r="AG29" i="3"/>
  <c r="BH29" i="3"/>
  <c r="BA29" i="3"/>
  <c r="AY18" i="3"/>
  <c r="AK17" i="3"/>
  <c r="AB7" i="3"/>
  <c r="BJ10" i="3"/>
  <c r="AX24" i="3"/>
  <c r="BR24" i="3"/>
  <c r="AV24" i="3"/>
  <c r="BT7" i="3"/>
  <c r="AG7" i="3"/>
  <c r="BD5" i="3"/>
  <c r="BL10" i="3"/>
  <c r="BK46" i="3"/>
  <c r="BS46" i="3"/>
  <c r="BT69" i="3"/>
  <c r="CG69" i="3"/>
  <c r="AS64" i="3"/>
  <c r="AX74" i="3"/>
  <c r="AT74" i="3"/>
  <c r="AR75" i="3"/>
  <c r="AJ76" i="3"/>
  <c r="AR77" i="3"/>
  <c r="BR8" i="3"/>
  <c r="BV8" i="3"/>
  <c r="BA39" i="3"/>
  <c r="BR39" i="3"/>
  <c r="AZ15" i="3"/>
  <c r="AJ15" i="3"/>
  <c r="BU28" i="3"/>
  <c r="BT44" i="3"/>
  <c r="BU14" i="3"/>
  <c r="BN14" i="3"/>
  <c r="AY21" i="3"/>
  <c r="AL21" i="3"/>
  <c r="BT21" i="3"/>
  <c r="BB38" i="3"/>
  <c r="BH51" i="3"/>
  <c r="AK51" i="3"/>
  <c r="AO70" i="3"/>
  <c r="AR72" i="3"/>
  <c r="BR72" i="3"/>
  <c r="AO18" i="3"/>
  <c r="AX10" i="3"/>
  <c r="AN25" i="3"/>
  <c r="AM12" i="3"/>
  <c r="CC5" i="3"/>
  <c r="BZ17" i="3"/>
  <c r="BH63" i="3"/>
  <c r="BR42" i="3"/>
  <c r="BC40" i="3"/>
  <c r="BR40" i="3"/>
  <c r="AQ16" i="3"/>
  <c r="BJ16" i="3"/>
  <c r="CK19" i="3"/>
  <c r="CB60" i="3"/>
  <c r="AP60" i="3"/>
  <c r="BO20" i="3"/>
  <c r="AK20" i="3"/>
  <c r="AX20" i="3"/>
  <c r="AQ29" i="3"/>
  <c r="BP37" i="3"/>
  <c r="AM6" i="3"/>
  <c r="CH9" i="3"/>
  <c r="BB9" i="3"/>
  <c r="BU9" i="3"/>
  <c r="AJ45" i="3"/>
  <c r="CE71" i="3"/>
  <c r="BQ71" i="3"/>
  <c r="AQ71" i="3"/>
  <c r="BA7" i="3"/>
  <c r="AR41" i="3"/>
  <c r="CA26" i="3"/>
  <c r="AU26" i="3"/>
  <c r="BW26" i="3"/>
  <c r="CM32" i="3"/>
  <c r="BZ27" i="3"/>
  <c r="AJ11" i="3"/>
  <c r="AO11" i="3"/>
  <c r="BK33" i="3"/>
  <c r="AZ49" i="3"/>
  <c r="BZ54" i="3"/>
  <c r="AK57" i="3"/>
  <c r="BC59" i="3"/>
  <c r="AM59" i="3"/>
  <c r="BI46" i="3"/>
  <c r="AU46" i="3"/>
  <c r="AL69" i="3"/>
  <c r="BW64" i="3"/>
  <c r="AR64" i="3"/>
  <c r="AV74" i="3"/>
  <c r="BV74" i="3"/>
  <c r="BQ75" i="3"/>
  <c r="CH76" i="3"/>
  <c r="CC77" i="3"/>
  <c r="AO8" i="3"/>
  <c r="BO8" i="3"/>
  <c r="CF39" i="3"/>
  <c r="BQ39" i="3"/>
  <c r="CD15" i="3"/>
  <c r="BI15" i="3"/>
  <c r="CM28" i="3"/>
  <c r="AL44" i="3"/>
  <c r="CH14" i="3"/>
  <c r="AX14" i="3"/>
  <c r="BM14" i="3"/>
  <c r="BV21" i="3"/>
  <c r="CK21" i="3"/>
  <c r="BF21" i="3"/>
  <c r="AZ38" i="3"/>
  <c r="CJ51" i="3"/>
  <c r="CB51" i="3"/>
  <c r="AN70" i="3"/>
  <c r="BX72" i="3"/>
  <c r="BQ72" i="3"/>
  <c r="AN18" i="3"/>
  <c r="CD10" i="3"/>
  <c r="BY12" i="3"/>
  <c r="AP5" i="3"/>
  <c r="BY17" i="3"/>
  <c r="BF42" i="3"/>
  <c r="CJ40" i="3"/>
  <c r="AN40" i="3"/>
  <c r="BU16" i="3"/>
  <c r="AJ19" i="3"/>
  <c r="BX24" i="3"/>
  <c r="AT60" i="3"/>
  <c r="AK60" i="3"/>
  <c r="AQ20" i="3"/>
  <c r="CC20" i="3"/>
  <c r="BT20" i="3"/>
  <c r="CH37" i="3"/>
  <c r="BO37" i="3"/>
  <c r="BI6" i="3"/>
  <c r="BL9" i="3"/>
  <c r="BZ9" i="3"/>
  <c r="AW9" i="3"/>
  <c r="AN45" i="3"/>
  <c r="BK71" i="3"/>
  <c r="AV71" i="3"/>
  <c r="AO71" i="3"/>
  <c r="AZ7" i="3"/>
  <c r="AQ41" i="3"/>
  <c r="BZ26" i="3"/>
  <c r="CI26" i="3"/>
  <c r="BC26" i="3"/>
  <c r="AX32" i="3"/>
  <c r="AP86" i="3"/>
  <c r="BH27" i="3"/>
  <c r="CK11" i="3"/>
  <c r="AL11" i="3"/>
  <c r="AS33" i="3"/>
  <c r="AX49" i="3"/>
  <c r="CN46" i="3"/>
  <c r="CG46" i="3"/>
  <c r="BS69" i="3"/>
  <c r="AN64" i="3"/>
  <c r="AQ64" i="3"/>
  <c r="CL74" i="3"/>
  <c r="BT74" i="3"/>
  <c r="BN75" i="3"/>
  <c r="BK76" i="3"/>
  <c r="CA77" i="3"/>
  <c r="AN8" i="3"/>
  <c r="BF8" i="3"/>
  <c r="AZ39" i="3"/>
  <c r="BP39" i="3"/>
  <c r="AY15" i="3"/>
  <c r="BH15" i="3"/>
  <c r="CL28" i="3"/>
  <c r="BS44" i="3"/>
  <c r="BK14" i="3"/>
  <c r="BT14" i="3"/>
  <c r="AP14" i="3"/>
  <c r="AX21" i="3"/>
  <c r="BM21" i="3"/>
  <c r="CE21" i="3"/>
  <c r="AY38" i="3"/>
  <c r="BG51" i="3"/>
  <c r="CC51" i="3"/>
  <c r="BG70" i="3"/>
  <c r="AQ72" i="3"/>
  <c r="BP72" i="3"/>
  <c r="BT18" i="3"/>
  <c r="AV10" i="3"/>
  <c r="BH80" i="3"/>
  <c r="BX12" i="3"/>
  <c r="CM5" i="3"/>
  <c r="AU17" i="3"/>
  <c r="BD42" i="3"/>
  <c r="BB40" i="3"/>
  <c r="BP40" i="3"/>
  <c r="AP16" i="3"/>
  <c r="BF19" i="3"/>
  <c r="BW24" i="3"/>
  <c r="BS60" i="3"/>
  <c r="CM60" i="3"/>
  <c r="CJ20" i="3"/>
  <c r="BD20" i="3"/>
  <c r="BS20" i="3"/>
  <c r="AY37" i="3"/>
  <c r="BM37" i="3"/>
  <c r="AW6" i="3"/>
  <c r="AO9" i="3"/>
  <c r="BA9" i="3"/>
  <c r="BR9" i="3"/>
  <c r="AS45" i="3"/>
  <c r="AN71" i="3"/>
  <c r="BZ71" i="3"/>
  <c r="AN7" i="3"/>
  <c r="AS7" i="3"/>
  <c r="AO41" i="3"/>
  <c r="BT26" i="3"/>
  <c r="BM26" i="3"/>
  <c r="AX46" i="3"/>
  <c r="CE46" i="3"/>
  <c r="BR69" i="3"/>
  <c r="BR64" i="3"/>
  <c r="AL64" i="3"/>
  <c r="AU74" i="3"/>
  <c r="CJ74" i="3"/>
  <c r="CA75" i="3"/>
  <c r="AX76" i="3"/>
  <c r="BX77" i="3"/>
  <c r="CL8" i="3"/>
  <c r="AY8" i="3"/>
  <c r="CE39" i="3"/>
  <c r="BO39" i="3"/>
  <c r="CC15" i="3"/>
  <c r="AW15" i="3"/>
  <c r="AX28" i="3"/>
  <c r="AK44" i="3"/>
  <c r="AL14" i="3"/>
  <c r="AW14" i="3"/>
  <c r="BL14" i="3"/>
  <c r="BU21" i="3"/>
  <c r="AK21" i="3"/>
  <c r="AX38" i="3"/>
  <c r="CI51" i="3"/>
  <c r="CA51" i="3"/>
  <c r="AM70" i="3"/>
  <c r="AR70" i="3"/>
  <c r="BW72" i="3"/>
  <c r="BN72" i="3"/>
  <c r="BU18" i="3"/>
  <c r="CC10" i="3"/>
  <c r="AY80" i="3"/>
  <c r="BW12" i="3"/>
  <c r="AQ5" i="3"/>
  <c r="AV17" i="3"/>
  <c r="BC42" i="3"/>
  <c r="CH40" i="3"/>
  <c r="BW40" i="3"/>
  <c r="BO16" i="3"/>
  <c r="BE19" i="3"/>
  <c r="BJ24" i="3"/>
  <c r="AO60" i="3"/>
  <c r="AJ60" i="3"/>
  <c r="BN20" i="3"/>
  <c r="AJ20" i="3"/>
  <c r="BR20" i="3"/>
  <c r="CG37" i="3"/>
  <c r="BL37" i="3"/>
  <c r="BH6" i="3"/>
  <c r="CG9" i="3"/>
  <c r="AZ9" i="3"/>
  <c r="BQ9" i="3"/>
  <c r="AR45" i="3"/>
  <c r="CD71" i="3"/>
  <c r="BW71" i="3"/>
  <c r="CL7" i="3"/>
  <c r="AM7" i="3"/>
  <c r="BA26" i="3"/>
  <c r="AT26" i="3"/>
  <c r="AX26" i="3"/>
  <c r="AV32" i="3"/>
  <c r="BI27" i="3"/>
  <c r="CN34" i="3"/>
  <c r="CD11" i="3"/>
  <c r="AN11" i="3"/>
  <c r="AQ33" i="3"/>
  <c r="AO54" i="3"/>
  <c r="AZ57" i="3"/>
  <c r="CG59" i="3"/>
  <c r="CI59" i="3"/>
  <c r="CM46" i="3"/>
  <c r="CK46" i="3"/>
  <c r="BG69" i="3"/>
  <c r="AM64" i="3"/>
  <c r="AK64" i="3"/>
  <c r="CG74" i="3"/>
  <c r="BZ74" i="3"/>
  <c r="BY75" i="3"/>
  <c r="CF76" i="3"/>
  <c r="BM77" i="3"/>
  <c r="AK8" i="3"/>
  <c r="AX8" i="3"/>
  <c r="BN8" i="3"/>
  <c r="AY39" i="3"/>
  <c r="BN39" i="3"/>
  <c r="AX15" i="3"/>
  <c r="BB15" i="3"/>
  <c r="AW28" i="3"/>
  <c r="AU44" i="3"/>
  <c r="CG14" i="3"/>
  <c r="BS14" i="3"/>
  <c r="BC14" i="3"/>
  <c r="AW21" i="3"/>
  <c r="BD21" i="3"/>
  <c r="AW38" i="3"/>
  <c r="BC51" i="3"/>
  <c r="CE51" i="3"/>
  <c r="CD70" i="3"/>
  <c r="BT70" i="3"/>
  <c r="AN72" i="3"/>
  <c r="CN13" i="3"/>
  <c r="AR18" i="3"/>
  <c r="AT10" i="3"/>
  <c r="AV80" i="3"/>
  <c r="BR12" i="3"/>
  <c r="CB5" i="3"/>
  <c r="BV42" i="3"/>
  <c r="AW46" i="3"/>
  <c r="CI46" i="3"/>
  <c r="CN69" i="3"/>
  <c r="BK64" i="3"/>
  <c r="CM64" i="3"/>
  <c r="AR74" i="3"/>
  <c r="BX74" i="3"/>
  <c r="BX75" i="3"/>
  <c r="CD76" i="3"/>
  <c r="BK77" i="3"/>
  <c r="CE8" i="3"/>
  <c r="CJ8" i="3"/>
  <c r="BM8" i="3"/>
  <c r="CD39" i="3"/>
  <c r="AQ39" i="3"/>
  <c r="BY15" i="3"/>
  <c r="BA15" i="3"/>
  <c r="AV28" i="3"/>
  <c r="AS44" i="3"/>
  <c r="BE14" i="3"/>
  <c r="AV14" i="3"/>
  <c r="AU14" i="3"/>
  <c r="BS21" i="3"/>
  <c r="AV21" i="3"/>
  <c r="AT38" i="3"/>
  <c r="CH51" i="3"/>
  <c r="AV51" i="3"/>
  <c r="CC70" i="3"/>
  <c r="BR70" i="3"/>
  <c r="BT72" i="3"/>
  <c r="CE13" i="3"/>
  <c r="BV18" i="3"/>
  <c r="CB10" i="3"/>
  <c r="AT80" i="3"/>
  <c r="BH12" i="3"/>
  <c r="AJ5" i="3"/>
  <c r="BZ40" i="3"/>
  <c r="BV40" i="3"/>
  <c r="CD16" i="3"/>
  <c r="BN16" i="3"/>
  <c r="AP19" i="3"/>
  <c r="BH24" i="3"/>
  <c r="AN60" i="3"/>
  <c r="BQ46" i="3"/>
  <c r="BU43" i="3"/>
  <c r="AT69" i="3"/>
  <c r="AJ64" i="3"/>
  <c r="BP64" i="3"/>
  <c r="CD74" i="3"/>
  <c r="CK75" i="3"/>
  <c r="BW75" i="3"/>
  <c r="CA76" i="3"/>
  <c r="AW77" i="3"/>
  <c r="BB8" i="3"/>
  <c r="BW8" i="3"/>
  <c r="BD8" i="3"/>
  <c r="AX39" i="3"/>
  <c r="BT39" i="3"/>
  <c r="AT15" i="3"/>
  <c r="BZ15" i="3"/>
  <c r="AU28" i="3"/>
  <c r="CM44" i="3"/>
  <c r="AJ44" i="3"/>
  <c r="AK14" i="3"/>
  <c r="CK14" i="3"/>
  <c r="AQ14" i="3"/>
  <c r="AP21" i="3"/>
  <c r="BC21" i="3"/>
  <c r="BA38" i="3"/>
  <c r="BB51" i="3"/>
  <c r="CF51" i="3"/>
  <c r="BQ70" i="3"/>
  <c r="AL72" i="3"/>
  <c r="BS13" i="3"/>
  <c r="AS10" i="3"/>
  <c r="AK25" i="3"/>
  <c r="BD80" i="3"/>
  <c r="BA12" i="3"/>
  <c r="BN5" i="3"/>
  <c r="BY5" i="3"/>
  <c r="AZ40" i="3"/>
  <c r="BT40" i="3"/>
  <c r="AY16" i="3"/>
  <c r="CM16" i="3"/>
  <c r="AO19" i="3"/>
  <c r="BG24" i="3"/>
  <c r="BQ60" i="3"/>
  <c r="CJ60" i="3"/>
  <c r="BM20" i="3"/>
  <c r="BW20" i="3"/>
  <c r="BQ20" i="3"/>
  <c r="AV37" i="3"/>
  <c r="BX37" i="3"/>
  <c r="BL6" i="3"/>
  <c r="CF9" i="3"/>
  <c r="AT9" i="3"/>
  <c r="BE9" i="3"/>
  <c r="CC71" i="3"/>
  <c r="BS71" i="3"/>
  <c r="AO7" i="3"/>
  <c r="AL7" i="3"/>
  <c r="AQ22" i="3"/>
  <c r="AZ26" i="3"/>
  <c r="AS26" i="3"/>
  <c r="AO26" i="3"/>
  <c r="AS32" i="3"/>
  <c r="BY27" i="3"/>
  <c r="BH34" i="3"/>
  <c r="AX11" i="3"/>
  <c r="CJ11" i="3"/>
  <c r="AP33" i="3"/>
  <c r="CM57" i="3"/>
  <c r="BA57" i="3"/>
  <c r="CF59" i="3"/>
  <c r="CH59" i="3"/>
  <c r="BP46" i="3"/>
  <c r="BA43" i="3"/>
  <c r="BP69" i="3"/>
  <c r="BJ64" i="3"/>
  <c r="BD64" i="3"/>
  <c r="AP74" i="3"/>
  <c r="BK75" i="3"/>
  <c r="BU75" i="3"/>
  <c r="BX76" i="3"/>
  <c r="CC8" i="3"/>
  <c r="BE8" i="3"/>
  <c r="BG8" i="3"/>
  <c r="CB39" i="3"/>
  <c r="BM39" i="3"/>
  <c r="BX15" i="3"/>
  <c r="CF15" i="3"/>
  <c r="CN28" i="3"/>
  <c r="AQ44" i="3"/>
  <c r="BR44" i="3"/>
  <c r="CF14" i="3"/>
  <c r="AM14" i="3"/>
  <c r="BR21" i="3"/>
  <c r="BB21" i="3"/>
  <c r="BZ51" i="3"/>
  <c r="CG51" i="3"/>
  <c r="BP70" i="3"/>
  <c r="BH72" i="3"/>
  <c r="BP13" i="3"/>
  <c r="BZ10" i="3"/>
  <c r="AJ25" i="3"/>
  <c r="BB80" i="3"/>
  <c r="AU12" i="3"/>
  <c r="BM5" i="3"/>
  <c r="BO5" i="3"/>
  <c r="BH40" i="3"/>
  <c r="CC16" i="3"/>
  <c r="AV16" i="3"/>
  <c r="AN19" i="3"/>
  <c r="AT24" i="3"/>
  <c r="AM60" i="3"/>
  <c r="BG60" i="3"/>
  <c r="AO20" i="3"/>
  <c r="BB20" i="3"/>
  <c r="BL20" i="3"/>
  <c r="CE37" i="3"/>
  <c r="AZ37" i="3"/>
  <c r="CN6" i="3"/>
  <c r="BJ9" i="3"/>
  <c r="CK9" i="3"/>
  <c r="BM9" i="3"/>
  <c r="CF71" i="3"/>
  <c r="BG71" i="3"/>
  <c r="BL71" i="3"/>
  <c r="BW7" i="3"/>
  <c r="AP22" i="3"/>
  <c r="BR26" i="3"/>
  <c r="CG26" i="3"/>
  <c r="AL26" i="3"/>
  <c r="CB32" i="3"/>
  <c r="BX27" i="3"/>
  <c r="AL34" i="3"/>
  <c r="CA11" i="3"/>
  <c r="BU11" i="3"/>
  <c r="AN33" i="3"/>
  <c r="CM54" i="3"/>
  <c r="AY57" i="3"/>
  <c r="BV57" i="3"/>
  <c r="BK59" i="3"/>
  <c r="BN59" i="3"/>
  <c r="AZ59" i="3"/>
  <c r="BV67" i="3"/>
  <c r="CN47" i="3"/>
  <c r="AY31" i="3"/>
  <c r="AQ50" i="3"/>
  <c r="AX30" i="3"/>
  <c r="BW73" i="3"/>
  <c r="CE73" i="3"/>
  <c r="BP53" i="3"/>
  <c r="BE53" i="3"/>
  <c r="BT53" i="3"/>
  <c r="AQ82" i="3"/>
  <c r="CF82" i="3"/>
  <c r="BO82" i="3"/>
  <c r="BS52" i="3"/>
  <c r="CI52" i="3"/>
  <c r="AL68" i="3"/>
  <c r="CL68" i="3"/>
  <c r="BS68" i="3"/>
  <c r="CM55" i="3"/>
  <c r="AY55" i="3"/>
  <c r="CH61" i="3"/>
  <c r="BL61" i="3"/>
  <c r="CD78" i="3"/>
  <c r="BR79" i="3"/>
  <c r="CB79" i="3"/>
  <c r="CH81" i="3"/>
  <c r="CK81" i="3"/>
  <c r="AX81" i="3"/>
  <c r="AN65" i="3"/>
  <c r="CM65" i="3"/>
  <c r="CH58" i="3"/>
  <c r="CM23" i="3"/>
  <c r="BV22" i="3"/>
  <c r="BM41" i="3"/>
  <c r="AZ19" i="3"/>
  <c r="AC19" i="3"/>
  <c r="BS12" i="3"/>
  <c r="BC17" i="3"/>
  <c r="BC23" i="3"/>
  <c r="AG23" i="3"/>
  <c r="AV46" i="3"/>
  <c r="AZ43" i="3"/>
  <c r="BM69" i="3"/>
  <c r="BI64" i="3"/>
  <c r="BZ64" i="3"/>
  <c r="CB74" i="3"/>
  <c r="BI75" i="3"/>
  <c r="AK75" i="3"/>
  <c r="BV76" i="3"/>
  <c r="AZ8" i="3"/>
  <c r="CK8" i="3"/>
  <c r="AW39" i="3"/>
  <c r="BK39" i="3"/>
  <c r="AS15" i="3"/>
  <c r="BJ15" i="3"/>
  <c r="BS28" i="3"/>
  <c r="CL44" i="3"/>
  <c r="AX44" i="3"/>
  <c r="BD14" i="3"/>
  <c r="CJ14" i="3"/>
  <c r="AO21" i="3"/>
  <c r="BA21" i="3"/>
  <c r="BM38" i="3"/>
  <c r="AP51" i="3"/>
  <c r="BN70" i="3"/>
  <c r="CF72" i="3"/>
  <c r="CN72" i="3"/>
  <c r="AM13" i="3"/>
  <c r="AR10" i="3"/>
  <c r="CJ25" i="3"/>
  <c r="CH80" i="3"/>
  <c r="AT12" i="3"/>
  <c r="BL5" i="3"/>
  <c r="AZ5" i="3"/>
  <c r="AW40" i="3"/>
  <c r="CN48" i="3"/>
  <c r="AX16" i="3"/>
  <c r="CL16" i="3"/>
  <c r="AM19" i="3"/>
  <c r="AS24" i="3"/>
  <c r="BP60" i="3"/>
  <c r="BF60" i="3"/>
  <c r="CF20" i="3"/>
  <c r="CN20" i="3"/>
  <c r="BA20" i="3"/>
  <c r="AU37" i="3"/>
  <c r="CC6" i="3"/>
  <c r="AM9" i="3"/>
  <c r="AQ9" i="3"/>
  <c r="AV9" i="3"/>
  <c r="CJ71" i="3"/>
  <c r="AL71" i="3"/>
  <c r="BD71" i="3"/>
  <c r="BU7" i="3"/>
  <c r="CG41" i="3"/>
  <c r="AO22" i="3"/>
  <c r="AY26" i="3"/>
  <c r="BK26" i="3"/>
  <c r="CB26" i="3"/>
  <c r="CA32" i="3"/>
  <c r="BW27" i="3"/>
  <c r="AW11" i="3"/>
  <c r="BL11" i="3"/>
  <c r="BO54" i="3"/>
  <c r="CD57" i="3"/>
  <c r="BU57" i="3"/>
  <c r="AN59" i="3"/>
  <c r="AP59" i="3"/>
  <c r="CM59" i="3"/>
  <c r="AT67" i="3"/>
  <c r="CJ47" i="3"/>
  <c r="CF31" i="3"/>
  <c r="BY50" i="3"/>
  <c r="BA56" i="3"/>
  <c r="AU73" i="3"/>
  <c r="CD73" i="3"/>
  <c r="AU53" i="3"/>
  <c r="CE53" i="3"/>
  <c r="BQ53" i="3"/>
  <c r="BR82" i="3"/>
  <c r="BK82" i="3"/>
  <c r="CE82" i="3"/>
  <c r="AR52" i="3"/>
  <c r="CH52" i="3"/>
  <c r="CK68" i="3"/>
  <c r="BH68" i="3"/>
  <c r="BQ68" i="3"/>
  <c r="BJ55" i="3"/>
  <c r="AT55" i="3"/>
  <c r="BH61" i="3"/>
  <c r="CF61" i="3"/>
  <c r="AO79" i="3"/>
  <c r="CA79" i="3"/>
  <c r="BM81" i="3"/>
  <c r="BP81" i="3"/>
  <c r="BQ81" i="3"/>
  <c r="BL65" i="3"/>
  <c r="BG65" i="3"/>
  <c r="AJ58" i="3"/>
  <c r="BS30" i="3"/>
  <c r="CN26" i="3"/>
  <c r="CM70" i="3"/>
  <c r="CE19" i="3"/>
  <c r="CN19" i="3"/>
  <c r="AJ13" i="3"/>
  <c r="CB17" i="3"/>
  <c r="BT23" i="3"/>
  <c r="CE23" i="3"/>
  <c r="CE29" i="3"/>
  <c r="BZ29" i="3"/>
  <c r="BX29" i="3"/>
  <c r="AL35" i="3"/>
  <c r="CK17" i="3"/>
  <c r="BN17" i="3"/>
  <c r="CI10" i="3"/>
  <c r="AZ18" i="3"/>
  <c r="CL24" i="3"/>
  <c r="AG24" i="3"/>
  <c r="CM25" i="3"/>
  <c r="BN7" i="3"/>
  <c r="AT5" i="3"/>
  <c r="BQ5" i="3"/>
  <c r="CJ17" i="3"/>
  <c r="AS46" i="3"/>
  <c r="AY43" i="3"/>
  <c r="CI69" i="3"/>
  <c r="BK69" i="3"/>
  <c r="BE64" i="3"/>
  <c r="BQ64" i="3"/>
  <c r="AN74" i="3"/>
  <c r="BC75" i="3"/>
  <c r="AQ75" i="3"/>
  <c r="BN76" i="3"/>
  <c r="BU8" i="3"/>
  <c r="AM8" i="3"/>
  <c r="AO39" i="3"/>
  <c r="AV39" i="3"/>
  <c r="BR15" i="3"/>
  <c r="CN15" i="3"/>
  <c r="AP44" i="3"/>
  <c r="BQ44" i="3"/>
  <c r="AJ14" i="3"/>
  <c r="CI14" i="3"/>
  <c r="BP21" i="3"/>
  <c r="BE21" i="3"/>
  <c r="CH38" i="3"/>
  <c r="BQ51" i="3"/>
  <c r="BP51" i="3"/>
  <c r="BM70" i="3"/>
  <c r="CM72" i="3"/>
  <c r="BG72" i="3"/>
  <c r="AN13" i="3"/>
  <c r="BW10" i="3"/>
  <c r="CI25" i="3"/>
  <c r="CE80" i="3"/>
  <c r="AS12" i="3"/>
  <c r="BF5" i="3"/>
  <c r="CA5" i="3"/>
  <c r="AO40" i="3"/>
  <c r="AP40" i="3"/>
  <c r="BJ48" i="3"/>
  <c r="CB16" i="3"/>
  <c r="CE16" i="3"/>
  <c r="AL19" i="3"/>
  <c r="BK24" i="3"/>
  <c r="AL60" i="3"/>
  <c r="CI60" i="3"/>
  <c r="BG20" i="3"/>
  <c r="AU20" i="3"/>
  <c r="AZ20" i="3"/>
  <c r="CC37" i="3"/>
  <c r="CL6" i="3"/>
  <c r="BM6" i="3"/>
  <c r="CC9" i="3"/>
  <c r="CJ9" i="3"/>
  <c r="BO71" i="3"/>
  <c r="CB71" i="3"/>
  <c r="BC71" i="3"/>
  <c r="BV7" i="3"/>
  <c r="CF41" i="3"/>
  <c r="AL22" i="3"/>
  <c r="BP26" i="3"/>
  <c r="AQ26" i="3"/>
  <c r="BY26" i="3"/>
  <c r="BZ32" i="3"/>
  <c r="BD27" i="3"/>
  <c r="BZ11" i="3"/>
  <c r="BF11" i="3"/>
  <c r="BN54" i="3"/>
  <c r="AX57" i="3"/>
  <c r="BT57" i="3"/>
  <c r="CC59" i="3"/>
  <c r="CL59" i="3"/>
  <c r="AY59" i="3"/>
  <c r="AS67" i="3"/>
  <c r="BV47" i="3"/>
  <c r="CE31" i="3"/>
  <c r="AP50" i="3"/>
  <c r="AQ30" i="3"/>
  <c r="AZ56" i="3"/>
  <c r="BU73" i="3"/>
  <c r="BT73" i="3"/>
  <c r="CK53" i="3"/>
  <c r="BA53" i="3"/>
  <c r="BJ53" i="3"/>
  <c r="AW82" i="3"/>
  <c r="AK82" i="3"/>
  <c r="CD82" i="3"/>
  <c r="BR52" i="3"/>
  <c r="CF52" i="3"/>
  <c r="BG68" i="3"/>
  <c r="AJ68" i="3"/>
  <c r="BK68" i="3"/>
  <c r="AN55" i="3"/>
  <c r="BZ55" i="3"/>
  <c r="CG61" i="3"/>
  <c r="CE61" i="3"/>
  <c r="BO79" i="3"/>
  <c r="BY79" i="3"/>
  <c r="AN81" i="3"/>
  <c r="AQ81" i="3"/>
  <c r="BG81" i="3"/>
  <c r="AM65" i="3"/>
  <c r="BC65" i="3"/>
  <c r="CN58" i="3"/>
  <c r="BY21" i="3"/>
  <c r="CE14" i="3"/>
  <c r="CL73" i="3"/>
  <c r="AY19" i="3"/>
  <c r="BX19" i="3"/>
  <c r="BN13" i="3"/>
  <c r="AS18" i="3"/>
  <c r="CJ23" i="3"/>
  <c r="BN23" i="3"/>
  <c r="BO29" i="3"/>
  <c r="BJ29" i="3"/>
  <c r="BC29" i="3"/>
  <c r="AK35" i="3"/>
  <c r="BE17" i="3"/>
  <c r="AX17" i="3"/>
  <c r="BC10" i="3"/>
  <c r="BY18" i="3"/>
  <c r="BT24" i="3"/>
  <c r="AR46" i="3"/>
  <c r="AT43" i="3"/>
  <c r="CM69" i="3"/>
  <c r="BJ69" i="3"/>
  <c r="BY64" i="3"/>
  <c r="CF64" i="3"/>
  <c r="CA74" i="3"/>
  <c r="AX75" i="3"/>
  <c r="AO75" i="3"/>
  <c r="AN76" i="3"/>
  <c r="AW8" i="3"/>
  <c r="CH8" i="3"/>
  <c r="CI39" i="3"/>
  <c r="CK39" i="3"/>
  <c r="AT39" i="3"/>
  <c r="AR15" i="3"/>
  <c r="BN15" i="3"/>
  <c r="CK44" i="3"/>
  <c r="BP44" i="3"/>
  <c r="CC14" i="3"/>
  <c r="BR14" i="3"/>
  <c r="AN21" i="3"/>
  <c r="AJ21" i="3"/>
  <c r="CG38" i="3"/>
  <c r="BN51" i="3"/>
  <c r="BO51" i="3"/>
  <c r="CN70" i="3"/>
  <c r="AZ72" i="3"/>
  <c r="AT72" i="3"/>
  <c r="BO13" i="3"/>
  <c r="BH10" i="3"/>
  <c r="BI10" i="3"/>
  <c r="BU25" i="3"/>
  <c r="CL80" i="3"/>
  <c r="AL12" i="3"/>
  <c r="AX5" i="3"/>
  <c r="BX5" i="3"/>
  <c r="CD63" i="3"/>
  <c r="BA42" i="3"/>
  <c r="BG40" i="3"/>
  <c r="AM40" i="3"/>
  <c r="BI48" i="3"/>
  <c r="AW16" i="3"/>
  <c r="CA16" i="3"/>
  <c r="AK19" i="3"/>
  <c r="AR24" i="3"/>
  <c r="CH60" i="3"/>
  <c r="CA60" i="3"/>
  <c r="AM20" i="3"/>
  <c r="CM20" i="3"/>
  <c r="AP29" i="3"/>
  <c r="AT37" i="3"/>
  <c r="AP6" i="3"/>
  <c r="BK6" i="3"/>
  <c r="BD9" i="3"/>
  <c r="BS9" i="3"/>
  <c r="CN45" i="3"/>
  <c r="AU71" i="3"/>
  <c r="BE71" i="3"/>
  <c r="BB71" i="3"/>
  <c r="BS7" i="3"/>
  <c r="CE41" i="3"/>
  <c r="AJ22" i="3"/>
  <c r="AW26" i="3"/>
  <c r="BQ26" i="3"/>
  <c r="CF26" i="3"/>
  <c r="BY32" i="3"/>
  <c r="BA27" i="3"/>
  <c r="AV11" i="3"/>
  <c r="BT11" i="3"/>
  <c r="BM54" i="3"/>
  <c r="CC57" i="3"/>
  <c r="BQ57" i="3"/>
  <c r="BE59" i="3"/>
  <c r="AX59" i="3"/>
  <c r="BR59" i="3"/>
  <c r="AR67" i="3"/>
  <c r="AW47" i="3"/>
  <c r="CD31" i="3"/>
  <c r="BR50" i="3"/>
  <c r="AP30" i="3"/>
  <c r="AU56" i="3"/>
  <c r="AS73" i="3"/>
  <c r="BK73" i="3"/>
  <c r="BO53" i="3"/>
  <c r="CC53" i="3"/>
  <c r="BI53" i="3"/>
  <c r="BQ82" i="3"/>
  <c r="BY82" i="3"/>
  <c r="CC82" i="3"/>
  <c r="AM52" i="3"/>
  <c r="CB52" i="3"/>
  <c r="CJ68" i="3"/>
  <c r="AQ68" i="3"/>
  <c r="BE68" i="3"/>
  <c r="CL55" i="3"/>
  <c r="BQ55" i="3"/>
  <c r="BG61" i="3"/>
  <c r="CD61" i="3"/>
  <c r="AM79" i="3"/>
  <c r="BL79" i="3"/>
  <c r="CG81" i="3"/>
  <c r="CJ81" i="3"/>
  <c r="BA81" i="3"/>
  <c r="CJ65" i="3"/>
  <c r="AR65" i="3"/>
  <c r="CM58" i="3"/>
  <c r="CF7" i="3"/>
  <c r="CE50" i="3"/>
  <c r="BS56" i="3"/>
  <c r="BO19" i="3"/>
  <c r="BH19" i="3"/>
  <c r="CM13" i="3"/>
  <c r="BW18" i="3"/>
  <c r="BS23" i="3"/>
  <c r="AW23" i="3"/>
  <c r="AY29" i="3"/>
  <c r="CJ29" i="3"/>
  <c r="AH29" i="3"/>
  <c r="AJ35" i="3"/>
  <c r="AO17" i="3"/>
  <c r="CC17" i="3"/>
  <c r="AM10" i="3"/>
  <c r="BQ19" i="3"/>
  <c r="BC24" i="3"/>
  <c r="BO24" i="3"/>
  <c r="CM29" i="3"/>
  <c r="AQ46" i="3"/>
  <c r="CN43" i="3"/>
  <c r="AS69" i="3"/>
  <c r="BH69" i="3"/>
  <c r="AP64" i="3"/>
  <c r="CL64" i="3"/>
  <c r="AK74" i="3"/>
  <c r="CI75" i="3"/>
  <c r="AM75" i="3"/>
  <c r="CG77" i="3"/>
  <c r="BT8" i="3"/>
  <c r="AL8" i="3"/>
  <c r="BC39" i="3"/>
  <c r="AN39" i="3"/>
  <c r="AP39" i="3"/>
  <c r="BQ15" i="3"/>
  <c r="CH15" i="3"/>
  <c r="AO44" i="3"/>
  <c r="BN44" i="3"/>
  <c r="BB14" i="3"/>
  <c r="CD14" i="3"/>
  <c r="CN21" i="3"/>
  <c r="CJ21" i="3"/>
  <c r="CF38" i="3"/>
  <c r="AJ51" i="3"/>
  <c r="AW51" i="3"/>
  <c r="AL70" i="3"/>
  <c r="CJ72" i="3"/>
  <c r="AK72" i="3"/>
  <c r="BC13" i="3"/>
  <c r="BG10" i="3"/>
  <c r="BQ10" i="3"/>
  <c r="AM25" i="3"/>
  <c r="CJ80" i="3"/>
  <c r="AK12" i="3"/>
  <c r="AV5" i="3"/>
  <c r="BV5" i="3"/>
  <c r="CB63" i="3"/>
  <c r="AY42" i="3"/>
  <c r="CN40" i="3"/>
  <c r="AL40" i="3"/>
  <c r="BE48" i="3"/>
  <c r="BZ16" i="3"/>
  <c r="BM16" i="3"/>
  <c r="BL19" i="3"/>
  <c r="AQ24" i="3"/>
  <c r="BD60" i="3"/>
  <c r="BT60" i="3"/>
  <c r="CE20" i="3"/>
  <c r="AN20" i="3"/>
  <c r="AL29" i="3"/>
  <c r="CB37" i="3"/>
  <c r="CK6" i="3"/>
  <c r="BY6" i="3"/>
  <c r="AK9" i="3"/>
  <c r="AP9" i="3"/>
  <c r="CJ45" i="3"/>
  <c r="CI71" i="3"/>
  <c r="AK71" i="3"/>
  <c r="CG71" i="3"/>
  <c r="BY7" i="3"/>
  <c r="CD41" i="3"/>
  <c r="AM22" i="3"/>
  <c r="CM26" i="3"/>
  <c r="BJ26" i="3"/>
  <c r="AN26" i="3"/>
  <c r="BW32" i="3"/>
  <c r="AP27" i="3"/>
  <c r="CM11" i="3"/>
  <c r="AT11" i="3"/>
  <c r="BN11" i="3"/>
  <c r="BG49" i="3"/>
  <c r="BH54" i="3"/>
  <c r="AW57" i="3"/>
  <c r="AK59" i="3"/>
  <c r="CK59" i="3"/>
  <c r="BP59" i="3"/>
  <c r="AK67" i="3"/>
  <c r="AV47" i="3"/>
  <c r="CA31" i="3"/>
  <c r="AK50" i="3"/>
  <c r="AO30" i="3"/>
  <c r="AT56" i="3"/>
  <c r="BQ73" i="3"/>
  <c r="BI73" i="3"/>
  <c r="AS53" i="3"/>
  <c r="AY53" i="3"/>
  <c r="AN53" i="3"/>
  <c r="AV82" i="3"/>
  <c r="AY82" i="3"/>
  <c r="CB82" i="3"/>
  <c r="BQ52" i="3"/>
  <c r="BU52" i="3"/>
  <c r="BF68" i="3"/>
  <c r="AP68" i="3"/>
  <c r="BI55" i="3"/>
  <c r="AJ55" i="3"/>
  <c r="BP61" i="3"/>
  <c r="CC61" i="3"/>
  <c r="BM79" i="3"/>
  <c r="BB79" i="3"/>
  <c r="BL81" i="3"/>
  <c r="BO81" i="3"/>
  <c r="AZ81" i="3"/>
  <c r="BA65" i="3"/>
  <c r="AQ65" i="3"/>
  <c r="CL58" i="3"/>
  <c r="CD13" i="3"/>
  <c r="CG27" i="3"/>
  <c r="BJ80" i="3"/>
  <c r="AI19" i="3"/>
  <c r="AR19" i="3"/>
  <c r="AT17" i="3"/>
  <c r="BM19" i="3"/>
  <c r="BB23" i="3"/>
  <c r="AF23" i="3"/>
  <c r="AI29" i="3"/>
  <c r="BN29" i="3"/>
  <c r="BW29" i="3"/>
  <c r="AQ35" i="3"/>
  <c r="BU17" i="3"/>
  <c r="BM17" i="3"/>
  <c r="CH10" i="3"/>
  <c r="BV46" i="3"/>
  <c r="AP46" i="3"/>
  <c r="BP43" i="3"/>
  <c r="CK69" i="3"/>
  <c r="AQ69" i="3"/>
  <c r="BX64" i="3"/>
  <c r="CG64" i="3"/>
  <c r="BD74" i="3"/>
  <c r="AU75" i="3"/>
  <c r="BS75" i="3"/>
  <c r="AU76" i="3"/>
  <c r="AO77" i="3"/>
  <c r="AQ8" i="3"/>
  <c r="CM8" i="3"/>
  <c r="AJ39" i="3"/>
  <c r="CJ39" i="3"/>
  <c r="AL39" i="3"/>
  <c r="AL15" i="3"/>
  <c r="CG15" i="3"/>
  <c r="CJ44" i="3"/>
  <c r="AZ44" i="3"/>
  <c r="CB14" i="3"/>
  <c r="AO14" i="3"/>
  <c r="BO21" i="3"/>
  <c r="CI21" i="3"/>
  <c r="CE38" i="3"/>
  <c r="BM51" i="3"/>
  <c r="AU51" i="3"/>
  <c r="CG70" i="3"/>
  <c r="AX72" i="3"/>
  <c r="AJ72" i="3"/>
  <c r="AO13" i="3"/>
  <c r="BA10" i="3"/>
  <c r="BP10" i="3"/>
  <c r="AL25" i="3"/>
  <c r="CN80" i="3"/>
  <c r="CL12" i="3"/>
  <c r="AU5" i="3"/>
  <c r="AY5" i="3"/>
  <c r="CA63" i="3"/>
  <c r="BY42" i="3"/>
  <c r="BF40" i="3"/>
  <c r="AK40" i="3"/>
  <c r="BD48" i="3"/>
  <c r="AU16" i="3"/>
  <c r="BE16" i="3"/>
  <c r="AQ19" i="3"/>
  <c r="CD60" i="3"/>
  <c r="BL60" i="3"/>
  <c r="BF20" i="3"/>
  <c r="CL20" i="3"/>
  <c r="AN29" i="3"/>
  <c r="AS37" i="3"/>
  <c r="AO6" i="3"/>
  <c r="BJ6" i="3"/>
  <c r="CB9" i="3"/>
  <c r="CI9" i="3"/>
  <c r="AV45" i="3"/>
  <c r="BN71" i="3"/>
  <c r="CM71" i="3"/>
  <c r="CA71" i="3"/>
  <c r="BB7" i="3"/>
  <c r="CC41" i="3"/>
  <c r="BE22" i="3"/>
  <c r="BO26" i="3"/>
  <c r="AK26" i="3"/>
  <c r="CE26" i="3"/>
  <c r="BP32" i="3"/>
  <c r="AN27" i="3"/>
  <c r="BJ11" i="3"/>
  <c r="BY11" i="3"/>
  <c r="BM11" i="3"/>
  <c r="AJ46" i="3"/>
  <c r="BA14" i="3"/>
  <c r="CD38" i="3"/>
  <c r="AQ25" i="3"/>
  <c r="AN16" i="3"/>
  <c r="AL20" i="3"/>
  <c r="BX6" i="3"/>
  <c r="AT71" i="3"/>
  <c r="AN22" i="3"/>
  <c r="AT32" i="3"/>
  <c r="BG11" i="3"/>
  <c r="BZ57" i="3"/>
  <c r="AT59" i="3"/>
  <c r="BQ67" i="3"/>
  <c r="BJ31" i="3"/>
  <c r="BM50" i="3"/>
  <c r="AY30" i="3"/>
  <c r="CA73" i="3"/>
  <c r="BX53" i="3"/>
  <c r="AL82" i="3"/>
  <c r="BC52" i="3"/>
  <c r="BV68" i="3"/>
  <c r="AM55" i="3"/>
  <c r="AQ61" i="3"/>
  <c r="CH78" i="3"/>
  <c r="BK79" i="3"/>
  <c r="AO81" i="3"/>
  <c r="BT81" i="3"/>
  <c r="BK65" i="3"/>
  <c r="BA58" i="3"/>
  <c r="BE66" i="3"/>
  <c r="CF19" i="3"/>
  <c r="BW23" i="3"/>
  <c r="BQ23" i="3"/>
  <c r="BM23" i="3"/>
  <c r="CA29" i="3"/>
  <c r="AD29" i="3"/>
  <c r="CL25" i="3"/>
  <c r="AW17" i="3"/>
  <c r="BC12" i="3"/>
  <c r="BD24" i="3"/>
  <c r="AF24" i="3"/>
  <c r="BD7" i="3"/>
  <c r="AF7" i="3"/>
  <c r="CH5" i="3"/>
  <c r="BW13" i="3"/>
  <c r="BU12" i="3"/>
  <c r="AX12" i="3"/>
  <c r="AH5" i="3"/>
  <c r="BU22" i="3"/>
  <c r="BJ30" i="3"/>
  <c r="BP30" i="3"/>
  <c r="CC30" i="3"/>
  <c r="BU35" i="3"/>
  <c r="CF35" i="3"/>
  <c r="AF35" i="3"/>
  <c r="AM5" i="3"/>
  <c r="AQ10" i="3"/>
  <c r="BA11" i="3"/>
  <c r="BE18" i="3"/>
  <c r="AP34" i="3"/>
  <c r="CK36" i="3"/>
  <c r="BY36" i="3"/>
  <c r="AC36" i="3"/>
  <c r="CH22" i="3"/>
  <c r="CD22" i="3"/>
  <c r="BW22" i="3"/>
  <c r="BT28" i="3"/>
  <c r="CB18" i="3"/>
  <c r="BE13" i="3"/>
  <c r="BE35" i="3"/>
  <c r="BK28" i="3"/>
  <c r="AM28" i="3"/>
  <c r="BY25" i="3"/>
  <c r="BM25" i="3"/>
  <c r="BA25" i="3"/>
  <c r="CE6" i="3"/>
  <c r="BQ13" i="3"/>
  <c r="AT13" i="3"/>
  <c r="AQ6" i="3"/>
  <c r="CA8" i="3"/>
  <c r="AB8" i="3"/>
  <c r="CM15" i="3"/>
  <c r="AM15" i="3"/>
  <c r="BC16" i="3"/>
  <c r="BO18" i="3"/>
  <c r="BU31" i="3"/>
  <c r="AT31" i="3"/>
  <c r="BJ34" i="3"/>
  <c r="AY34" i="3"/>
  <c r="BY31" i="3"/>
  <c r="BI38" i="3"/>
  <c r="BK27" i="3"/>
  <c r="AJ42" i="3"/>
  <c r="BD10" i="3"/>
  <c r="BJ21" i="3"/>
  <c r="CL9" i="3"/>
  <c r="CL15" i="3"/>
  <c r="AW33" i="3"/>
  <c r="AU38" i="3"/>
  <c r="CL38" i="3"/>
  <c r="AU43" i="3"/>
  <c r="CG43" i="3"/>
  <c r="CH49" i="3"/>
  <c r="AD21" i="3"/>
  <c r="AV42" i="3"/>
  <c r="BO27" i="3"/>
  <c r="BS32" i="3"/>
  <c r="BS33" i="3"/>
  <c r="BN33" i="3"/>
  <c r="AP43" i="3"/>
  <c r="AC33" i="3"/>
  <c r="BX41" i="3"/>
  <c r="AZ41" i="3"/>
  <c r="BU45" i="3"/>
  <c r="CB45" i="3"/>
  <c r="AD45" i="3"/>
  <c r="AL33" i="3"/>
  <c r="AJ48" i="3"/>
  <c r="BT49" i="3"/>
  <c r="BW49" i="3"/>
  <c r="CI49" i="3"/>
  <c r="AV49" i="3"/>
  <c r="AF15" i="3"/>
  <c r="BD43" i="3"/>
  <c r="BQ14" i="3"/>
  <c r="CH72" i="3"/>
  <c r="BW16" i="3"/>
  <c r="BX20" i="3"/>
  <c r="BJ71" i="3"/>
  <c r="BC22" i="3"/>
  <c r="BD11" i="3"/>
  <c r="AW59" i="3"/>
  <c r="AU67" i="3"/>
  <c r="BC31" i="3"/>
  <c r="BK50" i="3"/>
  <c r="AK56" i="3"/>
  <c r="AX73" i="3"/>
  <c r="BD53" i="3"/>
  <c r="BT82" i="3"/>
  <c r="AK52" i="3"/>
  <c r="BD68" i="3"/>
  <c r="BY55" i="3"/>
  <c r="BO61" i="3"/>
  <c r="CF78" i="3"/>
  <c r="BG79" i="3"/>
  <c r="AM81" i="3"/>
  <c r="BS81" i="3"/>
  <c r="BJ65" i="3"/>
  <c r="AZ58" i="3"/>
  <c r="CK18" i="3"/>
  <c r="BP19" i="3"/>
  <c r="BS25" i="3"/>
  <c r="BA23" i="3"/>
  <c r="CC23" i="3"/>
  <c r="BK29" i="3"/>
  <c r="BV29" i="3"/>
  <c r="CL29" i="3"/>
  <c r="CA17" i="3"/>
  <c r="CA12" i="3"/>
  <c r="CM24" i="3"/>
  <c r="CF24" i="3"/>
  <c r="CE7" i="3"/>
  <c r="BK7" i="3"/>
  <c r="BB5" i="3"/>
  <c r="BH17" i="3"/>
  <c r="BE12" i="3"/>
  <c r="CC12" i="3"/>
  <c r="BG7" i="3"/>
  <c r="BE23" i="3"/>
  <c r="AT30" i="3"/>
  <c r="CJ30" i="3"/>
  <c r="BC30" i="3"/>
  <c r="BC35" i="3"/>
  <c r="BO35" i="3"/>
  <c r="BK35" i="3"/>
  <c r="AL5" i="3"/>
  <c r="BN10" i="3"/>
  <c r="AZ11" i="3"/>
  <c r="CG18" i="3"/>
  <c r="AO34" i="3"/>
  <c r="BT36" i="3"/>
  <c r="AS36" i="3"/>
  <c r="CB36" i="3"/>
  <c r="BQ22" i="3"/>
  <c r="BM22" i="3"/>
  <c r="BG23" i="3"/>
  <c r="AT29" i="3"/>
  <c r="BL18" i="3"/>
  <c r="CI13" i="3"/>
  <c r="AL17" i="3"/>
  <c r="AR28" i="3"/>
  <c r="BX28" i="3"/>
  <c r="BI25" i="3"/>
  <c r="CE25" i="3"/>
  <c r="CM6" i="3"/>
  <c r="AI6" i="3"/>
  <c r="BA13" i="3"/>
  <c r="AD13" i="3"/>
  <c r="AL6" i="3"/>
  <c r="BK8" i="3"/>
  <c r="BC8" i="3"/>
  <c r="BW15" i="3"/>
  <c r="BM15" i="3"/>
  <c r="BB16" i="3"/>
  <c r="CN18" i="3"/>
  <c r="BE31" i="3"/>
  <c r="BO31" i="3"/>
  <c r="AX36" i="3"/>
  <c r="AI34" i="3"/>
  <c r="AB34" i="3"/>
  <c r="CI38" i="3"/>
  <c r="CD27" i="3"/>
  <c r="AQ42" i="3"/>
  <c r="BT10" i="3"/>
  <c r="CA21" i="3"/>
  <c r="AR14" i="3"/>
  <c r="AM16" i="3"/>
  <c r="CA33" i="3"/>
  <c r="AE38" i="3"/>
  <c r="BU38" i="3"/>
  <c r="AE43" i="3"/>
  <c r="BL43" i="3"/>
  <c r="AC9" i="3"/>
  <c r="AU21" i="3"/>
  <c r="AD43" i="3"/>
  <c r="CJ27" i="3"/>
  <c r="BC32" i="3"/>
  <c r="BC33" i="3"/>
  <c r="AX33" i="3"/>
  <c r="AJ43" i="3"/>
  <c r="BG33" i="3"/>
  <c r="BF41" i="3"/>
  <c r="AH41" i="3"/>
  <c r="BE45" i="3"/>
  <c r="BF45" i="3"/>
  <c r="BS45" i="3"/>
  <c r="AK33" i="3"/>
  <c r="AN48" i="3"/>
  <c r="BC49" i="3"/>
  <c r="AU49" i="3"/>
  <c r="BI49" i="3"/>
  <c r="AF27" i="3"/>
  <c r="AV15" i="3"/>
  <c r="BA74" i="3"/>
  <c r="BS8" i="3"/>
  <c r="BL72" i="3"/>
  <c r="AO16" i="3"/>
  <c r="BC20" i="3"/>
  <c r="CG75" i="3"/>
  <c r="AR76" i="3"/>
  <c r="CI8" i="3"/>
  <c r="BL51" i="3"/>
  <c r="BL16" i="3"/>
  <c r="CH20" i="3"/>
  <c r="BK9" i="3"/>
  <c r="BR71" i="3"/>
  <c r="BS26" i="3"/>
  <c r="BW11" i="3"/>
  <c r="CD59" i="3"/>
  <c r="BA31" i="3"/>
  <c r="AW50" i="3"/>
  <c r="AW56" i="3"/>
  <c r="BG73" i="3"/>
  <c r="BF53" i="3"/>
  <c r="AN87" i="3"/>
  <c r="BD82" i="3"/>
  <c r="BA75" i="3"/>
  <c r="AM77" i="3"/>
  <c r="AT51" i="3"/>
  <c r="CM40" i="3"/>
  <c r="AV19" i="3"/>
  <c r="AW20" i="3"/>
  <c r="AN9" i="3"/>
  <c r="BU71" i="3"/>
  <c r="AV26" i="3"/>
  <c r="AQ11" i="3"/>
  <c r="AL59" i="3"/>
  <c r="BP47" i="3"/>
  <c r="CC31" i="3"/>
  <c r="AJ50" i="3"/>
  <c r="AY56" i="3"/>
  <c r="BE73" i="3"/>
  <c r="CM53" i="3"/>
  <c r="AK87" i="3"/>
  <c r="BB82" i="3"/>
  <c r="BK63" i="3"/>
  <c r="BA40" i="3"/>
  <c r="CI19" i="3"/>
  <c r="AV20" i="3"/>
  <c r="BC9" i="3"/>
  <c r="BT71" i="3"/>
  <c r="CH26" i="3"/>
  <c r="AQ27" i="3"/>
  <c r="AM11" i="3"/>
  <c r="AL54" i="3"/>
  <c r="BU59" i="3"/>
  <c r="BN47" i="3"/>
  <c r="BG50" i="3"/>
  <c r="BQ50" i="3"/>
  <c r="CI56" i="3"/>
  <c r="CJ73" i="3"/>
  <c r="CB53" i="3"/>
  <c r="BA82" i="3"/>
  <c r="AV52" i="3"/>
  <c r="BX68" i="3"/>
  <c r="BF55" i="3"/>
  <c r="AT61" i="3"/>
  <c r="AQ79" i="3"/>
  <c r="AJ81" i="3"/>
  <c r="BX65" i="3"/>
  <c r="AK65" i="3"/>
  <c r="CL52" i="3"/>
  <c r="BJ19" i="3"/>
  <c r="BQ18" i="3"/>
  <c r="CK23" i="3"/>
  <c r="CB23" i="3"/>
  <c r="BI29" i="3"/>
  <c r="AL23" i="3"/>
  <c r="CG17" i="3"/>
  <c r="BN19" i="3"/>
  <c r="CI17" i="3"/>
  <c r="CJ24" i="3"/>
  <c r="BL24" i="3"/>
  <c r="AV7" i="3"/>
  <c r="BJ5" i="3"/>
  <c r="BS6" i="3"/>
  <c r="BI22" i="3"/>
  <c r="BP12" i="3"/>
  <c r="AG12" i="3"/>
  <c r="CN10" i="3"/>
  <c r="AK24" i="3"/>
  <c r="AS30" i="3"/>
  <c r="CH30" i="3"/>
  <c r="AG30" i="3"/>
  <c r="CI35" i="3"/>
  <c r="AU35" i="3"/>
  <c r="CC35" i="3"/>
  <c r="AT6" i="3"/>
  <c r="AR11" i="3"/>
  <c r="BP11" i="3"/>
  <c r="CC24" i="3"/>
  <c r="CG36" i="3"/>
  <c r="BB36" i="3"/>
  <c r="BN36" i="3"/>
  <c r="AB36" i="3"/>
  <c r="BP22" i="3"/>
  <c r="BL22" i="3"/>
  <c r="CF13" i="3"/>
  <c r="CH18" i="3"/>
  <c r="BK18" i="3"/>
  <c r="AL18" i="3"/>
  <c r="CM18" i="3"/>
  <c r="CB28" i="3"/>
  <c r="BD28" i="3"/>
  <c r="CH39" i="3"/>
  <c r="BV12" i="3"/>
  <c r="AJ40" i="3"/>
  <c r="BI24" i="3"/>
  <c r="AO29" i="3"/>
  <c r="BT9" i="3"/>
  <c r="BA71" i="3"/>
  <c r="BL26" i="3"/>
  <c r="BG27" i="3"/>
  <c r="BK11" i="3"/>
  <c r="AN54" i="3"/>
  <c r="BT59" i="3"/>
  <c r="BM47" i="3"/>
  <c r="CG50" i="3"/>
  <c r="BA73" i="3"/>
  <c r="AX53" i="3"/>
  <c r="AZ82" i="3"/>
  <c r="BZ52" i="3"/>
  <c r="AZ68" i="3"/>
  <c r="BE55" i="3"/>
  <c r="AS61" i="3"/>
  <c r="BU79" i="3"/>
  <c r="CC81" i="3"/>
  <c r="AS65" i="3"/>
  <c r="AJ65" i="3"/>
  <c r="CB15" i="3"/>
  <c r="CL61" i="3"/>
  <c r="AT19" i="3"/>
  <c r="CH19" i="3"/>
  <c r="CI23" i="3"/>
  <c r="BK23" i="3"/>
  <c r="CH29" i="3"/>
  <c r="AJ23" i="3"/>
  <c r="BQ17" i="3"/>
  <c r="AC7" i="3"/>
  <c r="BH22" i="3"/>
  <c r="BA24" i="3"/>
  <c r="AU24" i="3"/>
  <c r="AE7" i="3"/>
  <c r="AD5" i="3"/>
  <c r="BE7" i="3"/>
  <c r="AS23" i="3"/>
  <c r="AZ12" i="3"/>
  <c r="BL12" i="3"/>
  <c r="AD12" i="3"/>
  <c r="AJ24" i="3"/>
  <c r="AC30" i="3"/>
  <c r="BM30" i="3"/>
  <c r="BR30" i="3"/>
  <c r="BR35" i="3"/>
  <c r="BZ35" i="3"/>
  <c r="AW35" i="3"/>
  <c r="BU6" i="3"/>
  <c r="AB11" i="3"/>
  <c r="CE11" i="3"/>
  <c r="AD25" i="3"/>
  <c r="BQ36" i="3"/>
  <c r="CI36" i="3"/>
  <c r="BM36" i="3"/>
  <c r="BF18" i="3"/>
  <c r="AY22" i="3"/>
  <c r="AU22" i="3"/>
  <c r="AM17" i="3"/>
  <c r="BR18" i="3"/>
  <c r="AM39" i="3"/>
  <c r="BS40" i="3"/>
  <c r="AW37" i="3"/>
  <c r="AY9" i="3"/>
  <c r="AP7" i="3"/>
  <c r="BI26" i="3"/>
  <c r="BF27" i="3"/>
  <c r="BT33" i="3"/>
  <c r="BY54" i="3"/>
  <c r="BS59" i="3"/>
  <c r="BH47" i="3"/>
  <c r="AT50" i="3"/>
  <c r="BZ73" i="3"/>
  <c r="CM73" i="3"/>
  <c r="BZ53" i="3"/>
  <c r="AT82" i="3"/>
  <c r="AU52" i="3"/>
  <c r="BW68" i="3"/>
  <c r="BD55" i="3"/>
  <c r="AR61" i="3"/>
  <c r="AP79" i="3"/>
  <c r="BC81" i="3"/>
  <c r="BU65" i="3"/>
  <c r="CA58" i="3"/>
  <c r="CK29" i="3"/>
  <c r="BY39" i="3"/>
  <c r="AD19" i="3"/>
  <c r="CN22" i="3"/>
  <c r="BR23" i="3"/>
  <c r="AT23" i="3"/>
  <c r="CG29" i="3"/>
  <c r="BU29" i="3"/>
  <c r="BA17" i="3"/>
  <c r="AP10" i="3"/>
  <c r="AR23" i="3"/>
  <c r="CI24" i="3"/>
  <c r="AD24" i="3"/>
  <c r="CD7" i="3"/>
  <c r="CK5" i="3"/>
  <c r="BH5" i="3"/>
  <c r="AC24" i="3"/>
  <c r="AV12" i="3"/>
  <c r="BZ12" i="3"/>
  <c r="BF12" i="3"/>
  <c r="AO24" i="3"/>
  <c r="CN30" i="3"/>
  <c r="CG30" i="3"/>
  <c r="AW30" i="3"/>
  <c r="BA35" i="3"/>
  <c r="AT35" i="3"/>
  <c r="CB35" i="3"/>
  <c r="AJ7" i="3"/>
  <c r="CI11" i="3"/>
  <c r="AC11" i="3"/>
  <c r="AZ25" i="3"/>
  <c r="BA36" i="3"/>
  <c r="BR36" i="3"/>
  <c r="AG36" i="3"/>
  <c r="CJ22" i="3"/>
  <c r="AH22" i="3"/>
  <c r="AD22" i="3"/>
  <c r="BL17" i="3"/>
  <c r="BB18" i="3"/>
  <c r="AE18" i="3"/>
  <c r="BH18" i="3"/>
  <c r="BZ22" i="3"/>
  <c r="AP28" i="3"/>
  <c r="AZ29" i="3"/>
  <c r="AR25" i="3"/>
  <c r="CB25" i="3"/>
  <c r="BO6" i="3"/>
  <c r="BP7" i="3"/>
  <c r="BL13" i="3"/>
  <c r="CF10" i="3"/>
  <c r="CF37" i="3"/>
  <c r="AL9" i="3"/>
  <c r="CK7" i="3"/>
  <c r="BB26" i="3"/>
  <c r="AK27" i="3"/>
  <c r="AR33" i="3"/>
  <c r="AP54" i="3"/>
  <c r="CA59" i="3"/>
  <c r="CN59" i="3"/>
  <c r="AX47" i="3"/>
  <c r="CC50" i="3"/>
  <c r="AN30" i="3"/>
  <c r="BY73" i="3"/>
  <c r="AQ73" i="3"/>
  <c r="AP53" i="3"/>
  <c r="BP82" i="3"/>
  <c r="AJ82" i="3"/>
  <c r="AQ85" i="3"/>
  <c r="AT52" i="3"/>
  <c r="AY68" i="3"/>
  <c r="AZ55" i="3"/>
  <c r="BQ61" i="3"/>
  <c r="BY66" i="3"/>
  <c r="AY79" i="3"/>
  <c r="CB81" i="3"/>
  <c r="AP65" i="3"/>
  <c r="BQ58" i="3"/>
  <c r="CG12" i="3"/>
  <c r="CN82" i="3"/>
  <c r="BY19" i="3"/>
  <c r="BX23" i="3"/>
  <c r="CH23" i="3"/>
  <c r="AC23" i="3"/>
  <c r="BG29" i="3"/>
  <c r="AN35" i="3"/>
  <c r="CF17" i="3"/>
  <c r="BS10" i="3"/>
  <c r="CD24" i="3"/>
  <c r="BQ24" i="3"/>
  <c r="AB24" i="3"/>
  <c r="AX7" i="3"/>
  <c r="BU5" i="3"/>
  <c r="AS6" i="3"/>
  <c r="BZ24" i="3"/>
  <c r="CE12" i="3"/>
  <c r="AQ13" i="3"/>
  <c r="CH12" i="3"/>
  <c r="CA24" i="3"/>
  <c r="BX30" i="3"/>
  <c r="BK30" i="3"/>
  <c r="BT30" i="3"/>
  <c r="CH35" i="3"/>
  <c r="BY35" i="3"/>
  <c r="AV35" i="3"/>
  <c r="AI5" i="3"/>
  <c r="BS11" i="3"/>
  <c r="AU11" i="3"/>
  <c r="BQ28" i="3"/>
  <c r="BX36" i="3"/>
  <c r="AZ36" i="3"/>
  <c r="BL36" i="3"/>
  <c r="BT22" i="3"/>
  <c r="CF22" i="3"/>
  <c r="CB22" i="3"/>
  <c r="AC18" i="3"/>
  <c r="CD18" i="3"/>
  <c r="BZ18" i="3"/>
  <c r="CL18" i="3"/>
  <c r="BJ23" i="3"/>
  <c r="CA28" i="3"/>
  <c r="AW36" i="3"/>
  <c r="AB25" i="3"/>
  <c r="BF25" i="3"/>
  <c r="AH6" i="3"/>
  <c r="BD6" i="3"/>
  <c r="AV13" i="3"/>
  <c r="AM21" i="3"/>
  <c r="BO10" i="3"/>
  <c r="BK48" i="3"/>
  <c r="BR60" i="3"/>
  <c r="CA37" i="3"/>
  <c r="BO9" i="3"/>
  <c r="BX7" i="3"/>
  <c r="AP26" i="3"/>
  <c r="CB27" i="3"/>
  <c r="BW33" i="3"/>
  <c r="BJ57" i="3"/>
  <c r="BM59" i="3"/>
  <c r="BG59" i="3"/>
  <c r="BX47" i="3"/>
  <c r="AS50" i="3"/>
  <c r="AM30" i="3"/>
  <c r="AW73" i="3"/>
  <c r="BV53" i="3"/>
  <c r="BY53" i="3"/>
  <c r="AU82" i="3"/>
  <c r="BZ82" i="3"/>
  <c r="CM52" i="3"/>
  <c r="CJ52" i="3"/>
  <c r="CM68" i="3"/>
  <c r="AV55" i="3"/>
  <c r="CH55" i="3"/>
  <c r="AM61" i="3"/>
  <c r="CB61" i="3"/>
  <c r="BW66" i="3"/>
  <c r="AW79" i="3"/>
  <c r="BB81" i="3"/>
  <c r="BT65" i="3"/>
  <c r="BP58" i="3"/>
  <c r="CB33" i="3"/>
  <c r="CJ75" i="3"/>
  <c r="BI19" i="3"/>
  <c r="BT25" i="3"/>
  <c r="BP23" i="3"/>
  <c r="CC29" i="3"/>
  <c r="CF29" i="3"/>
  <c r="AO35" i="3"/>
  <c r="BP17" i="3"/>
  <c r="AL10" i="3"/>
  <c r="BN24" i="3"/>
  <c r="AZ24" i="3"/>
  <c r="BY24" i="3"/>
  <c r="AH7" i="3"/>
  <c r="BE5" i="3"/>
  <c r="AJ10" i="3"/>
  <c r="AX25" i="3"/>
  <c r="BO12" i="3"/>
  <c r="CH17" i="3"/>
  <c r="AY13" i="3"/>
  <c r="AY25" i="3"/>
  <c r="BH30" i="3"/>
  <c r="CF30" i="3"/>
  <c r="CJ35" i="3"/>
  <c r="BQ35" i="3"/>
  <c r="AS35" i="3"/>
  <c r="BT29" i="3"/>
  <c r="BK5" i="3"/>
  <c r="BC11" i="3"/>
  <c r="BV11" i="3"/>
  <c r="AR29" i="3"/>
  <c r="BG36" i="3"/>
  <c r="AI36" i="3"/>
  <c r="AF36" i="3"/>
  <c r="BD22" i="3"/>
  <c r="BO22" i="3"/>
  <c r="BK22" i="3"/>
  <c r="BG18" i="3"/>
  <c r="BN18" i="3"/>
  <c r="BJ18" i="3"/>
  <c r="AX19" i="3"/>
  <c r="AI25" i="3"/>
  <c r="BH28" i="3"/>
  <c r="BZ23" i="3"/>
  <c r="CH25" i="3"/>
  <c r="BZ25" i="3"/>
  <c r="CG6" i="3"/>
  <c r="CA6" i="3"/>
  <c r="AF13" i="3"/>
  <c r="AQ17" i="3"/>
  <c r="CG8" i="3"/>
  <c r="AC8" i="3"/>
  <c r="BQ12" i="3"/>
  <c r="CJ15" i="3"/>
  <c r="AB16" i="3"/>
  <c r="AZ16" i="3"/>
  <c r="BP29" i="3"/>
  <c r="BS31" i="3"/>
  <c r="BL31" i="3"/>
  <c r="BR34" i="3"/>
  <c r="AG34" i="3"/>
  <c r="BJ27" i="3"/>
  <c r="CM21" i="3"/>
  <c r="AN36" i="3"/>
  <c r="BL48" i="3"/>
  <c r="BJ20" i="3"/>
  <c r="BU34" i="3"/>
  <c r="CK10" i="3"/>
  <c r="AT27" i="3"/>
  <c r="AM37" i="3"/>
  <c r="BG38" i="3"/>
  <c r="AL42" i="3"/>
  <c r="AV43" i="3"/>
  <c r="BF43" i="3"/>
  <c r="AT14" i="3"/>
  <c r="BD33" i="3"/>
  <c r="BS27" i="3"/>
  <c r="BE32" i="3"/>
  <c r="BA32" i="3"/>
  <c r="BP33" i="3"/>
  <c r="AP38" i="3"/>
  <c r="BY48" i="3"/>
  <c r="BB41" i="3"/>
  <c r="BC41" i="3"/>
  <c r="AE41" i="3"/>
  <c r="BN45" i="3"/>
  <c r="BA45" i="3"/>
  <c r="AE27" i="3"/>
  <c r="BR38" i="3"/>
  <c r="BO49" i="3"/>
  <c r="AH49" i="3"/>
  <c r="BN49" i="3"/>
  <c r="AL41" i="3"/>
  <c r="BN9" i="3"/>
  <c r="BP15" i="3"/>
  <c r="CD21" i="3"/>
  <c r="AY60" i="3"/>
  <c r="BI37" i="3"/>
  <c r="BP9" i="3"/>
  <c r="AT7" i="3"/>
  <c r="CD26" i="3"/>
  <c r="BK34" i="3"/>
  <c r="BV33" i="3"/>
  <c r="BC57" i="3"/>
  <c r="AO59" i="3"/>
  <c r="BF59" i="3"/>
  <c r="AN47" i="3"/>
  <c r="CA50" i="3"/>
  <c r="AJ30" i="3"/>
  <c r="AO73" i="3"/>
  <c r="AZ53" i="3"/>
  <c r="AO53" i="3"/>
  <c r="AS82" i="3"/>
  <c r="CA82" i="3"/>
  <c r="CG52" i="3"/>
  <c r="AX52" i="3"/>
  <c r="BJ68" i="3"/>
  <c r="BU55" i="3"/>
  <c r="CD55" i="3"/>
  <c r="BM61" i="3"/>
  <c r="BN78" i="3"/>
  <c r="AQ66" i="3"/>
  <c r="CE79" i="3"/>
  <c r="AP81" i="3"/>
  <c r="AO65" i="3"/>
  <c r="BN58" i="3"/>
  <c r="CN37" i="3"/>
  <c r="CE55" i="3"/>
  <c r="AS19" i="3"/>
  <c r="BR29" i="3"/>
  <c r="AY23" i="3"/>
  <c r="BM29" i="3"/>
  <c r="BF29" i="3"/>
  <c r="AP35" i="3"/>
  <c r="AZ17" i="3"/>
  <c r="AO10" i="3"/>
  <c r="AH24" i="3"/>
  <c r="AI24" i="3"/>
  <c r="AW25" i="3"/>
  <c r="CC7" i="3"/>
  <c r="CJ5" i="3"/>
  <c r="CM10" i="3"/>
  <c r="BC28" i="3"/>
  <c r="AY12" i="3"/>
  <c r="BX18" i="3"/>
  <c r="BX13" i="3"/>
  <c r="BN28" i="3"/>
  <c r="AR30" i="3"/>
  <c r="BF30" i="3"/>
  <c r="BT35" i="3"/>
  <c r="AZ35" i="3"/>
  <c r="BX35" i="3"/>
  <c r="AC35" i="3"/>
  <c r="CL5" i="3"/>
  <c r="AI11" i="3"/>
  <c r="AE12" i="3"/>
  <c r="AE30" i="3"/>
  <c r="CM36" i="3"/>
  <c r="CH36" i="3"/>
  <c r="BK36" i="3"/>
  <c r="CK22" i="3"/>
  <c r="AX22" i="3"/>
  <c r="AT22" i="3"/>
  <c r="AW19" i="3"/>
  <c r="AX18" i="3"/>
  <c r="AT18" i="3"/>
  <c r="CB19" i="3"/>
  <c r="AL28" i="3"/>
  <c r="AO28" i="3"/>
  <c r="BB17" i="3"/>
  <c r="BO25" i="3"/>
  <c r="BE25" i="3"/>
  <c r="BQ6" i="3"/>
  <c r="BQ7" i="3"/>
  <c r="CA13" i="3"/>
  <c r="BS17" i="3"/>
  <c r="BQ8" i="3"/>
  <c r="BY8" i="3"/>
  <c r="AH13" i="3"/>
  <c r="BT15" i="3"/>
  <c r="BH16" i="3"/>
  <c r="AE16" i="3"/>
  <c r="CN31" i="3"/>
  <c r="AW31" i="3"/>
  <c r="AK31" i="3"/>
  <c r="BA34" i="3"/>
  <c r="CD34" i="3"/>
  <c r="CC27" i="3"/>
  <c r="BW21" i="3"/>
  <c r="AM36" i="3"/>
  <c r="CD49" i="3"/>
  <c r="AT20" i="3"/>
  <c r="BI41" i="3"/>
  <c r="AC14" i="3"/>
  <c r="BM27" i="3"/>
  <c r="AL37" i="3"/>
  <c r="CN38" i="3"/>
  <c r="CC43" i="3"/>
  <c r="CI43" i="3"/>
  <c r="BY43" i="3"/>
  <c r="BJ14" i="3"/>
  <c r="AR34" i="3"/>
  <c r="BC27" i="3"/>
  <c r="AO32" i="3"/>
  <c r="AK32" i="3"/>
  <c r="AZ33" i="3"/>
  <c r="AO38" i="3"/>
  <c r="CM48" i="3"/>
  <c r="CB41" i="3"/>
  <c r="CL41" i="3"/>
  <c r="BN41" i="3"/>
  <c r="CE45" i="3"/>
  <c r="AG45" i="3"/>
  <c r="AX27" i="3"/>
  <c r="AB41" i="3"/>
  <c r="AY49" i="3"/>
  <c r="BY49" i="3"/>
  <c r="BM49" i="3"/>
  <c r="AN44" i="3"/>
  <c r="CL60" i="3"/>
  <c r="BG37" i="3"/>
  <c r="AR7" i="3"/>
  <c r="AM26" i="3"/>
  <c r="BI34" i="3"/>
  <c r="CB57" i="3"/>
  <c r="BX59" i="3"/>
  <c r="AU47" i="3"/>
  <c r="AR50" i="3"/>
  <c r="CL30" i="3"/>
  <c r="BO73" i="3"/>
  <c r="CL53" i="3"/>
  <c r="BH53" i="3"/>
  <c r="CH82" i="3"/>
  <c r="CD36" i="3"/>
  <c r="BK52" i="3"/>
  <c r="CN52" i="3"/>
  <c r="AK68" i="3"/>
  <c r="AU55" i="3"/>
  <c r="AK55" i="3"/>
  <c r="AL61" i="3"/>
  <c r="AT78" i="3"/>
  <c r="AP66" i="3"/>
  <c r="CC79" i="3"/>
  <c r="AW81" i="3"/>
  <c r="BS65" i="3"/>
  <c r="BM58" i="3"/>
  <c r="CA10" i="3"/>
  <c r="BH13" i="3"/>
  <c r="AB19" i="3"/>
  <c r="AO23" i="3"/>
  <c r="AH23" i="3"/>
  <c r="AW29" i="3"/>
  <c r="CD29" i="3"/>
  <c r="AM35" i="3"/>
  <c r="AJ17" i="3"/>
  <c r="AN10" i="3"/>
  <c r="CB24" i="3"/>
  <c r="CH24" i="3"/>
  <c r="BA28" i="3"/>
  <c r="BM7" i="3"/>
  <c r="BT5" i="3"/>
  <c r="AO12" i="3"/>
  <c r="CN29" i="3"/>
  <c r="AI12" i="3"/>
  <c r="AF5" i="3"/>
  <c r="BI17" i="3"/>
  <c r="CB30" i="3"/>
  <c r="AB30" i="3"/>
  <c r="CE30" i="3"/>
  <c r="BD35" i="3"/>
  <c r="AI35" i="3"/>
  <c r="AR35" i="3"/>
  <c r="AG5" i="3"/>
  <c r="AU6" i="3"/>
  <c r="CH11" i="3"/>
  <c r="BG12" i="3"/>
  <c r="BU30" i="3"/>
  <c r="BV36" i="3"/>
  <c r="BP36" i="3"/>
  <c r="AE36" i="3"/>
  <c r="BS22" i="3"/>
  <c r="AG22" i="3"/>
  <c r="AC22" i="3"/>
  <c r="BV19" i="3"/>
  <c r="AH18" i="3"/>
  <c r="AD18" i="3"/>
  <c r="BY22" i="3"/>
  <c r="AJ28" i="3"/>
  <c r="BZ28" i="3"/>
  <c r="BK17" i="3"/>
  <c r="AV25" i="3"/>
  <c r="BW25" i="3"/>
  <c r="BA6" i="3"/>
  <c r="CN7" i="3"/>
  <c r="BK13" i="3"/>
  <c r="AJ18" i="3"/>
  <c r="BA8" i="3"/>
  <c r="AS8" i="3"/>
  <c r="BG13" i="3"/>
  <c r="BD15" i="3"/>
  <c r="CJ16" i="3"/>
  <c r="BG16" i="3"/>
  <c r="BX31" i="3"/>
  <c r="BR31" i="3"/>
  <c r="CG31" i="3"/>
  <c r="CH34" i="3"/>
  <c r="BM34" i="3"/>
  <c r="AY32" i="3"/>
  <c r="BG21" i="3"/>
  <c r="AL36" i="3"/>
  <c r="BV9" i="3"/>
  <c r="AD20" i="3"/>
  <c r="AK42" i="3"/>
  <c r="AS14" i="3"/>
  <c r="CF27" i="3"/>
  <c r="AK37" i="3"/>
  <c r="BW38" i="3"/>
  <c r="BM43" i="3"/>
  <c r="BO43" i="3"/>
  <c r="BE43" i="3"/>
  <c r="BZ14" i="3"/>
  <c r="BX34" i="3"/>
  <c r="CH27" i="3"/>
  <c r="CJ32" i="3"/>
  <c r="AR69" i="3"/>
  <c r="AV44" i="3"/>
  <c r="AR5" i="3"/>
  <c r="CK60" i="3"/>
  <c r="AU45" i="3"/>
  <c r="AV57" i="3"/>
  <c r="BD59" i="3"/>
  <c r="BN67" i="3"/>
  <c r="AQ47" i="3"/>
  <c r="BZ50" i="3"/>
  <c r="BV30" i="3"/>
  <c r="AK73" i="3"/>
  <c r="CJ53" i="3"/>
  <c r="BG53" i="3"/>
  <c r="BM82" i="3"/>
  <c r="AQ36" i="3"/>
  <c r="AJ52" i="3"/>
  <c r="BA52" i="3"/>
  <c r="AO68" i="3"/>
  <c r="BO55" i="3"/>
  <c r="CA55" i="3"/>
  <c r="CJ61" i="3"/>
  <c r="BB78" i="3"/>
  <c r="BV66" i="3"/>
  <c r="AS79" i="3"/>
  <c r="CM81" i="3"/>
  <c r="CC65" i="3"/>
  <c r="CK58" i="3"/>
  <c r="CD9" i="3"/>
  <c r="CL13" i="3"/>
  <c r="CM19" i="3"/>
  <c r="BT13" i="3"/>
  <c r="CF23" i="3"/>
  <c r="CB29" i="3"/>
  <c r="BE29" i="3"/>
  <c r="BB12" i="3"/>
  <c r="CE17" i="3"/>
  <c r="BB10" i="3"/>
  <c r="CN24" i="3"/>
  <c r="BP24" i="3"/>
  <c r="BQ30" i="3"/>
  <c r="AW7" i="3"/>
  <c r="BA5" i="3"/>
  <c r="AJ12" i="3"/>
  <c r="CD35" i="3"/>
  <c r="BN12" i="3"/>
  <c r="AR6" i="3"/>
  <c r="CM17" i="3"/>
  <c r="BL30" i="3"/>
  <c r="CM30" i="3"/>
  <c r="BE30" i="3"/>
  <c r="CN35" i="3"/>
  <c r="CG35" i="3"/>
  <c r="BV35" i="3"/>
  <c r="CE5" i="3"/>
  <c r="BV6" i="3"/>
  <c r="BR11" i="3"/>
  <c r="CI12" i="3"/>
  <c r="AM34" i="3"/>
  <c r="BE36" i="3"/>
  <c r="AY36" i="3"/>
  <c r="BJ36" i="3"/>
  <c r="BB22" i="3"/>
  <c r="CE22" i="3"/>
  <c r="CA22" i="3"/>
  <c r="BX22" i="3"/>
  <c r="CC18" i="3"/>
  <c r="CJ18" i="3"/>
  <c r="BI23" i="3"/>
  <c r="CI28" i="3"/>
  <c r="BG28" i="3"/>
  <c r="CA25" i="3"/>
  <c r="CG25" i="3"/>
  <c r="BD25" i="3"/>
  <c r="AX6" i="3"/>
  <c r="CH13" i="3"/>
  <c r="AE13" i="3"/>
  <c r="BI18" i="3"/>
  <c r="CB8" i="3"/>
  <c r="CN8" i="3"/>
  <c r="CK13" i="3"/>
  <c r="AN15" i="3"/>
  <c r="BT16" i="3"/>
  <c r="CK16" i="3"/>
  <c r="BH31" i="3"/>
  <c r="AV31" i="3"/>
  <c r="BK31" i="3"/>
  <c r="BQ34" i="3"/>
  <c r="AV34" i="3"/>
  <c r="CC32" i="3"/>
  <c r="AR21" i="3"/>
  <c r="AJ36" i="3"/>
  <c r="BW14" i="3"/>
  <c r="BH20" i="3"/>
  <c r="CM42" i="3"/>
  <c r="BI14" i="3"/>
  <c r="AJ29" i="3"/>
  <c r="AJ37" i="3"/>
  <c r="BF38" i="3"/>
  <c r="AW43" i="3"/>
  <c r="AS43" i="3"/>
  <c r="AC43" i="3"/>
  <c r="AB20" i="3"/>
  <c r="BK37" i="3"/>
  <c r="BR27" i="3"/>
  <c r="BT32" i="3"/>
  <c r="CK33" i="3"/>
  <c r="BO33" i="3"/>
  <c r="AM38" i="3"/>
  <c r="AW27" i="3"/>
  <c r="AV41" i="3"/>
  <c r="BA41" i="3"/>
  <c r="CM45" i="3"/>
  <c r="AO69" i="3"/>
  <c r="BW5" i="3"/>
  <c r="BK60" i="3"/>
  <c r="AN6" i="3"/>
  <c r="AP45" i="3"/>
  <c r="AU41" i="3"/>
  <c r="AJ57" i="3"/>
  <c r="BV59" i="3"/>
  <c r="CH67" i="3"/>
  <c r="AL47" i="3"/>
  <c r="BJ50" i="3"/>
  <c r="AU30" i="3"/>
  <c r="BM73" i="3"/>
  <c r="BM53" i="3"/>
  <c r="BU53" i="3"/>
  <c r="AN82" i="3"/>
  <c r="AO36" i="3"/>
  <c r="CE52" i="3"/>
  <c r="AY52" i="3"/>
  <c r="AN68" i="3"/>
  <c r="AP55" i="3"/>
  <c r="CC55" i="3"/>
  <c r="BJ61" i="3"/>
  <c r="AZ78" i="3"/>
  <c r="BU66" i="3"/>
  <c r="CH79" i="3"/>
  <c r="CF81" i="3"/>
  <c r="AU65" i="3"/>
  <c r="AO58" i="3"/>
  <c r="BR45" i="3"/>
  <c r="AS17" i="3"/>
  <c r="BC19" i="3"/>
  <c r="CL19" i="3"/>
  <c r="BO23" i="3"/>
  <c r="BL29" i="3"/>
  <c r="BY29" i="3"/>
  <c r="BG22" i="3"/>
  <c r="BO17" i="3"/>
  <c r="BR10" i="3"/>
  <c r="BV24" i="3"/>
  <c r="AY24" i="3"/>
  <c r="BI35" i="3"/>
  <c r="AU7" i="3"/>
  <c r="CI5" i="3"/>
  <c r="AC12" i="3"/>
  <c r="BY23" i="3"/>
  <c r="AH12" i="3"/>
  <c r="AD7" i="3"/>
  <c r="BD18" i="3"/>
  <c r="AV30" i="3"/>
  <c r="BW30" i="3"/>
  <c r="CD30" i="3"/>
  <c r="BW35" i="3"/>
  <c r="BP35" i="3"/>
  <c r="BN35" i="3"/>
  <c r="BT6" i="3"/>
  <c r="AK7" i="3"/>
  <c r="BB11" i="3"/>
  <c r="AZ13" i="3"/>
  <c r="AK34" i="3"/>
  <c r="CL36" i="3"/>
  <c r="AH36" i="3"/>
  <c r="AD36" i="3"/>
  <c r="CI22" i="3"/>
  <c r="BN22" i="3"/>
  <c r="BJ22" i="3"/>
  <c r="BH23" i="3"/>
  <c r="BM18" i="3"/>
  <c r="BZ6" i="3"/>
  <c r="AH25" i="3"/>
  <c r="BL28" i="3"/>
  <c r="AN28" i="3"/>
  <c r="BK25" i="3"/>
  <c r="BN25" i="3"/>
  <c r="BV25" i="3"/>
  <c r="CF6" i="3"/>
  <c r="BR13" i="3"/>
  <c r="AU13" i="3"/>
  <c r="BA19" i="3"/>
  <c r="BL8" i="3"/>
  <c r="BX8" i="3"/>
  <c r="BK15" i="3"/>
  <c r="CI15" i="3"/>
  <c r="BD16" i="3"/>
  <c r="AR17" i="3"/>
  <c r="AQ31" i="3"/>
  <c r="BQ31" i="3"/>
  <c r="AJ31" i="3"/>
  <c r="AZ34" i="3"/>
  <c r="AF34" i="3"/>
  <c r="AT33" i="3"/>
  <c r="BI21" i="3"/>
  <c r="BL38" i="3"/>
  <c r="BG9" i="3"/>
  <c r="BY20" i="3"/>
  <c r="BM45" i="3"/>
  <c r="BY14" i="3"/>
  <c r="CL32" i="3"/>
  <c r="BJ37" i="3"/>
  <c r="CM38" i="3"/>
  <c r="AG43" i="3"/>
  <c r="CH43" i="3"/>
  <c r="BV43" i="3"/>
  <c r="AS20" i="3"/>
  <c r="AI38" i="3"/>
  <c r="BB27" i="3"/>
  <c r="BD32" i="3"/>
  <c r="AO64" i="3"/>
  <c r="AK70" i="3"/>
  <c r="AP20" i="3"/>
  <c r="BF6" i="3"/>
  <c r="AW32" i="3"/>
  <c r="CC49" i="3"/>
  <c r="CA57" i="3"/>
  <c r="BB59" i="3"/>
  <c r="BT67" i="3"/>
  <c r="AO47" i="3"/>
  <c r="CN50" i="3"/>
  <c r="BA30" i="3"/>
  <c r="CC73" i="3"/>
  <c r="BK53" i="3"/>
  <c r="AJ53" i="3"/>
  <c r="CG82" i="3"/>
  <c r="CF36" i="3"/>
  <c r="BD52" i="3"/>
  <c r="AW52" i="3"/>
  <c r="CC68" i="3"/>
  <c r="BN55" i="3"/>
  <c r="CB55" i="3"/>
  <c r="CI61" i="3"/>
  <c r="CN78" i="3"/>
  <c r="AN79" i="3"/>
  <c r="CI81" i="3"/>
  <c r="BW81" i="3"/>
  <c r="BW65" i="3"/>
  <c r="BS58" i="3"/>
  <c r="BY71" i="3"/>
  <c r="BW17" i="3"/>
  <c r="CG19" i="3"/>
  <c r="BF22" i="3"/>
  <c r="AX23" i="3"/>
  <c r="AV29" i="3"/>
  <c r="BD29" i="3"/>
  <c r="AQ23" i="3"/>
  <c r="AY17" i="3"/>
  <c r="CG10" i="3"/>
  <c r="BE24" i="3"/>
  <c r="CG24" i="3"/>
  <c r="AB29" i="3"/>
  <c r="CB7" i="3"/>
  <c r="BS5" i="3"/>
  <c r="BD12" i="3"/>
  <c r="CA23" i="3"/>
  <c r="AF12" i="3"/>
  <c r="BF7" i="3"/>
  <c r="CF18" i="3"/>
  <c r="AF30" i="3"/>
  <c r="BG30" i="3"/>
  <c r="BD30" i="3"/>
  <c r="BF35" i="3"/>
  <c r="AY35" i="3"/>
  <c r="BM35" i="3"/>
  <c r="AO5" i="3"/>
  <c r="BH7" i="3"/>
  <c r="CG11" i="3"/>
  <c r="BJ17" i="3"/>
  <c r="AJ34" i="3"/>
  <c r="BU36" i="3"/>
  <c r="BZ36" i="3"/>
  <c r="CN36" i="3"/>
  <c r="BA22" i="3"/>
  <c r="AW22" i="3"/>
  <c r="AS22" i="3"/>
  <c r="AG25" i="3"/>
  <c r="AW18" i="3"/>
  <c r="BJ12" i="3"/>
  <c r="BO46" i="3"/>
  <c r="BL82" i="3"/>
  <c r="BG55" i="3"/>
  <c r="BR81" i="3"/>
  <c r="CA19" i="3"/>
  <c r="AU29" i="3"/>
  <c r="AR13" i="3"/>
  <c r="CA7" i="3"/>
  <c r="AW12" i="3"/>
  <c r="BO30" i="3"/>
  <c r="AE35" i="3"/>
  <c r="BT19" i="3"/>
  <c r="AV36" i="3"/>
  <c r="CI18" i="3"/>
  <c r="CM7" i="3"/>
  <c r="AE25" i="3"/>
  <c r="BG6" i="3"/>
  <c r="AG13" i="3"/>
  <c r="BE6" i="3"/>
  <c r="AW10" i="3"/>
  <c r="BC15" i="3"/>
  <c r="BP16" i="3"/>
  <c r="AN31" i="3"/>
  <c r="BG34" i="3"/>
  <c r="BF34" i="3"/>
  <c r="BZ21" i="3"/>
  <c r="BS43" i="3"/>
  <c r="BG32" i="3"/>
  <c r="BI20" i="3"/>
  <c r="BK38" i="3"/>
  <c r="BJ41" i="3"/>
  <c r="CD43" i="3"/>
  <c r="AB27" i="3"/>
  <c r="CN32" i="3"/>
  <c r="BK32" i="3"/>
  <c r="AB33" i="3"/>
  <c r="BX43" i="3"/>
  <c r="BW41" i="3"/>
  <c r="BP41" i="3"/>
  <c r="CC45" i="3"/>
  <c r="AB45" i="3"/>
  <c r="AR38" i="3"/>
  <c r="BD49" i="3"/>
  <c r="BR49" i="3"/>
  <c r="CB34" i="3"/>
  <c r="BK10" i="3"/>
  <c r="AG27" i="3"/>
  <c r="CJ28" i="3"/>
  <c r="BZ44" i="3"/>
  <c r="BM44" i="3"/>
  <c r="BB44" i="3"/>
  <c r="CA40" i="3"/>
  <c r="BE39" i="3"/>
  <c r="BW46" i="3"/>
  <c r="BU26" i="3"/>
  <c r="AI40" i="3"/>
  <c r="BF26" i="3"/>
  <c r="BC46" i="3"/>
  <c r="BD50" i="3"/>
  <c r="CF50" i="3"/>
  <c r="BG46" i="3"/>
  <c r="AS31" i="3"/>
  <c r="CC46" i="3"/>
  <c r="AC56" i="3"/>
  <c r="BO42" i="3"/>
  <c r="BC56" i="3"/>
  <c r="AH56" i="3"/>
  <c r="AD39" i="3"/>
  <c r="CL47" i="3"/>
  <c r="AD42" i="3"/>
  <c r="AI48" i="3"/>
  <c r="BI51" i="3"/>
  <c r="AN56" i="3"/>
  <c r="BZ63" i="3"/>
  <c r="BS63" i="3"/>
  <c r="CH47" i="3"/>
  <c r="BY57" i="3"/>
  <c r="CE57" i="3"/>
  <c r="AZ51" i="3"/>
  <c r="BK54" i="3"/>
  <c r="BB54" i="3"/>
  <c r="AO63" i="3"/>
  <c r="AG63" i="3"/>
  <c r="BF58" i="3"/>
  <c r="BL46" i="3"/>
  <c r="BS57" i="3"/>
  <c r="AR66" i="3"/>
  <c r="BO60" i="3"/>
  <c r="AO61" i="3"/>
  <c r="CJ67" i="3"/>
  <c r="BY61" i="3"/>
  <c r="AV64" i="3"/>
  <c r="AU66" i="3"/>
  <c r="BR55" i="3"/>
  <c r="AM53" i="3"/>
  <c r="BC66" i="3"/>
  <c r="CK66" i="3"/>
  <c r="BK66" i="3"/>
  <c r="CC67" i="3"/>
  <c r="AB62" i="3"/>
  <c r="BO65" i="3"/>
  <c r="CH69" i="3"/>
  <c r="AV76" i="3"/>
  <c r="CI76" i="3"/>
  <c r="AB76" i="3"/>
  <c r="BE65" i="3"/>
  <c r="BF67" i="3"/>
  <c r="BD62" i="3"/>
  <c r="AX69" i="3"/>
  <c r="BB69" i="3"/>
  <c r="BI77" i="3"/>
  <c r="BE77" i="3"/>
  <c r="AF70" i="3"/>
  <c r="BD70" i="3"/>
  <c r="BZ80" i="3"/>
  <c r="BW74" i="3"/>
  <c r="AY74" i="3"/>
  <c r="AU68" i="3"/>
  <c r="AL74" i="3"/>
  <c r="CH75" i="3"/>
  <c r="BL78" i="3"/>
  <c r="AH80" i="3"/>
  <c r="AB80" i="3"/>
  <c r="AP72" i="3"/>
  <c r="BH75" i="3"/>
  <c r="AM80" i="3"/>
  <c r="BX78" i="3"/>
  <c r="AX82" i="3"/>
  <c r="AQ84" i="3"/>
  <c r="AL65" i="3"/>
  <c r="BK19" i="3"/>
  <c r="AE29" i="3"/>
  <c r="BV13" i="3"/>
  <c r="BU13" i="3"/>
  <c r="CB12" i="3"/>
  <c r="CI30" i="3"/>
  <c r="BJ35" i="3"/>
  <c r="BF23" i="3"/>
  <c r="CA36" i="3"/>
  <c r="BS18" i="3"/>
  <c r="BK12" i="3"/>
  <c r="AS25" i="3"/>
  <c r="CH6" i="3"/>
  <c r="CB13" i="3"/>
  <c r="CB6" i="3"/>
  <c r="BX10" i="3"/>
  <c r="BY16" i="3"/>
  <c r="BT17" i="3"/>
  <c r="BZ31" i="3"/>
  <c r="CK34" i="3"/>
  <c r="CL34" i="3"/>
  <c r="AR27" i="3"/>
  <c r="BL45" i="3"/>
  <c r="CE32" i="3"/>
  <c r="CA20" i="3"/>
  <c r="CB38" i="3"/>
  <c r="CA43" i="3"/>
  <c r="BG43" i="3"/>
  <c r="AU27" i="3"/>
  <c r="BX32" i="3"/>
  <c r="BU33" i="3"/>
  <c r="BF33" i="3"/>
  <c r="AD27" i="3"/>
  <c r="BE41" i="3"/>
  <c r="AX41" i="3"/>
  <c r="BH45" i="3"/>
  <c r="CH45" i="3"/>
  <c r="BO41" i="3"/>
  <c r="CK49" i="3"/>
  <c r="AS49" i="3"/>
  <c r="AP41" i="3"/>
  <c r="AI14" i="3"/>
  <c r="AZ27" i="3"/>
  <c r="AQ32" i="3"/>
  <c r="BJ44" i="3"/>
  <c r="CF44" i="3"/>
  <c r="AI44" i="3"/>
  <c r="BG42" i="3"/>
  <c r="BV39" i="3"/>
  <c r="BE46" i="3"/>
  <c r="CK26" i="3"/>
  <c r="AS40" i="3"/>
  <c r="BV26" i="3"/>
  <c r="CA46" i="3"/>
  <c r="CK50" i="3"/>
  <c r="AY54" i="3"/>
  <c r="CB46" i="3"/>
  <c r="BI31" i="3"/>
  <c r="AJ47" i="3"/>
  <c r="CF42" i="3"/>
  <c r="CJ42" i="3"/>
  <c r="CG56" i="3"/>
  <c r="BI56" i="3"/>
  <c r="AU39" i="3"/>
  <c r="AW48" i="3"/>
  <c r="AW42" i="3"/>
  <c r="CG48" i="3"/>
  <c r="AS51" i="3"/>
  <c r="AM56" i="3"/>
  <c r="BG63" i="3"/>
  <c r="AS63" i="3"/>
  <c r="BQ47" i="3"/>
  <c r="BH57" i="3"/>
  <c r="BK57" i="3"/>
  <c r="BT51" i="3"/>
  <c r="AU54" i="3"/>
  <c r="AG54" i="3"/>
  <c r="AD63" i="3"/>
  <c r="AW63" i="3"/>
  <c r="AL58" i="3"/>
  <c r="CD46" i="3"/>
  <c r="BD58" i="3"/>
  <c r="BZ66" i="3"/>
  <c r="AW60" i="3"/>
  <c r="BW61" i="3"/>
  <c r="CI53" i="3"/>
  <c r="CK64" i="3"/>
  <c r="AF64" i="3"/>
  <c r="CC66" i="3"/>
  <c r="BA55" i="3"/>
  <c r="AL53" i="3"/>
  <c r="CF66" i="3"/>
  <c r="BS66" i="3"/>
  <c r="CM66" i="3"/>
  <c r="AY67" i="3"/>
  <c r="AR62" i="3"/>
  <c r="AX65" i="3"/>
  <c r="AX70" i="3"/>
  <c r="AF76" i="3"/>
  <c r="BS76" i="3"/>
  <c r="BF52" i="3"/>
  <c r="CA65" i="3"/>
  <c r="BW67" i="3"/>
  <c r="CI62" i="3"/>
  <c r="CB69" i="3"/>
  <c r="BU69" i="3"/>
  <c r="AS77" i="3"/>
  <c r="CN77" i="3"/>
  <c r="CA70" i="3"/>
  <c r="AI70" i="3"/>
  <c r="AR78" i="3"/>
  <c r="BG74" i="3"/>
  <c r="AI74" i="3"/>
  <c r="BM68" i="3"/>
  <c r="AJ74" i="3"/>
  <c r="BR75" i="3"/>
  <c r="CK80" i="3"/>
  <c r="CC80" i="3"/>
  <c r="BL80" i="3"/>
  <c r="AZ30" i="3"/>
  <c r="CE36" i="3"/>
  <c r="BV65" i="3"/>
  <c r="BZ19" i="3"/>
  <c r="CI29" i="3"/>
  <c r="BG17" i="3"/>
  <c r="BZ5" i="3"/>
  <c r="BM12" i="3"/>
  <c r="BN30" i="3"/>
  <c r="AD35" i="3"/>
  <c r="AP24" i="3"/>
  <c r="AU36" i="3"/>
  <c r="BC18" i="3"/>
  <c r="AK11" i="3"/>
  <c r="AJ56" i="3"/>
  <c r="CA68" i="3"/>
  <c r="BI65" i="3"/>
  <c r="CM22" i="3"/>
  <c r="BB29" i="3"/>
  <c r="BU24" i="3"/>
  <c r="BC5" i="3"/>
  <c r="CG7" i="3"/>
  <c r="AI30" i="3"/>
  <c r="AN5" i="3"/>
  <c r="AQ34" i="3"/>
  <c r="BR22" i="3"/>
  <c r="AG18" i="3"/>
  <c r="AM71" i="3"/>
  <c r="CC11" i="3"/>
  <c r="BC68" i="3"/>
  <c r="BH65" i="3"/>
  <c r="BQ29" i="3"/>
  <c r="AC29" i="3"/>
  <c r="CK24" i="3"/>
  <c r="BR5" i="3"/>
  <c r="CH7" i="3"/>
  <c r="AH30" i="3"/>
  <c r="AK5" i="3"/>
  <c r="AN34" i="3"/>
  <c r="AZ22" i="3"/>
  <c r="AV18" i="3"/>
  <c r="AY73" i="3"/>
  <c r="CB68" i="3"/>
  <c r="CN65" i="3"/>
  <c r="AR12" i="3"/>
  <c r="AK23" i="3"/>
  <c r="BS24" i="3"/>
  <c r="CG5" i="3"/>
  <c r="AK10" i="3"/>
  <c r="CA30" i="3"/>
  <c r="BI5" i="3"/>
  <c r="CM35" i="3"/>
  <c r="AI22" i="3"/>
  <c r="AF18" i="3"/>
  <c r="CC28" i="3"/>
  <c r="BH25" i="3"/>
  <c r="AZ6" i="3"/>
  <c r="BI13" i="3"/>
  <c r="AF8" i="3"/>
  <c r="AP12" i="3"/>
  <c r="CN16" i="3"/>
  <c r="CL22" i="3"/>
  <c r="AR31" i="3"/>
  <c r="CG34" i="3"/>
  <c r="AJ16" i="3"/>
  <c r="BY33" i="3"/>
  <c r="AB14" i="3"/>
  <c r="CG49" i="3"/>
  <c r="CB21" i="3"/>
  <c r="BY38" i="3"/>
  <c r="CL43" i="3"/>
  <c r="AS9" i="3"/>
  <c r="BO38" i="3"/>
  <c r="CK32" i="3"/>
  <c r="BR33" i="3"/>
  <c r="AQ38" i="3"/>
  <c r="CJ33" i="3"/>
  <c r="CM41" i="3"/>
  <c r="CK45" i="3"/>
  <c r="BZ45" i="3"/>
  <c r="BQ27" i="3"/>
  <c r="AK48" i="3"/>
  <c r="CF49" i="3"/>
  <c r="CN49" i="3"/>
  <c r="AJ41" i="3"/>
  <c r="BF17" i="3"/>
  <c r="BB28" i="3"/>
  <c r="CN33" i="3"/>
  <c r="BX44" i="3"/>
  <c r="CD44" i="3"/>
  <c r="AY44" i="3"/>
  <c r="CE47" i="3"/>
  <c r="CB40" i="3"/>
  <c r="BC47" i="3"/>
  <c r="BC37" i="3"/>
  <c r="CC42" i="3"/>
  <c r="CM31" i="3"/>
  <c r="BU48" i="3"/>
  <c r="BI50" i="3"/>
  <c r="BX39" i="3"/>
  <c r="BV48" i="3"/>
  <c r="BW37" i="3"/>
  <c r="BW48" i="3"/>
  <c r="BN42" i="3"/>
  <c r="CK56" i="3"/>
  <c r="BL56" i="3"/>
  <c r="AF56" i="3"/>
  <c r="BQ40" i="3"/>
  <c r="CA56" i="3"/>
  <c r="BR48" i="3"/>
  <c r="BH48" i="3"/>
  <c r="BO59" i="3"/>
  <c r="CG73" i="3"/>
  <c r="AR68" i="3"/>
  <c r="AL79" i="3"/>
  <c r="BR58" i="3"/>
  <c r="BX17" i="3"/>
  <c r="AM23" i="3"/>
  <c r="BB24" i="3"/>
  <c r="CD5" i="3"/>
  <c r="BM10" i="3"/>
  <c r="BB30" i="3"/>
  <c r="CF5" i="3"/>
  <c r="AS29" i="3"/>
  <c r="CG22" i="3"/>
  <c r="CA18" i="3"/>
  <c r="BJ28" i="3"/>
  <c r="AT25" i="3"/>
  <c r="CJ59" i="3"/>
  <c r="AQ53" i="3"/>
  <c r="BU68" i="3"/>
  <c r="CK79" i="3"/>
  <c r="AT58" i="3"/>
  <c r="CG23" i="3"/>
  <c r="CN23" i="3"/>
  <c r="AW24" i="3"/>
  <c r="AX13" i="3"/>
  <c r="BS19" i="3"/>
  <c r="CL35" i="3"/>
  <c r="CI7" i="3"/>
  <c r="BD36" i="3"/>
  <c r="AF22" i="3"/>
  <c r="AU18" i="3"/>
  <c r="AQ28" i="3"/>
  <c r="CF25" i="3"/>
  <c r="AY6" i="3"/>
  <c r="AC13" i="3"/>
  <c r="AE8" i="3"/>
  <c r="AU15" i="3"/>
  <c r="AR16" i="3"/>
  <c r="BF24" i="3"/>
  <c r="AM31" i="3"/>
  <c r="CF34" i="3"/>
  <c r="BX33" i="3"/>
  <c r="AK36" i="3"/>
  <c r="BX14" i="3"/>
  <c r="AR9" i="3"/>
  <c r="CF32" i="3"/>
  <c r="BX38" i="3"/>
  <c r="BB43" i="3"/>
  <c r="BY9" i="3"/>
  <c r="BW43" i="3"/>
  <c r="AN32" i="3"/>
  <c r="CG33" i="3"/>
  <c r="AL38" i="3"/>
  <c r="BZ34" i="3"/>
  <c r="BT41" i="3"/>
  <c r="BC45" i="3"/>
  <c r="AH45" i="3"/>
  <c r="BM32" i="3"/>
  <c r="CC48" i="3"/>
  <c r="BZ49" i="3"/>
  <c r="CM49" i="3"/>
  <c r="AY27" i="3"/>
  <c r="AH20" i="3"/>
  <c r="BP28" i="3"/>
  <c r="CC34" i="3"/>
  <c r="AR44" i="3"/>
  <c r="CC44" i="3"/>
  <c r="AW49" i="3"/>
  <c r="AT47" i="3"/>
  <c r="CB42" i="3"/>
  <c r="BO48" i="3"/>
  <c r="CK37" i="3"/>
  <c r="BZ46" i="3"/>
  <c r="BU37" i="3"/>
  <c r="CB50" i="3"/>
  <c r="BA50" i="3"/>
  <c r="AR39" i="3"/>
  <c r="BE54" i="3"/>
  <c r="BJ39" i="3"/>
  <c r="AN50" i="3"/>
  <c r="CL42" i="3"/>
  <c r="BE56" i="3"/>
  <c r="CE56" i="3"/>
  <c r="AX56" i="3"/>
  <c r="AJ26" i="3"/>
  <c r="CB49" i="3"/>
  <c r="CN53" i="3"/>
  <c r="BT68" i="3"/>
  <c r="BE79" i="3"/>
  <c r="AS58" i="3"/>
  <c r="CL23" i="3"/>
  <c r="BH35" i="3"/>
  <c r="BM24" i="3"/>
  <c r="BA18" i="3"/>
  <c r="AN24" i="3"/>
  <c r="CK35" i="3"/>
  <c r="CN11" i="3"/>
  <c r="BC36" i="3"/>
  <c r="AV22" i="3"/>
  <c r="CN12" i="3"/>
  <c r="BI28" i="3"/>
  <c r="BL25" i="3"/>
  <c r="CD6" i="3"/>
  <c r="AB13" i="3"/>
  <c r="BZ8" i="3"/>
  <c r="BG15" i="3"/>
  <c r="CI16" i="3"/>
  <c r="BR25" i="3"/>
  <c r="CI31" i="3"/>
  <c r="BO34" i="3"/>
  <c r="BL34" i="3"/>
  <c r="AP36" i="3"/>
  <c r="CN14" i="3"/>
  <c r="BH9" i="3"/>
  <c r="BV34" i="3"/>
  <c r="BV38" i="3"/>
  <c r="CK43" i="3"/>
  <c r="BF10" i="3"/>
  <c r="BQ45" i="3"/>
  <c r="CI32" i="3"/>
  <c r="BQ33" i="3"/>
  <c r="AJ38" i="3"/>
  <c r="AK38" i="3"/>
  <c r="AI41" i="3"/>
  <c r="CG45" i="3"/>
  <c r="BY45" i="3"/>
  <c r="AO33" i="3"/>
  <c r="AX48" i="3"/>
  <c r="BF49" i="3"/>
  <c r="BJ49" i="3"/>
  <c r="BT27" i="3"/>
  <c r="AY20" i="3"/>
  <c r="AZ28" i="3"/>
  <c r="AR37" i="3"/>
  <c r="AB44" i="3"/>
  <c r="BF44" i="3"/>
  <c r="BA37" i="3"/>
  <c r="BB47" i="3"/>
  <c r="AQ45" i="3"/>
  <c r="AM49" i="3"/>
  <c r="BF39" i="3"/>
  <c r="BD47" i="3"/>
  <c r="CL37" i="3"/>
  <c r="BL50" i="3"/>
  <c r="AG50" i="3"/>
  <c r="AB39" i="3"/>
  <c r="CJ54" i="3"/>
  <c r="CA39" i="3"/>
  <c r="AM50" i="3"/>
  <c r="BT42" i="3"/>
  <c r="CN56" i="3"/>
  <c r="BK56" i="3"/>
  <c r="AD56" i="3"/>
  <c r="BS67" i="3"/>
  <c r="BW53" i="3"/>
  <c r="BW79" i="3"/>
  <c r="BU23" i="3"/>
  <c r="AB23" i="3"/>
  <c r="AE24" i="3"/>
  <c r="CE18" i="3"/>
  <c r="AM24" i="3"/>
  <c r="BS35" i="3"/>
  <c r="BX11" i="3"/>
  <c r="CJ36" i="3"/>
  <c r="AE22" i="3"/>
  <c r="AN17" i="3"/>
  <c r="BY28" i="3"/>
  <c r="CD25" i="3"/>
  <c r="AB6" i="3"/>
  <c r="BF13" i="3"/>
  <c r="BJ8" i="3"/>
  <c r="AQ15" i="3"/>
  <c r="BS16" i="3"/>
  <c r="CK28" i="3"/>
  <c r="BM31" i="3"/>
  <c r="AX34" i="3"/>
  <c r="AW41" i="3"/>
  <c r="CJ38" i="3"/>
  <c r="AL16" i="3"/>
  <c r="BX9" i="3"/>
  <c r="AQ37" i="3"/>
  <c r="BE38" i="3"/>
  <c r="BQ43" i="3"/>
  <c r="BV10" i="3"/>
  <c r="CL48" i="3"/>
  <c r="AM32" i="3"/>
  <c r="BA33" i="3"/>
  <c r="BP38" i="3"/>
  <c r="BQ38" i="3"/>
  <c r="CK41" i="3"/>
  <c r="BO45" i="3"/>
  <c r="BX45" i="3"/>
  <c r="AM33" i="3"/>
  <c r="AQ48" i="3"/>
  <c r="BE49" i="3"/>
  <c r="AE49" i="3"/>
  <c r="CN27" i="3"/>
  <c r="BP20" i="3"/>
  <c r="CE28" i="3"/>
  <c r="BQ37" i="3"/>
  <c r="CG44" i="3"/>
  <c r="CB44" i="3"/>
  <c r="BR37" i="3"/>
  <c r="BY47" i="3"/>
  <c r="AO45" i="3"/>
  <c r="AL49" i="3"/>
  <c r="BW39" i="3"/>
  <c r="CA47" i="3"/>
  <c r="BG39" i="3"/>
  <c r="AV50" i="3"/>
  <c r="BW50" i="3"/>
  <c r="BI39" i="3"/>
  <c r="AB56" i="3"/>
  <c r="AD40" i="3"/>
  <c r="AL50" i="3"/>
  <c r="BB42" i="3"/>
  <c r="BW56" i="3"/>
  <c r="CD56" i="3"/>
  <c r="BY56" i="3"/>
  <c r="CK42" i="3"/>
  <c r="AW54" i="3"/>
  <c r="BC48" i="3"/>
  <c r="BF48" i="3"/>
  <c r="CL51" i="3"/>
  <c r="BB63" i="3"/>
  <c r="AH63" i="3"/>
  <c r="BL63" i="3"/>
  <c r="CC47" i="3"/>
  <c r="AT57" i="3"/>
  <c r="AS47" i="3"/>
  <c r="AO52" i="3"/>
  <c r="BW54" i="3"/>
  <c r="AL63" i="3"/>
  <c r="AO57" i="3"/>
  <c r="CF58" i="3"/>
  <c r="BT46" i="3"/>
  <c r="AL52" i="3"/>
  <c r="AL66" i="3"/>
  <c r="AC60" i="3"/>
  <c r="AU60" i="3"/>
  <c r="BS61" i="3"/>
  <c r="BL53" i="3"/>
  <c r="AH64" i="3"/>
  <c r="AZ64" i="3"/>
  <c r="CK55" i="3"/>
  <c r="AE64" i="3"/>
  <c r="AH60" i="3"/>
  <c r="AI66" i="3"/>
  <c r="AX66" i="3"/>
  <c r="AN67" i="3"/>
  <c r="CB59" i="3"/>
  <c r="AZ65" i="3"/>
  <c r="AV65" i="3"/>
  <c r="AI76" i="3"/>
  <c r="AC76" i="3"/>
  <c r="CN76" i="3"/>
  <c r="AR59" i="3"/>
  <c r="CG67" i="3"/>
  <c r="BN81" i="3"/>
  <c r="BD23" i="3"/>
  <c r="AP17" i="3"/>
  <c r="CE24" i="3"/>
  <c r="BR19" i="3"/>
  <c r="AL24" i="3"/>
  <c r="BB35" i="3"/>
  <c r="BH11" i="3"/>
  <c r="BS36" i="3"/>
  <c r="CC22" i="3"/>
  <c r="BR17" i="3"/>
  <c r="BF28" i="3"/>
  <c r="BJ25" i="3"/>
  <c r="BC6" i="3"/>
  <c r="CJ13" i="3"/>
  <c r="AT8" i="3"/>
  <c r="AP15" i="3"/>
  <c r="CH16" i="3"/>
  <c r="AP31" i="3"/>
  <c r="AL31" i="3"/>
  <c r="AH34" i="3"/>
  <c r="BR43" i="3"/>
  <c r="BG41" i="3"/>
  <c r="BZ20" i="3"/>
  <c r="CN9" i="3"/>
  <c r="AO37" i="3"/>
  <c r="BD38" i="3"/>
  <c r="BN43" i="3"/>
  <c r="CL10" i="3"/>
  <c r="CK27" i="3"/>
  <c r="CH32" i="3"/>
  <c r="CF33" i="3"/>
  <c r="AQ43" i="3"/>
  <c r="CH41" i="3"/>
  <c r="BS41" i="3"/>
  <c r="AW45" i="3"/>
  <c r="AZ45" i="3"/>
  <c r="AJ33" i="3"/>
  <c r="AP48" i="3"/>
  <c r="AG49" i="3"/>
  <c r="AD49" i="3"/>
  <c r="AJ32" i="3"/>
  <c r="CG20" i="3"/>
  <c r="BO28" i="3"/>
  <c r="AV38" i="3"/>
  <c r="BO44" i="3"/>
  <c r="BE44" i="3"/>
  <c r="CI37" i="3"/>
  <c r="BN48" i="3"/>
  <c r="AK45" i="3"/>
  <c r="AK49" i="3"/>
  <c r="CK40" i="3"/>
  <c r="BP48" i="3"/>
  <c r="AB40" i="3"/>
  <c r="AF50" i="3"/>
  <c r="AZ50" i="3"/>
  <c r="BZ39" i="3"/>
  <c r="BR56" i="3"/>
  <c r="AV40" i="3"/>
  <c r="AO50" i="3"/>
  <c r="AI42" i="3"/>
  <c r="BF56" i="3"/>
  <c r="BJ56" i="3"/>
  <c r="CD37" i="3"/>
  <c r="AL45" i="3"/>
  <c r="BS54" i="3"/>
  <c r="CJ48" i="3"/>
  <c r="AH48" i="3"/>
  <c r="BU51" i="3"/>
  <c r="CG63" i="3"/>
  <c r="BV63" i="3"/>
  <c r="CC63" i="3"/>
  <c r="AE51" i="3"/>
  <c r="CG57" i="3"/>
  <c r="BK47" i="3"/>
  <c r="BW52" i="3"/>
  <c r="BD54" i="3"/>
  <c r="AK63" i="3"/>
  <c r="AN57" i="3"/>
  <c r="BK58" i="3"/>
  <c r="BD46" i="3"/>
  <c r="BJ52" i="3"/>
  <c r="AB66" i="3"/>
  <c r="CN60" i="3"/>
  <c r="AZ60" i="3"/>
  <c r="BA61" i="3"/>
  <c r="CD53" i="3"/>
  <c r="CC64" i="3"/>
  <c r="AB64" i="3"/>
  <c r="BT55" i="3"/>
  <c r="BG64" i="3"/>
  <c r="BC60" i="3"/>
  <c r="CN66" i="3"/>
  <c r="AG66" i="3"/>
  <c r="AM67" i="3"/>
  <c r="BL59" i="3"/>
  <c r="AI65" i="3"/>
  <c r="AE65" i="3"/>
  <c r="CC76" i="3"/>
  <c r="CM76" i="3"/>
  <c r="BD76" i="3"/>
  <c r="BI59" i="3"/>
  <c r="BI67" i="3"/>
  <c r="BJ59" i="3"/>
  <c r="AP69" i="3"/>
  <c r="BY69" i="3"/>
  <c r="BL77" i="3"/>
  <c r="BP77" i="3"/>
  <c r="CI70" i="3"/>
  <c r="BJ70" i="3"/>
  <c r="AD70" i="3"/>
  <c r="BR68" i="3"/>
  <c r="BB74" i="3"/>
  <c r="CA64" i="3"/>
  <c r="AU32" i="3"/>
  <c r="CC52" i="3"/>
  <c r="BI61" i="3"/>
  <c r="CE81" i="3"/>
  <c r="CA81" i="3"/>
  <c r="CD23" i="3"/>
  <c r="CD17" i="3"/>
  <c r="CJ7" i="3"/>
  <c r="CK12" i="3"/>
  <c r="BZ30" i="3"/>
  <c r="AH35" i="3"/>
  <c r="BQ11" i="3"/>
  <c r="AT36" i="3"/>
  <c r="AB22" i="3"/>
  <c r="AM18" i="3"/>
  <c r="BE28" i="3"/>
  <c r="CC25" i="3"/>
  <c r="BB13" i="3"/>
  <c r="AS5" i="3"/>
  <c r="AD8" i="3"/>
  <c r="CK15" i="3"/>
  <c r="BR16" i="3"/>
  <c r="CK31" i="3"/>
  <c r="CH31" i="3"/>
  <c r="CE34" i="3"/>
  <c r="BK45" i="3"/>
  <c r="AP42" i="3"/>
  <c r="AB21" i="3"/>
  <c r="BE10" i="3"/>
  <c r="CM37" i="3"/>
  <c r="CK38" i="3"/>
  <c r="AR43" i="3"/>
  <c r="AD14" i="3"/>
  <c r="BU27" i="3"/>
  <c r="BR32" i="3"/>
  <c r="CE33" i="3"/>
  <c r="AO43" i="3"/>
  <c r="BR41" i="3"/>
  <c r="CJ41" i="3"/>
  <c r="AE45" i="3"/>
  <c r="AF45" i="3"/>
  <c r="AD33" i="3"/>
  <c r="AO48" i="3"/>
  <c r="BX49" i="3"/>
  <c r="AC49" i="3"/>
  <c r="BN32" i="3"/>
  <c r="AI21" i="3"/>
  <c r="AY28" i="3"/>
  <c r="BZ38" i="3"/>
  <c r="AW44" i="3"/>
  <c r="BY44" i="3"/>
  <c r="BD39" i="3"/>
  <c r="AQ54" i="3"/>
  <c r="AN46" i="3"/>
  <c r="AQ49" i="3"/>
  <c r="BU40" i="3"/>
  <c r="AJ49" i="3"/>
  <c r="AT40" i="3"/>
  <c r="CM50" i="3"/>
  <c r="AE50" i="3"/>
  <c r="AU40" i="3"/>
  <c r="AB26" i="3"/>
  <c r="BN40" i="3"/>
  <c r="AC50" i="3"/>
  <c r="CE42" i="3"/>
  <c r="CM56" i="3"/>
  <c r="BX56" i="3"/>
  <c r="BN37" i="3"/>
  <c r="AO46" i="3"/>
  <c r="AT54" i="3"/>
  <c r="BS48" i="3"/>
  <c r="AY48" i="3"/>
  <c r="BD51" i="3"/>
  <c r="BQ63" i="3"/>
  <c r="AV63" i="3"/>
  <c r="AY63" i="3"/>
  <c r="AY51" i="3"/>
  <c r="BM57" i="3"/>
  <c r="CD47" i="3"/>
  <c r="BE52" i="3"/>
  <c r="BV54" i="3"/>
  <c r="AJ63" i="3"/>
  <c r="BI57" i="3"/>
  <c r="AN58" i="3"/>
  <c r="CH46" i="3"/>
  <c r="CD52" i="3"/>
  <c r="BM66" i="3"/>
  <c r="BX60" i="3"/>
  <c r="BU60" i="3"/>
  <c r="AX61" i="3"/>
  <c r="BK55" i="3"/>
  <c r="BM64" i="3"/>
  <c r="CN64" i="3"/>
  <c r="BC55" i="3"/>
  <c r="CI64" i="3"/>
  <c r="BZ60" i="3"/>
  <c r="BX66" i="3"/>
  <c r="CH66" i="3"/>
  <c r="CI20" i="3"/>
  <c r="BP52" i="3"/>
  <c r="AW61" i="3"/>
  <c r="CD81" i="3"/>
  <c r="BH36" i="3"/>
  <c r="BL23" i="3"/>
  <c r="AP13" i="3"/>
  <c r="BO7" i="3"/>
  <c r="CJ12" i="3"/>
  <c r="AD30" i="3"/>
  <c r="AX35" i="3"/>
  <c r="BO11" i="3"/>
  <c r="BW36" i="3"/>
  <c r="BI12" i="3"/>
  <c r="AI18" i="3"/>
  <c r="AK28" i="3"/>
  <c r="BG25" i="3"/>
  <c r="CG13" i="3"/>
  <c r="BP5" i="3"/>
  <c r="BI8" i="3"/>
  <c r="BU15" i="3"/>
  <c r="CG16" i="3"/>
  <c r="AO31" i="3"/>
  <c r="CB31" i="3"/>
  <c r="BN34" i="3"/>
  <c r="BF9" i="3"/>
  <c r="AO42" i="3"/>
  <c r="AS21" i="3"/>
  <c r="BU10" i="3"/>
  <c r="BV37" i="3"/>
  <c r="BT38" i="3"/>
  <c r="CF43" i="3"/>
  <c r="BK20" i="3"/>
  <c r="BE27" i="3"/>
  <c r="BB32" i="3"/>
  <c r="AY33" i="3"/>
  <c r="AN43" i="3"/>
  <c r="BL41" i="3"/>
  <c r="BQ41" i="3"/>
  <c r="CF45" i="3"/>
  <c r="BT45" i="3"/>
  <c r="BH33" i="3"/>
  <c r="CE49" i="3"/>
  <c r="BA49" i="3"/>
  <c r="AE33" i="3"/>
  <c r="AH9" i="3"/>
  <c r="AZ21" i="3"/>
  <c r="AI28" i="3"/>
  <c r="AD41" i="3"/>
  <c r="AE44" i="3"/>
  <c r="BD44" i="3"/>
  <c r="BU39" i="3"/>
  <c r="CC54" i="3"/>
  <c r="AL46" i="3"/>
  <c r="AR54" i="3"/>
  <c r="BE40" i="3"/>
  <c r="BB50" i="3"/>
  <c r="BL40" i="3"/>
  <c r="BV50" i="3"/>
  <c r="BS50" i="3"/>
  <c r="BM40" i="3"/>
  <c r="AR26" i="3"/>
  <c r="CG40" i="3"/>
  <c r="BH50" i="3"/>
  <c r="BL42" i="3"/>
  <c r="BV56" i="3"/>
  <c r="AV56" i="3"/>
  <c r="AX37" i="3"/>
  <c r="BJ46" i="3"/>
  <c r="BP54" i="3"/>
  <c r="BA48" i="3"/>
  <c r="CD48" i="3"/>
  <c r="AD51" i="3"/>
  <c r="BA63" i="3"/>
  <c r="BU63" i="3"/>
  <c r="AB63" i="3"/>
  <c r="BS51" i="3"/>
  <c r="AS57" i="3"/>
  <c r="AO51" i="3"/>
  <c r="AN52" i="3"/>
  <c r="BC54" i="3"/>
  <c r="AN63" i="3"/>
  <c r="CL57" i="3"/>
  <c r="CD58" i="3"/>
  <c r="BR46" i="3"/>
  <c r="BB31" i="3"/>
  <c r="BL52" i="3"/>
  <c r="AO55" i="3"/>
  <c r="AV61" i="3"/>
  <c r="BD81" i="3"/>
  <c r="CI42" i="3"/>
  <c r="AU23" i="3"/>
  <c r="BC7" i="3"/>
  <c r="AY7" i="3"/>
  <c r="BT12" i="3"/>
  <c r="BY30" i="3"/>
  <c r="AG35" i="3"/>
  <c r="AY11" i="3"/>
  <c r="AR36" i="3"/>
  <c r="CM12" i="3"/>
  <c r="BP25" i="3"/>
  <c r="BW28" i="3"/>
  <c r="BC25" i="3"/>
  <c r="CC13" i="3"/>
  <c r="AK6" i="3"/>
  <c r="BH8" i="3"/>
  <c r="BE15" i="3"/>
  <c r="BQ16" i="3"/>
  <c r="CJ31" i="3"/>
  <c r="AZ31" i="3"/>
  <c r="AW34" i="3"/>
  <c r="BG14" i="3"/>
  <c r="AN42" i="3"/>
  <c r="AS27" i="3"/>
  <c r="BF15" i="3"/>
  <c r="BE37" i="3"/>
  <c r="BC38" i="3"/>
  <c r="BJ43" i="3"/>
  <c r="CB20" i="3"/>
  <c r="CI27" i="3"/>
  <c r="AL32" i="3"/>
  <c r="AI33" i="3"/>
  <c r="AM43" i="3"/>
  <c r="AF41" i="3"/>
  <c r="AY41" i="3"/>
  <c r="BJ45" i="3"/>
  <c r="AY45" i="3"/>
  <c r="CL33" i="3"/>
  <c r="AI49" i="3"/>
  <c r="AF49" i="3"/>
  <c r="BI33" i="3"/>
  <c r="AX9" i="3"/>
  <c r="BQ21" i="3"/>
  <c r="CD28" i="3"/>
  <c r="CA41" i="3"/>
  <c r="CA44" i="3"/>
  <c r="BW44" i="3"/>
  <c r="CL39" i="3"/>
  <c r="BB37" i="3"/>
  <c r="BX46" i="3"/>
  <c r="CE54" i="3"/>
  <c r="CE40" i="3"/>
  <c r="AX54" i="3"/>
  <c r="CD40" i="3"/>
  <c r="BE50" i="3"/>
  <c r="AY50" i="3"/>
  <c r="CF40" i="3"/>
  <c r="BH26" i="3"/>
  <c r="AR42" i="3"/>
  <c r="CH50" i="3"/>
  <c r="AT42" i="3"/>
  <c r="BD56" i="3"/>
  <c r="BO56" i="3"/>
  <c r="AH37" i="3"/>
  <c r="CF46" i="3"/>
  <c r="AS54" i="3"/>
  <c r="CI48" i="3"/>
  <c r="BL54" i="3"/>
  <c r="AX51" i="3"/>
  <c r="CF63" i="3"/>
  <c r="AU63" i="3"/>
  <c r="CE63" i="3"/>
  <c r="CH57" i="3"/>
  <c r="CF57" i="3"/>
  <c r="AN51" i="3"/>
  <c r="AZ52" i="3"/>
  <c r="AH54" i="3"/>
  <c r="AM63" i="3"/>
  <c r="AX58" i="3"/>
  <c r="BJ58" i="3"/>
  <c r="BB46" i="3"/>
  <c r="BG54" i="3"/>
  <c r="BN66" i="3"/>
  <c r="AR60" i="3"/>
  <c r="CK61" i="3"/>
  <c r="AT66" i="3"/>
  <c r="BA60" i="3"/>
  <c r="AG64" i="3"/>
  <c r="AU64" i="3"/>
  <c r="BS55" i="3"/>
  <c r="BX42" i="3"/>
  <c r="AV6" i="3"/>
  <c r="AU57" i="3"/>
  <c r="BN50" i="3"/>
  <c r="CA52" i="3"/>
  <c r="AW55" i="3"/>
  <c r="AU61" i="3"/>
  <c r="BU81" i="3"/>
  <c r="CN79" i="3"/>
  <c r="AD23" i="3"/>
  <c r="BZ7" i="3"/>
  <c r="AI7" i="3"/>
  <c r="CF12" i="3"/>
  <c r="BI30" i="3"/>
  <c r="CA35" i="3"/>
  <c r="CF11" i="3"/>
  <c r="BO36" i="3"/>
  <c r="BD13" i="3"/>
  <c r="AX29" i="3"/>
  <c r="BV28" i="3"/>
  <c r="AF25" i="3"/>
  <c r="BM13" i="3"/>
  <c r="AJ6" i="3"/>
  <c r="AR8" i="3"/>
  <c r="AO15" i="3"/>
  <c r="BA16" i="3"/>
  <c r="BT31" i="3"/>
  <c r="CM34" i="3"/>
  <c r="BE34" i="3"/>
  <c r="CM14" i="3"/>
  <c r="AM42" i="3"/>
  <c r="BL27" i="3"/>
  <c r="BV15" i="3"/>
  <c r="AN37" i="3"/>
  <c r="AH38" i="3"/>
  <c r="CE43" i="3"/>
  <c r="BL21" i="3"/>
  <c r="AC27" i="3"/>
  <c r="CG32" i="3"/>
  <c r="CD33" i="3"/>
  <c r="AL43" i="3"/>
  <c r="BZ41" i="3"/>
  <c r="AG41" i="3"/>
  <c r="CD45" i="3"/>
  <c r="AX45" i="3"/>
  <c r="AU34" i="3"/>
  <c r="CL49" i="3"/>
  <c r="BV49" i="3"/>
  <c r="CM33" i="3"/>
  <c r="AE10" i="3"/>
  <c r="CH21" i="3"/>
  <c r="AT28" i="3"/>
  <c r="BE42" i="3"/>
  <c r="BG44" i="3"/>
  <c r="BC44" i="3"/>
  <c r="AQ40" i="3"/>
  <c r="BS37" i="3"/>
  <c r="BF46" i="3"/>
  <c r="BG56" i="3"/>
  <c r="BO40" i="3"/>
  <c r="CF54" i="3"/>
  <c r="BJ42" i="3"/>
  <c r="CL50" i="3"/>
  <c r="AD50" i="3"/>
  <c r="BK42" i="3"/>
  <c r="BX26" i="3"/>
  <c r="BM42" i="3"/>
  <c r="BF54" i="3"/>
  <c r="CD12" i="3"/>
  <c r="BB6" i="3"/>
  <c r="CB11" i="3"/>
  <c r="BN31" i="3"/>
  <c r="BZ42" i="3"/>
  <c r="BJ38" i="3"/>
  <c r="AK29" i="3"/>
  <c r="BY34" i="3"/>
  <c r="BV45" i="3"/>
  <c r="BU49" i="3"/>
  <c r="AY14" i="3"/>
  <c r="AD44" i="3"/>
  <c r="AK47" i="3"/>
  <c r="BT37" i="3"/>
  <c r="BU50" i="3"/>
  <c r="BF32" i="3"/>
  <c r="AV48" i="3"/>
  <c r="BH37" i="3"/>
  <c r="BJ54" i="3"/>
  <c r="CC56" i="3"/>
  <c r="CH63" i="3"/>
  <c r="BN63" i="3"/>
  <c r="BG57" i="3"/>
  <c r="AF51" i="3"/>
  <c r="AI54" i="3"/>
  <c r="AL57" i="3"/>
  <c r="AK58" i="3"/>
  <c r="AM57" i="3"/>
  <c r="BI60" i="3"/>
  <c r="AK61" i="3"/>
  <c r="AF60" i="3"/>
  <c r="BU64" i="3"/>
  <c r="CI55" i="3"/>
  <c r="AS55" i="3"/>
  <c r="BT66" i="3"/>
  <c r="BF66" i="3"/>
  <c r="AV59" i="3"/>
  <c r="CF65" i="3"/>
  <c r="BA76" i="3"/>
  <c r="BW76" i="3"/>
  <c r="BT76" i="3"/>
  <c r="AF67" i="3"/>
  <c r="CL70" i="3"/>
  <c r="BO69" i="3"/>
  <c r="BW69" i="3"/>
  <c r="AN77" i="3"/>
  <c r="BU77" i="3"/>
  <c r="CE70" i="3"/>
  <c r="BZ78" i="3"/>
  <c r="BU74" i="3"/>
  <c r="BY74" i="3"/>
  <c r="BN68" i="3"/>
  <c r="BO68" i="3"/>
  <c r="BG75" i="3"/>
  <c r="BN80" i="3"/>
  <c r="AF68" i="3"/>
  <c r="BE72" i="3"/>
  <c r="BI78" i="3"/>
  <c r="BR78" i="3"/>
  <c r="AV73" i="3"/>
  <c r="AP87" i="3"/>
  <c r="BV71" i="3"/>
  <c r="AH79" i="3"/>
  <c r="AF86" i="3"/>
  <c r="AZ79" i="3"/>
  <c r="AS71" i="3"/>
  <c r="CJ78" i="3"/>
  <c r="AP83" i="3"/>
  <c r="AP73" i="3"/>
  <c r="AJ87" i="3"/>
  <c r="BX79" i="3"/>
  <c r="BP79" i="3"/>
  <c r="AN84" i="3"/>
  <c r="AO85" i="3"/>
  <c r="CK76" i="3"/>
  <c r="AZ69" i="3"/>
  <c r="BS77" i="3"/>
  <c r="CI74" i="3"/>
  <c r="CL72" i="3"/>
  <c r="BM80" i="3"/>
  <c r="CI72" i="3"/>
  <c r="AK76" i="3"/>
  <c r="AJ73" i="3"/>
  <c r="BH71" i="3"/>
  <c r="BF72" i="3"/>
  <c r="AL85" i="3"/>
  <c r="AM86" i="3"/>
  <c r="BI16" i="3"/>
  <c r="CC39" i="3"/>
  <c r="BF57" i="3"/>
  <c r="AX63" i="3"/>
  <c r="BB61" i="3"/>
  <c r="AG60" i="3"/>
  <c r="BH59" i="3"/>
  <c r="BU76" i="3"/>
  <c r="BU62" i="3"/>
  <c r="BB77" i="3"/>
  <c r="AR80" i="3"/>
  <c r="AF74" i="3"/>
  <c r="CI68" i="3"/>
  <c r="AQ76" i="3"/>
  <c r="AZ73" i="3"/>
  <c r="BX71" i="3"/>
  <c r="BQ79" i="3"/>
  <c r="AR73" i="3"/>
  <c r="AL67" i="3"/>
  <c r="BL69" i="3"/>
  <c r="BC70" i="3"/>
  <c r="AB74" i="3"/>
  <c r="BU80" i="3"/>
  <c r="AN78" i="3"/>
  <c r="CL81" i="3"/>
  <c r="CN71" i="3"/>
  <c r="AH87" i="3"/>
  <c r="AN75" i="3"/>
  <c r="BI81" i="3"/>
  <c r="CE72" i="3"/>
  <c r="CN73" i="3"/>
  <c r="CK30" i="3"/>
  <c r="BP6" i="3"/>
  <c r="CA15" i="3"/>
  <c r="BW34" i="3"/>
  <c r="BW9" i="3"/>
  <c r="AS38" i="3"/>
  <c r="BJ32" i="3"/>
  <c r="AN38" i="3"/>
  <c r="BI45" i="3"/>
  <c r="CJ49" i="3"/>
  <c r="BO14" i="3"/>
  <c r="CN44" i="3"/>
  <c r="BL47" i="3"/>
  <c r="AY40" i="3"/>
  <c r="BT50" i="3"/>
  <c r="BV32" i="3"/>
  <c r="BX48" i="3"/>
  <c r="BY37" i="3"/>
  <c r="CB56" i="3"/>
  <c r="BY51" i="3"/>
  <c r="BR63" i="3"/>
  <c r="CM63" i="3"/>
  <c r="CN57" i="3"/>
  <c r="AP52" i="3"/>
  <c r="CN54" i="3"/>
  <c r="AQ57" i="3"/>
  <c r="BC58" i="3"/>
  <c r="CJ58" i="3"/>
  <c r="AS60" i="3"/>
  <c r="CN61" i="3"/>
  <c r="BV60" i="3"/>
  <c r="BA64" i="3"/>
  <c r="BL55" i="3"/>
  <c r="BM55" i="3"/>
  <c r="BB66" i="3"/>
  <c r="AO67" i="3"/>
  <c r="AF59" i="3"/>
  <c r="AG65" i="3"/>
  <c r="CE76" i="3"/>
  <c r="BG76" i="3"/>
  <c r="BV52" i="3"/>
  <c r="CK67" i="3"/>
  <c r="AS59" i="3"/>
  <c r="AY69" i="3"/>
  <c r="BA69" i="3"/>
  <c r="CH77" i="3"/>
  <c r="AK77" i="3"/>
  <c r="BH70" i="3"/>
  <c r="AP80" i="3"/>
  <c r="BE74" i="3"/>
  <c r="BI74" i="3"/>
  <c r="CF68" i="3"/>
  <c r="CG68" i="3"/>
  <c r="CM75" i="3"/>
  <c r="AX80" i="3"/>
  <c r="AX68" i="3"/>
  <c r="AO72" i="3"/>
  <c r="AS78" i="3"/>
  <c r="BT80" i="3"/>
  <c r="BL73" i="3"/>
  <c r="AQ87" i="3"/>
  <c r="CL71" i="3"/>
  <c r="AX79" i="3"/>
  <c r="AD87" i="3"/>
  <c r="AR71" i="3"/>
  <c r="BI71" i="3"/>
  <c r="AK79" i="3"/>
  <c r="BF73" i="3"/>
  <c r="BF69" i="3"/>
  <c r="CE58" i="3"/>
  <c r="BR77" i="3"/>
  <c r="CB78" i="3"/>
  <c r="AS74" i="3"/>
  <c r="CM77" i="3"/>
  <c r="BP68" i="3"/>
  <c r="AQ78" i="3"/>
  <c r="BF81" i="3"/>
  <c r="BN79" i="3"/>
  <c r="CF79" i="3"/>
  <c r="BV73" i="3"/>
  <c r="BV69" i="3"/>
  <c r="BC34" i="3"/>
  <c r="BU56" i="3"/>
  <c r="CL63" i="3"/>
  <c r="AE63" i="3"/>
  <c r="AB60" i="3"/>
  <c r="BT64" i="3"/>
  <c r="CJ66" i="3"/>
  <c r="BN65" i="3"/>
  <c r="BO58" i="3"/>
  <c r="CJ69" i="3"/>
  <c r="BE70" i="3"/>
  <c r="AC74" i="3"/>
  <c r="CA78" i="3"/>
  <c r="AP78" i="3"/>
  <c r="BV81" i="3"/>
  <c r="AC81" i="3"/>
  <c r="BV72" i="3"/>
  <c r="AZ75" i="3"/>
  <c r="BR66" i="3"/>
  <c r="CA67" i="3"/>
  <c r="BF70" i="3"/>
  <c r="BC74" i="3"/>
  <c r="BL74" i="3"/>
  <c r="AJ70" i="3"/>
  <c r="BV75" i="3"/>
  <c r="AB81" i="3"/>
  <c r="AM73" i="3"/>
  <c r="BP75" i="3"/>
  <c r="BE80" i="3"/>
  <c r="AR81" i="3"/>
  <c r="BC82" i="3"/>
  <c r="AU81" i="3"/>
  <c r="CK78" i="3"/>
  <c r="BL35" i="3"/>
  <c r="BN6" i="3"/>
  <c r="BS15" i="3"/>
  <c r="BT34" i="3"/>
  <c r="CM9" i="3"/>
  <c r="AB38" i="3"/>
  <c r="BK41" i="3"/>
  <c r="AK43" i="3"/>
  <c r="CA45" i="3"/>
  <c r="BS49" i="3"/>
  <c r="BL15" i="3"/>
  <c r="BH44" i="3"/>
  <c r="CJ37" i="3"/>
  <c r="BK40" i="3"/>
  <c r="BC50" i="3"/>
  <c r="BF37" i="3"/>
  <c r="CL54" i="3"/>
  <c r="BL39" i="3"/>
  <c r="BS42" i="3"/>
  <c r="AC51" i="3"/>
  <c r="BP63" i="3"/>
  <c r="BM63" i="3"/>
  <c r="BW57" i="3"/>
  <c r="CK52" i="3"/>
  <c r="BU54" i="3"/>
  <c r="AP57" i="3"/>
  <c r="CI58" i="3"/>
  <c r="BC63" i="3"/>
  <c r="BH60" i="3"/>
  <c r="BT61" i="3"/>
  <c r="AY61" i="3"/>
  <c r="AC64" i="3"/>
  <c r="CF55" i="3"/>
  <c r="CG55" i="3"/>
  <c r="BA66" i="3"/>
  <c r="AQ67" i="3"/>
  <c r="AQ59" i="3"/>
  <c r="CE65" i="3"/>
  <c r="BO76" i="3"/>
  <c r="BU67" i="3"/>
  <c r="CK62" i="3"/>
  <c r="CD69" i="3"/>
  <c r="BZ70" i="3"/>
  <c r="BB72" i="3"/>
  <c r="CB73" i="3"/>
  <c r="BA79" i="3"/>
  <c r="BP27" i="3"/>
  <c r="BY52" i="3"/>
  <c r="CE64" i="3"/>
  <c r="AP67" i="3"/>
  <c r="BE67" i="3"/>
  <c r="BS70" i="3"/>
  <c r="BA72" i="3"/>
  <c r="BS72" i="3"/>
  <c r="CD79" i="3"/>
  <c r="AJ86" i="3"/>
  <c r="AW65" i="3"/>
  <c r="BX70" i="3"/>
  <c r="BC72" i="3"/>
  <c r="AS81" i="3"/>
  <c r="BH73" i="3"/>
  <c r="CF73" i="3"/>
  <c r="BH81" i="3"/>
  <c r="CN17" i="3"/>
  <c r="AW13" i="3"/>
  <c r="CJ10" i="3"/>
  <c r="BH38" i="3"/>
  <c r="AV27" i="3"/>
  <c r="BD45" i="3"/>
  <c r="BB49" i="3"/>
  <c r="BV17" i="3"/>
  <c r="CH44" i="3"/>
  <c r="CM39" i="3"/>
  <c r="CC40" i="3"/>
  <c r="CD50" i="3"/>
  <c r="AS39" i="3"/>
  <c r="CN42" i="3"/>
  <c r="CN51" i="3"/>
  <c r="AZ63" i="3"/>
  <c r="AV54" i="3"/>
  <c r="AK66" i="3"/>
  <c r="BD61" i="3"/>
  <c r="AY76" i="3"/>
  <c r="BN69" i="3"/>
  <c r="BS74" i="3"/>
  <c r="AW80" i="3"/>
  <c r="BF75" i="3"/>
  <c r="AD81" i="3"/>
  <c r="AJ71" i="3"/>
  <c r="BM76" i="3"/>
  <c r="AL77" i="3"/>
  <c r="CD72" i="3"/>
  <c r="AO76" i="3"/>
  <c r="AT81" i="3"/>
  <c r="AZ71" i="3"/>
  <c r="AM82" i="3"/>
  <c r="BP71" i="3"/>
  <c r="BB73" i="3"/>
  <c r="BI36" i="3"/>
  <c r="BZ13" i="3"/>
  <c r="AS16" i="3"/>
  <c r="CI34" i="3"/>
  <c r="BH14" i="3"/>
  <c r="BN38" i="3"/>
  <c r="BH32" i="3"/>
  <c r="CL27" i="3"/>
  <c r="AI45" i="3"/>
  <c r="BK49" i="3"/>
  <c r="AK22" i="3"/>
  <c r="BL44" i="3"/>
  <c r="AR40" i="3"/>
  <c r="BI42" i="3"/>
  <c r="BX50" i="3"/>
  <c r="BH46" i="3"/>
  <c r="CL56" i="3"/>
  <c r="AX40" i="3"/>
  <c r="CH48" i="3"/>
  <c r="BW51" i="3"/>
  <c r="BY63" i="3"/>
  <c r="CK47" i="3"/>
  <c r="CI57" i="3"/>
  <c r="BH52" i="3"/>
  <c r="BT54" i="3"/>
  <c r="CK63" i="3"/>
  <c r="CJ46" i="3"/>
  <c r="AJ66" i="3"/>
  <c r="CG60" i="3"/>
  <c r="AJ61" i="3"/>
  <c r="BO64" i="3"/>
  <c r="BS64" i="3"/>
  <c r="BB60" i="3"/>
  <c r="CA61" i="3"/>
  <c r="BY59" i="3"/>
  <c r="BE76" i="3"/>
  <c r="AY58" i="3"/>
  <c r="BE62" i="3"/>
  <c r="CB80" i="3"/>
  <c r="AG80" i="3"/>
  <c r="BP73" i="3"/>
  <c r="CG79" i="3"/>
  <c r="CL75" i="3"/>
  <c r="BX73" i="3"/>
  <c r="BY81" i="3"/>
  <c r="BB25" i="3"/>
  <c r="BJ13" i="3"/>
  <c r="AC16" i="3"/>
  <c r="BP34" i="3"/>
  <c r="CE27" i="3"/>
  <c r="BK43" i="3"/>
  <c r="AR32" i="3"/>
  <c r="BL32" i="3"/>
  <c r="BB45" i="3"/>
  <c r="AT49" i="3"/>
  <c r="BV27" i="3"/>
  <c r="CE44" i="3"/>
  <c r="BJ40" i="3"/>
  <c r="BA46" i="3"/>
  <c r="BF50" i="3"/>
  <c r="BG47" i="3"/>
  <c r="BT56" i="3"/>
  <c r="CI40" i="3"/>
  <c r="BB48" i="3"/>
  <c r="BF51" i="3"/>
  <c r="BF63" i="3"/>
  <c r="BU47" i="3"/>
  <c r="BN57" i="3"/>
  <c r="AQ52" i="3"/>
  <c r="AF57" i="3"/>
  <c r="BZ58" i="3"/>
  <c r="AB46" i="3"/>
  <c r="AO66" i="3"/>
  <c r="AE60" i="3"/>
  <c r="CM61" i="3"/>
  <c r="AY64" i="3"/>
  <c r="BF64" i="3"/>
  <c r="BW60" i="3"/>
  <c r="BH64" i="3"/>
  <c r="AZ66" i="3"/>
  <c r="CF67" i="3"/>
  <c r="BK62" i="3"/>
  <c r="AF65" i="3"/>
  <c r="AW76" i="3"/>
  <c r="BC76" i="3"/>
  <c r="AI58" i="3"/>
  <c r="BZ67" i="3"/>
  <c r="CJ62" i="3"/>
  <c r="AV69" i="3"/>
  <c r="CD77" i="3"/>
  <c r="CF77" i="3"/>
  <c r="CB70" i="3"/>
  <c r="BW70" i="3"/>
  <c r="BY68" i="3"/>
  <c r="CH74" i="3"/>
  <c r="BH74" i="3"/>
  <c r="CC72" i="3"/>
  <c r="BC73" i="3"/>
  <c r="AB18" i="3"/>
  <c r="BY13" i="3"/>
  <c r="BX16" i="3"/>
  <c r="CJ34" i="3"/>
  <c r="AV33" i="3"/>
  <c r="BZ43" i="3"/>
  <c r="AP32" i="3"/>
  <c r="AT34" i="3"/>
  <c r="AC45" i="3"/>
  <c r="BQ49" i="3"/>
  <c r="CH28" i="3"/>
  <c r="BK44" i="3"/>
  <c r="BH42" i="3"/>
  <c r="BP56" i="3"/>
  <c r="CG54" i="3"/>
  <c r="CI47" i="3"/>
  <c r="BM56" i="3"/>
  <c r="AU42" i="3"/>
  <c r="CK48" i="3"/>
  <c r="CM51" i="3"/>
  <c r="BX63" i="3"/>
  <c r="BA47" i="3"/>
  <c r="BL57" i="3"/>
  <c r="BX52" i="3"/>
  <c r="BE57" i="3"/>
  <c r="BI58" i="3"/>
  <c r="AT46" i="3"/>
  <c r="AN66" i="3"/>
  <c r="CF60" i="3"/>
  <c r="BX61" i="3"/>
  <c r="AI64" i="3"/>
  <c r="CH64" i="3"/>
  <c r="AZ61" i="3"/>
  <c r="CJ64" i="3"/>
  <c r="AH66" i="3"/>
  <c r="BB67" i="3"/>
  <c r="CD62" i="3"/>
  <c r="CD65" i="3"/>
  <c r="AG76" i="3"/>
  <c r="BR76" i="3"/>
  <c r="BH58" i="3"/>
  <c r="BH67" i="3"/>
  <c r="BT62" i="3"/>
  <c r="CF69" i="3"/>
  <c r="BN77" i="3"/>
  <c r="AZ77" i="3"/>
  <c r="BL70" i="3"/>
  <c r="BB70" i="3"/>
  <c r="BI68" i="3"/>
  <c r="BR74" i="3"/>
  <c r="CN74" i="3"/>
  <c r="AO74" i="3"/>
  <c r="CI80" i="3"/>
  <c r="BZ81" i="3"/>
  <c r="CC19" i="3"/>
  <c r="AS13" i="3"/>
  <c r="CF16" i="3"/>
  <c r="BF14" i="3"/>
  <c r="BZ33" i="3"/>
  <c r="BH43" i="3"/>
  <c r="BU32" i="3"/>
  <c r="BH41" i="3"/>
  <c r="AO27" i="3"/>
  <c r="AR49" i="3"/>
  <c r="BR28" i="3"/>
  <c r="BI44" i="3"/>
  <c r="AM46" i="3"/>
  <c r="CL26" i="3"/>
  <c r="BQ56" i="3"/>
  <c r="AU48" i="3"/>
  <c r="AS56" i="3"/>
  <c r="BQ42" i="3"/>
  <c r="BT48" i="3"/>
  <c r="BV51" i="3"/>
  <c r="BE63" i="3"/>
  <c r="CF47" i="3"/>
  <c r="AR57" i="3"/>
  <c r="BG52" i="3"/>
  <c r="CK57" i="3"/>
  <c r="AR58" i="3"/>
  <c r="AG47" i="3"/>
  <c r="AM66" i="3"/>
  <c r="BN60" i="3"/>
  <c r="CB66" i="3"/>
  <c r="CD64" i="3"/>
  <c r="BC67" i="3"/>
  <c r="BZ61" i="3"/>
  <c r="BK67" i="3"/>
  <c r="CI66" i="3"/>
  <c r="CD67" i="3"/>
  <c r="CH65" i="3"/>
  <c r="BM65" i="3"/>
  <c r="CB76" i="3"/>
  <c r="AH76" i="3"/>
  <c r="BY58" i="3"/>
  <c r="BY67" i="3"/>
  <c r="BS62" i="3"/>
  <c r="BI69" i="3"/>
  <c r="AX77" i="3"/>
  <c r="AJ77" i="3"/>
  <c r="AV70" i="3"/>
  <c r="AH70" i="3"/>
  <c r="AS68" i="3"/>
  <c r="CF74" i="3"/>
  <c r="BE78" i="3"/>
  <c r="AM74" i="3"/>
  <c r="AL75" i="3"/>
  <c r="BS80" i="3"/>
  <c r="AU80" i="3"/>
  <c r="AW72" i="3"/>
  <c r="BO72" i="3"/>
  <c r="CE78" i="3"/>
  <c r="BU78" i="3"/>
  <c r="AW78" i="3"/>
  <c r="BS82" i="3"/>
  <c r="AT75" i="3"/>
  <c r="BX81" i="3"/>
  <c r="AP82" i="3"/>
  <c r="BR73" i="3"/>
  <c r="BG82" i="3"/>
  <c r="CI73" i="3"/>
  <c r="BK81" i="3"/>
  <c r="BV78" i="3"/>
  <c r="BW78" i="3"/>
  <c r="BF79" i="3"/>
  <c r="BJ73" i="3"/>
  <c r="BE58" i="3"/>
  <c r="CD80" i="3"/>
  <c r="BM72" i="3"/>
  <c r="AT73" i="3"/>
  <c r="BP55" i="3"/>
  <c r="AS28" i="3"/>
  <c r="AD6" i="3"/>
  <c r="AK18" i="3"/>
  <c r="BV14" i="3"/>
  <c r="CE48" i="3"/>
  <c r="BT43" i="3"/>
  <c r="BQ32" i="3"/>
  <c r="CN41" i="3"/>
  <c r="AM27" i="3"/>
  <c r="BP49" i="3"/>
  <c r="CF28" i="3"/>
  <c r="BV44" i="3"/>
  <c r="AK46" i="3"/>
  <c r="BG31" i="3"/>
  <c r="CN39" i="3"/>
  <c r="AP49" i="3"/>
  <c r="CF56" i="3"/>
  <c r="AM47" i="3"/>
  <c r="BQ48" i="3"/>
  <c r="BE51" i="3"/>
  <c r="AI63" i="3"/>
  <c r="BO47" i="3"/>
  <c r="AE57" i="3"/>
  <c r="BT52" i="3"/>
  <c r="AW58" i="3"/>
  <c r="AQ58" i="3"/>
  <c r="AZ47" i="3"/>
  <c r="AC66" i="3"/>
  <c r="AV60" i="3"/>
  <c r="AX67" i="3"/>
  <c r="BN64" i="3"/>
  <c r="CL67" i="3"/>
  <c r="AV66" i="3"/>
  <c r="CN67" i="3"/>
  <c r="BQ66" i="3"/>
  <c r="AZ67" i="3"/>
  <c r="BR65" i="3"/>
  <c r="AB65" i="3"/>
  <c r="BL76" i="3"/>
  <c r="BP76" i="3"/>
  <c r="BZ59" i="3"/>
  <c r="BG67" i="3"/>
  <c r="BC62" i="3"/>
  <c r="AN69" i="3"/>
  <c r="CB77" i="3"/>
  <c r="BQ77" i="3"/>
  <c r="BK70" i="3"/>
  <c r="BV70" i="3"/>
  <c r="AC68" i="3"/>
  <c r="BP74" i="3"/>
  <c r="BF80" i="3"/>
  <c r="AE74" i="3"/>
  <c r="AJ75" i="3"/>
  <c r="BC80" i="3"/>
  <c r="AE80" i="3"/>
  <c r="CA72" i="3"/>
  <c r="AY72" i="3"/>
  <c r="BO78" i="3"/>
  <c r="AL80" i="3"/>
  <c r="BM78" i="3"/>
  <c r="CI82" i="3"/>
  <c r="BJ75" i="3"/>
  <c r="CN81" i="3"/>
  <c r="BF82" i="3"/>
  <c r="CH73" i="3"/>
  <c r="BW82" i="3"/>
  <c r="AG75" i="3"/>
  <c r="AB82" i="3"/>
  <c r="CL78" i="3"/>
  <c r="CM78" i="3"/>
  <c r="BV79" i="3"/>
  <c r="BD75" i="3"/>
  <c r="AZ54" i="3"/>
  <c r="AW68" i="3"/>
  <c r="BK80" i="3"/>
  <c r="AY81" i="3"/>
  <c r="CG28" i="3"/>
  <c r="AQ7" i="3"/>
  <c r="BB19" i="3"/>
  <c r="CL14" i="3"/>
  <c r="AB9" i="3"/>
  <c r="BI43" i="3"/>
  <c r="BE33" i="3"/>
  <c r="BV41" i="3"/>
  <c r="AL27" i="3"/>
  <c r="BL49" i="3"/>
  <c r="BM28" i="3"/>
  <c r="BU44" i="3"/>
  <c r="AZ46" i="3"/>
  <c r="BW31" i="3"/>
  <c r="BH39" i="3"/>
  <c r="CK54" i="3"/>
  <c r="AR56" i="3"/>
  <c r="BI47" i="3"/>
  <c r="AZ48" i="3"/>
  <c r="BR51" i="3"/>
  <c r="BW63" i="3"/>
  <c r="AY47" i="3"/>
  <c r="BD57" i="3"/>
  <c r="CA54" i="3"/>
  <c r="BV58" i="3"/>
  <c r="BX58" i="3"/>
  <c r="BS47" i="3"/>
  <c r="AJ67" i="3"/>
  <c r="AD60" i="3"/>
  <c r="BS53" i="3"/>
  <c r="AX64" i="3"/>
  <c r="CN55" i="3"/>
  <c r="CD66" i="3"/>
  <c r="BD66" i="3"/>
  <c r="BP66" i="3"/>
  <c r="BO67" i="3"/>
  <c r="BB65" i="3"/>
  <c r="BD65" i="3"/>
  <c r="BZ76" i="3"/>
  <c r="AE76" i="3"/>
  <c r="AC62" i="3"/>
  <c r="BX67" i="3"/>
  <c r="AD62" i="3"/>
  <c r="BZ69" i="3"/>
  <c r="AV77" i="3"/>
  <c r="BO77" i="3"/>
  <c r="AU70" i="3"/>
  <c r="BA70" i="3"/>
  <c r="CH68" i="3"/>
  <c r="AZ74" i="3"/>
  <c r="AB68" i="3"/>
  <c r="BK74" i="3"/>
  <c r="CE75" i="3"/>
  <c r="CG80" i="3"/>
  <c r="BY80" i="3"/>
  <c r="BK72" i="3"/>
  <c r="BD72" i="3"/>
  <c r="AY78" i="3"/>
  <c r="BV80" i="3"/>
  <c r="CC78" i="3"/>
  <c r="AJ83" i="3"/>
  <c r="BZ75" i="3"/>
  <c r="AO82" i="3"/>
  <c r="BV82" i="3"/>
  <c r="BF77" i="3"/>
  <c r="CM82" i="3"/>
  <c r="AW75" i="3"/>
  <c r="AR82" i="3"/>
  <c r="BC79" i="3"/>
  <c r="BD79" i="3"/>
  <c r="CL79" i="3"/>
  <c r="BT75" i="3"/>
  <c r="AO84" i="3"/>
  <c r="AM85" i="3"/>
  <c r="BH66" i="3"/>
  <c r="CB65" i="3"/>
  <c r="CM74" i="3"/>
  <c r="AV75" i="3"/>
  <c r="AQ80" i="3"/>
  <c r="AJ84" i="3"/>
  <c r="AK85" i="3"/>
  <c r="BL7" i="3"/>
  <c r="AS34" i="3"/>
  <c r="AY46" i="3"/>
  <c r="BZ56" i="3"/>
  <c r="AM51" i="3"/>
  <c r="AT53" i="3"/>
  <c r="BI66" i="3"/>
  <c r="AZ76" i="3"/>
  <c r="AP77" i="3"/>
  <c r="AV68" i="3"/>
  <c r="BR80" i="3"/>
  <c r="AH85" i="3"/>
  <c r="AL86" i="3"/>
  <c r="AM72" i="3"/>
  <c r="CF75" i="3"/>
  <c r="AJ78" i="3"/>
  <c r="AU25" i="3"/>
  <c r="BR7" i="3"/>
  <c r="CD19" i="3"/>
  <c r="BH21" i="3"/>
  <c r="AR20" i="3"/>
  <c r="CB43" i="3"/>
  <c r="CI33" i="3"/>
  <c r="BD41" i="3"/>
  <c r="CM27" i="3"/>
  <c r="BB34" i="3"/>
  <c r="BO32" i="3"/>
  <c r="BA44" i="3"/>
  <c r="BY46" i="3"/>
  <c r="BD37" i="3"/>
  <c r="CH42" i="3"/>
  <c r="BP42" i="3"/>
  <c r="AI56" i="3"/>
  <c r="CJ50" i="3"/>
  <c r="BM48" i="3"/>
  <c r="AO56" i="3"/>
  <c r="BD63" i="3"/>
  <c r="AI47" i="3"/>
  <c r="CJ57" i="3"/>
  <c r="CI54" i="3"/>
  <c r="AQ63" i="3"/>
  <c r="BG58" i="3"/>
  <c r="CM47" i="3"/>
  <c r="BR67" i="3"/>
  <c r="CE60" i="3"/>
  <c r="BC53" i="3"/>
  <c r="AW64" i="3"/>
  <c r="BX55" i="3"/>
  <c r="BJ67" i="3"/>
  <c r="BM67" i="3"/>
  <c r="AW66" i="3"/>
  <c r="BG66" i="3"/>
  <c r="CI65" i="3"/>
  <c r="BZ65" i="3"/>
  <c r="BJ76" i="3"/>
  <c r="BH76" i="3"/>
  <c r="AS62" i="3"/>
  <c r="BD67" i="3"/>
  <c r="AT62" i="3"/>
  <c r="BE69" i="3"/>
  <c r="BZ77" i="3"/>
  <c r="BH77" i="3"/>
  <c r="AE70" i="3"/>
  <c r="AG70" i="3"/>
  <c r="BB68" i="3"/>
  <c r="CE74" i="3"/>
  <c r="CE68" i="3"/>
  <c r="BE75" i="3"/>
  <c r="BO75" i="3"/>
  <c r="BQ80" i="3"/>
  <c r="BI80" i="3"/>
  <c r="AU72" i="3"/>
  <c r="CG72" i="3"/>
  <c r="BP78" i="3"/>
  <c r="AL78" i="3"/>
  <c r="AD79" i="3"/>
  <c r="AF85" i="3"/>
  <c r="BD77" i="3"/>
  <c r="BE82" i="3"/>
  <c r="CL82" i="3"/>
  <c r="BV77" i="3"/>
  <c r="AN83" i="3"/>
  <c r="BM75" i="3"/>
  <c r="BH82" i="3"/>
  <c r="BS79" i="3"/>
  <c r="BT79" i="3"/>
  <c r="AP85" i="3"/>
  <c r="AE78" i="3"/>
  <c r="AM83" i="3"/>
  <c r="CC75" i="3"/>
  <c r="CI79" i="3"/>
  <c r="AN86" i="3"/>
  <c r="AJ85" i="3"/>
  <c r="AB83" i="3"/>
  <c r="AM84" i="3"/>
  <c r="CG66" i="3"/>
  <c r="CJ76" i="3"/>
  <c r="AQ77" i="3"/>
  <c r="AD68" i="3"/>
  <c r="BO80" i="3"/>
  <c r="BQ78" i="3"/>
  <c r="AN85" i="3"/>
  <c r="BP31" i="3"/>
  <c r="AM48" i="3"/>
  <c r="AC31" i="3"/>
  <c r="BT58" i="3"/>
  <c r="CD54" i="3"/>
  <c r="CL66" i="3"/>
  <c r="AS76" i="3"/>
  <c r="BC69" i="3"/>
  <c r="CK74" i="3"/>
  <c r="BG80" i="3"/>
  <c r="AB86" i="3"/>
  <c r="AJ79" i="3"/>
  <c r="AQ74" i="3"/>
  <c r="BJ81" i="3"/>
  <c r="AD75" i="3"/>
  <c r="BS73" i="3"/>
  <c r="AC25" i="3"/>
  <c r="AV8" i="3"/>
  <c r="BV23" i="3"/>
  <c r="AK16" i="3"/>
  <c r="AC21" i="3"/>
  <c r="BP45" i="3"/>
  <c r="CH33" i="3"/>
  <c r="BU41" i="3"/>
  <c r="CA34" i="3"/>
  <c r="AN41" i="3"/>
  <c r="AF33" i="3"/>
  <c r="AH44" i="3"/>
  <c r="BZ47" i="3"/>
  <c r="CG42" i="3"/>
  <c r="BF47" i="3"/>
  <c r="AZ42" i="3"/>
  <c r="BN56" i="3"/>
  <c r="BI54" i="3"/>
  <c r="AS48" i="3"/>
  <c r="AL56" i="3"/>
  <c r="BT63" i="3"/>
  <c r="AR47" i="3"/>
  <c r="AV58" i="3"/>
  <c r="BR54" i="3"/>
  <c r="AP63" i="3"/>
  <c r="AP58" i="3"/>
  <c r="AL51" i="3"/>
  <c r="AS66" i="3"/>
  <c r="BM60" i="3"/>
  <c r="CH53" i="3"/>
  <c r="CB64" i="3"/>
  <c r="BH55" i="3"/>
  <c r="CM67" i="3"/>
  <c r="CE66" i="3"/>
  <c r="AF66" i="3"/>
  <c r="BP67" i="3"/>
  <c r="BQ65" i="3"/>
  <c r="CL69" i="3"/>
  <c r="AT76" i="3"/>
  <c r="BF76" i="3"/>
  <c r="BL62" i="3"/>
  <c r="AC67" i="3"/>
  <c r="BM62" i="3"/>
  <c r="AK69" i="3"/>
  <c r="BJ77" i="3"/>
  <c r="BC77" i="3"/>
  <c r="BY70" i="3"/>
  <c r="BU70" i="3"/>
  <c r="AT68" i="3"/>
  <c r="BO74" i="3"/>
  <c r="AD74" i="3"/>
  <c r="BJ78" i="3"/>
  <c r="AY75" i="3"/>
  <c r="BA80" i="3"/>
  <c r="AS80" i="3"/>
  <c r="BY72" i="3"/>
  <c r="AH74" i="3"/>
  <c r="AO80" i="3"/>
  <c r="AN80" i="3"/>
  <c r="AT79" i="3"/>
  <c r="AD86" i="3"/>
  <c r="BT77" i="3"/>
  <c r="BU82" i="3"/>
  <c r="CL77" i="3"/>
  <c r="AL84" i="3"/>
  <c r="BX82" i="3"/>
  <c r="CJ79" i="3"/>
  <c r="AU78" i="3"/>
  <c r="AO83" i="3"/>
  <c r="BK78" i="3"/>
  <c r="AB79" i="3"/>
  <c r="AY65" i="3"/>
  <c r="AW69" i="3"/>
  <c r="BO70" i="3"/>
  <c r="AZ80" i="3"/>
  <c r="AD85" i="3"/>
  <c r="AF87" i="3"/>
  <c r="AO86" i="3"/>
  <c r="BR6" i="3"/>
  <c r="BN27" i="3"/>
  <c r="AT44" i="3"/>
  <c r="AS42" i="3"/>
  <c r="CN63" i="3"/>
  <c r="BC61" i="3"/>
  <c r="CJ70" i="3"/>
  <c r="AV67" i="3"/>
  <c r="AY77" i="3"/>
  <c r="AG74" i="3"/>
  <c r="BY78" i="3"/>
  <c r="BF71" i="3"/>
  <c r="AC71" i="3"/>
  <c r="BH79" i="3"/>
  <c r="AM76" i="3"/>
  <c r="AE81" i="3"/>
  <c r="AK78" i="3"/>
  <c r="BP18" i="3"/>
  <c r="CN25" i="3"/>
  <c r="AU8" i="3"/>
  <c r="BD31" i="3"/>
  <c r="AZ32" i="3"/>
  <c r="AT21" i="3"/>
  <c r="CF48" i="3"/>
  <c r="BB33" i="3"/>
  <c r="CI41" i="3"/>
  <c r="CM43" i="3"/>
  <c r="AM41" i="3"/>
  <c r="BJ33" i="3"/>
  <c r="CL45" i="3"/>
  <c r="BE26" i="3"/>
  <c r="BE47" i="3"/>
  <c r="CG47" i="3"/>
  <c r="CD42" i="3"/>
  <c r="AG56" i="3"/>
  <c r="AE56" i="3"/>
  <c r="CB48" i="3"/>
  <c r="AQ56" i="3"/>
  <c r="AT63" i="3"/>
  <c r="BJ47" i="3"/>
  <c r="BU58" i="3"/>
  <c r="BA54" i="3"/>
  <c r="CJ63" i="3"/>
  <c r="AM58" i="3"/>
  <c r="BJ51" i="3"/>
  <c r="CA66" i="3"/>
  <c r="AP61" i="3"/>
  <c r="BR53" i="3"/>
  <c r="BL64" i="3"/>
  <c r="AR55" i="3"/>
  <c r="AD53" i="3"/>
  <c r="BO66" i="3"/>
  <c r="BL66" i="3"/>
  <c r="AT70" i="3"/>
  <c r="CG65" i="3"/>
  <c r="AU69" i="3"/>
  <c r="AD76" i="3"/>
  <c r="CL76" i="3"/>
  <c r="AC65" i="3"/>
  <c r="BA67" i="3"/>
  <c r="CF62" i="3"/>
  <c r="BD69" i="3"/>
  <c r="AT77" i="3"/>
  <c r="CK77" i="3"/>
  <c r="BI70" i="3"/>
  <c r="AZ70" i="3"/>
  <c r="BL68" i="3"/>
  <c r="CC74" i="3"/>
  <c r="BJ74" i="3"/>
  <c r="BF61" i="3"/>
  <c r="CB75" i="3"/>
  <c r="CF80" i="3"/>
  <c r="AC80" i="3"/>
  <c r="BI72" i="3"/>
  <c r="BN74" i="3"/>
  <c r="AK80" i="3"/>
  <c r="BX80" i="3"/>
  <c r="BJ79" i="3"/>
  <c r="AB87" i="3"/>
  <c r="CJ77" i="3"/>
  <c r="CK82" i="3"/>
  <c r="AK84" i="3"/>
  <c r="BC78" i="3"/>
  <c r="BG77" i="3"/>
  <c r="AL87" i="3"/>
  <c r="BN53" i="3"/>
  <c r="BX69" i="3"/>
  <c r="AE68" i="3"/>
  <c r="CK72" i="3"/>
  <c r="AP71" i="3"/>
  <c r="BD78" i="3"/>
  <c r="AR79" i="3"/>
  <c r="BE11" i="3"/>
  <c r="CA38" i="3"/>
  <c r="AU10" i="3"/>
  <c r="AN49" i="3"/>
  <c r="BZ48" i="3"/>
  <c r="BX57" i="3"/>
  <c r="BY60" i="3"/>
  <c r="CF53" i="3"/>
  <c r="BQ76" i="3"/>
  <c r="CE69" i="3"/>
  <c r="AO78" i="3"/>
  <c r="BU72" i="3"/>
  <c r="CG78" i="3"/>
  <c r="AG87" i="3"/>
  <c r="CA80" i="3"/>
  <c r="AL73" i="3"/>
  <c r="AG78" i="3"/>
  <c r="BG78" i="3"/>
  <c r="AF29" i="3"/>
  <c r="BX25" i="3"/>
  <c r="CD8" i="3"/>
  <c r="AX31" i="3"/>
  <c r="CD32" i="3"/>
  <c r="BK21" i="3"/>
  <c r="BI9" i="3"/>
  <c r="AH33" i="3"/>
  <c r="CJ43" i="3"/>
  <c r="CI45" i="3"/>
  <c r="AK41" i="3"/>
  <c r="BD34" i="3"/>
  <c r="BI40" i="3"/>
  <c r="BF31" i="3"/>
  <c r="CB47" i="3"/>
  <c r="AT48" i="3"/>
  <c r="AX42" i="3"/>
  <c r="CJ56" i="3"/>
  <c r="AJ54" i="3"/>
  <c r="CA48" i="3"/>
  <c r="AP56" i="3"/>
  <c r="BO63" i="3"/>
  <c r="BR57" i="3"/>
  <c r="AC63" i="3"/>
  <c r="CH54" i="3"/>
  <c r="AG51" i="3"/>
  <c r="CC58" i="3"/>
  <c r="CD51" i="3"/>
  <c r="AW67" i="3"/>
  <c r="BU61" i="3"/>
  <c r="BB53" i="3"/>
  <c r="BV64" i="3"/>
  <c r="AB55" i="3"/>
  <c r="AV53" i="3"/>
  <c r="AY66" i="3"/>
  <c r="BJ66" i="3"/>
  <c r="CH70" i="3"/>
  <c r="BP65" i="3"/>
  <c r="CK70" i="3"/>
  <c r="BY76" i="3"/>
  <c r="BB76" i="3"/>
  <c r="CB67" i="3"/>
  <c r="CE67" i="3"/>
  <c r="BF65" i="3"/>
  <c r="AJ69" i="3"/>
  <c r="BY77" i="3"/>
  <c r="BA77" i="3"/>
  <c r="AS70" i="3"/>
  <c r="AB70" i="3"/>
  <c r="CD68" i="3"/>
  <c r="BM74" i="3"/>
  <c r="BH78" i="3"/>
  <c r="BV61" i="3"/>
  <c r="BL75" i="3"/>
  <c r="BP80" i="3"/>
  <c r="CM80" i="3"/>
  <c r="AS72" i="3"/>
  <c r="CN75" i="3"/>
  <c r="AJ80" i="3"/>
  <c r="AC85" i="3"/>
  <c r="BZ79" i="3"/>
  <c r="AC87" i="3"/>
  <c r="BA78" i="3"/>
  <c r="AL83" i="3"/>
  <c r="AI85" i="3"/>
  <c r="BS78" i="3"/>
  <c r="AH86" i="3"/>
  <c r="BW77" i="3"/>
  <c r="AP84" i="3"/>
  <c r="CG76" i="3"/>
  <c r="BL67" i="3"/>
  <c r="CI77" i="3"/>
  <c r="AW74" i="3"/>
  <c r="BW80" i="3"/>
  <c r="AQ86" i="3"/>
  <c r="AG86" i="3"/>
  <c r="AK86" i="3"/>
  <c r="BS34" i="3"/>
  <c r="BG45" i="3"/>
  <c r="CL31" i="3"/>
  <c r="BX54" i="3"/>
  <c r="BX51" i="3"/>
  <c r="AD64" i="3"/>
  <c r="AH65" i="3"/>
  <c r="AY70" i="3"/>
  <c r="CF70" i="3"/>
  <c r="AP75" i="3"/>
  <c r="AO87" i="3"/>
  <c r="AE87" i="3"/>
  <c r="AM87" i="3"/>
  <c r="AM78" i="3"/>
  <c r="BB75" i="3"/>
  <c r="AX50" i="3"/>
  <c r="AB12" i="3"/>
  <c r="BW6" i="3"/>
  <c r="AH11" i="3"/>
  <c r="AU31" i="3"/>
  <c r="AU33" i="3"/>
  <c r="BI32" i="3"/>
  <c r="CC21" i="3"/>
  <c r="CC33" i="3"/>
  <c r="BW45" i="3"/>
  <c r="AL48" i="3"/>
  <c r="BY41" i="3"/>
  <c r="AX43" i="3"/>
  <c r="CA42" i="3"/>
  <c r="BV31" i="3"/>
  <c r="AR48" i="3"/>
  <c r="AO49" i="3"/>
  <c r="AC42" i="3"/>
  <c r="BH56" i="3"/>
  <c r="AK54" i="3"/>
  <c r="BG48" i="3"/>
  <c r="AU58" i="3"/>
  <c r="AR63" i="3"/>
  <c r="BB57" i="3"/>
  <c r="CI63" i="3"/>
  <c r="BQ54" i="3"/>
  <c r="BA51" i="3"/>
  <c r="CB58" i="3"/>
  <c r="AF54" i="3"/>
  <c r="CI67" i="3"/>
  <c r="BE61" i="3"/>
  <c r="AB53" i="3"/>
  <c r="BB64" i="3"/>
  <c r="CJ55" i="3"/>
  <c r="AW70" i="3"/>
  <c r="BI76" i="3"/>
  <c r="AC70" i="3"/>
  <c r="CI78" i="3"/>
  <c r="BB55" i="3"/>
  <c r="BT78" i="3"/>
  <c r="BF78" i="3"/>
  <c r="E32" i="4" l="1"/>
  <c r="E14" i="4"/>
  <c r="E23" i="4"/>
  <c r="H23" i="4" l="1"/>
  <c r="I23" i="4"/>
  <c r="F23" i="4"/>
  <c r="F32" i="4"/>
  <c r="F14" i="4"/>
  <c r="G14" i="4" s="1"/>
  <c r="G23" i="4"/>
  <c r="G32" i="4" l="1"/>
  <c r="J23" i="4"/>
  <c r="H14" i="4"/>
  <c r="H32" i="4" l="1"/>
  <c r="K23" i="4"/>
  <c r="I14" i="4"/>
  <c r="J14" i="4" l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L23" i="4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I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l="1"/>
</calcChain>
</file>

<file path=xl/sharedStrings.xml><?xml version="1.0" encoding="utf-8"?>
<sst xmlns="http://schemas.openxmlformats.org/spreadsheetml/2006/main" count="599" uniqueCount="133">
  <si>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</si>
  <si>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</si>
  <si>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</si>
  <si>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</si>
  <si>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</si>
  <si>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</si>
  <si>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</si>
  <si>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</si>
  <si>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</si>
  <si>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</si>
  <si>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</si>
  <si>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</si>
  <si>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</si>
  <si>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</si>
  <si>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</si>
  <si>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</si>
  <si>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</si>
  <si>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</si>
  <si>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</si>
  <si>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</si>
  <si>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</si>
  <si>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</si>
  <si>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</si>
  <si>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</si>
  <si>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</si>
  <si>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</si>
  <si>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</si>
  <si>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</si>
  <si>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</si>
  <si>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</si>
  <si>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</si>
  <si>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1 Day Theta</t>
  </si>
  <si>
    <t>Rho (1%)</t>
  </si>
  <si>
    <t>Total $Delta</t>
  </si>
  <si>
    <t>Total $Gamma</t>
  </si>
  <si>
    <t>Total Vega 1%</t>
  </si>
  <si>
    <t>Total Volga</t>
  </si>
  <si>
    <t>Total 1 Day Theta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</si>
  <si>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</si>
  <si>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</si>
  <si>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</si>
  <si>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</si>
  <si>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</si>
  <si>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</si>
  <si>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</si>
  <si>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</si>
  <si>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</si>
  <si>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</si>
  <si>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</si>
  <si>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</si>
  <si>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</si>
  <si>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</si>
  <si>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</si>
  <si>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</si>
  <si>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</si>
  <si>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</si>
  <si>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</si>
  <si>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</si>
  <si>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</si>
  <si>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</si>
  <si>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</si>
  <si>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</si>
  <si>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</si>
  <si>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</si>
  <si>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</si>
  <si>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</si>
  <si>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</si>
  <si>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</si>
  <si>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</si>
  <si>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</si>
  <si>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</si>
  <si>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</si>
  <si>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</si>
  <si>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</si>
  <si>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</si>
  <si>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</si>
  <si>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</si>
  <si>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</si>
  <si>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</si>
  <si>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</si>
  <si>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</si>
  <si>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</si>
  <si>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</si>
  <si>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</si>
  <si>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</si>
  <si>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</si>
  <si>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</si>
  <si>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</si>
  <si>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</si>
  <si>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</si>
  <si>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</si>
  <si>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</si>
  <si>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</si>
  <si>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</si>
  <si>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</si>
  <si>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</si>
  <si>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</si>
  <si>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</si>
  <si>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</si>
  <si>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</si>
  <si>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</si>
  <si>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</si>
  <si>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</si>
  <si>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</si>
  <si>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</si>
  <si>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</si>
  <si>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</si>
  <si>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</si>
  <si>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</si>
  <si>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</si>
  <si>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</si>
  <si>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</si>
  <si>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</si>
  <si>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</si>
  <si>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</si>
  <si>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</si>
  <si>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</si>
  <si>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</si>
  <si>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</si>
  <si>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</si>
  <si>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</si>
  <si>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</si>
  <si>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</si>
  <si>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</si>
  <si>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</si>
  <si>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</si>
  <si>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</si>
  <si>
    <t>Row Labels</t>
  </si>
  <si>
    <t>Sum of Und -20%, ImpVol -5%</t>
  </si>
  <si>
    <t>Sum of Und -20%, ImpVol 20%</t>
  </si>
  <si>
    <t>ESP</t>
  </si>
  <si>
    <t>Sum of Underlying Price</t>
  </si>
  <si>
    <t>DeltaVol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</si>
</sst>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43" fontId="1" fillId="0" borderId="0"/>
  </cellStyleXfs>
  <cellXfs count="103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43" fontId="0" fillId="0" borderId="0" xfId="0" applyNumberFormat="1" applyFont="1" applyFill="1" applyBorder="1" applyAlignment="1" applyProtection="1"/>
  </cellXfs>
  <cellStyles count="2">
    <cellStyle name="Comma" xfId="1" builtinId="3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2.986735995371" createdVersion="8" refreshedVersion="8" minRefreshableVersion="3" recordCount="83" xr:uid="{6F02B8E5-7C46-47C3-8E7B-858608522FB0}">
  <cacheSource type="worksheet">
    <worksheetSource ref="A4:CN87" sheet="OptionsData"/>
  </cacheSource>
  <cacheFields count="92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198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27"/>
    </cacheField>
    <cacheField name="Volga" numFmtId="167">
      <sharedItems containsSemiMixedTypes="0" containsString="0" containsNumber="1" minValue="-102.50678772842016" maxValue="2811.2702220085002"/>
    </cacheField>
    <cacheField name="1 Day Theta" numFmtId="167">
      <sharedItems containsSemiMixedTypes="0" containsString="0" containsNumber="1" minValue="-5.1677417728495127" maxValue="0.17437970580814116"/>
    </cacheField>
    <cacheField name="Rho (1%)" numFmtId="2">
      <sharedItems containsSemiMixedTypes="0" containsString="0" containsNumber="1" minValue="-35.893589172409321" maxValue="18.653739106443332"/>
    </cacheField>
    <cacheField name="Total $Delta" numFmtId="168">
      <sharedItems containsSemiMixedTypes="0" containsString="0" containsNumber="1" minValue="-133982.96737056493" maxValue="113181.21125826042"/>
    </cacheField>
    <cacheField name="Total $Gamma" numFmtId="168">
      <sharedItems containsSemiMixedTypes="0" containsString="0" containsNumber="1" minValue="-281046.33999299776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1 Day Theta" numFmtId="1">
      <sharedItems containsSemiMixedTypes="0" containsString="0" containsNumber="1" minValue="-241.68978737601896" maxValue="129.19354432123782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4" maxValue="36700.960894180069"/>
    </cacheField>
    <cacheField name="PnL: Und -10%" numFmtId="1">
      <sharedItems containsSemiMixedTypes="0" containsString="0" containsNumber="1" minValue="-13478.113184232392" maxValue="13890.151227804427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35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13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08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37" maxValue="1242.5992427091614"/>
    </cacheField>
    <cacheField name="ImpVol  +5%" numFmtId="1">
      <sharedItems containsSemiMixedTypes="0" containsString="0" containsNumber="1" minValue="-3264.9051766899447" maxValue="3143.8660996588396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86" maxValue="33300.310809056238"/>
    </cacheField>
    <cacheField name="Und -20%, ImpVol -2%" numFmtId="0">
      <sharedItems containsString="0" containsBlank="1" containsNumber="1" minValue="-30567.335996819609" maxValue="35338.154830890518"/>
    </cacheField>
    <cacheField name="Und -20%, ImpVol 0%" numFmtId="0">
      <sharedItems containsString="0" containsBlank="1" containsNumber="1" minValue="-31300.755347593484" maxValue="36700.960894180069"/>
    </cacheField>
    <cacheField name="Und -20%, ImpVol 2%" numFmtId="0">
      <sharedItems containsString="0" containsBlank="1" containsNumber="1" minValue="-32070.493874181102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54" maxValue="50434.863270506183"/>
    </cacheField>
    <cacheField name="Und -10%, ImpVol -5%" numFmtId="0">
      <sharedItems containsString="0" containsBlank="1" containsNumber="1" minValue="-11831.657262796398" maxValue="12187.565257108519"/>
    </cacheField>
    <cacheField name="Und -10%, ImpVol -2%" numFmtId="0">
      <sharedItems containsString="0" containsBlank="1" containsNumber="1" minValue="-12515.91504212689" maxValue="12438.780793895308"/>
    </cacheField>
    <cacheField name="Und -10%, ImpVol 0%" numFmtId="0">
      <sharedItems containsString="0" containsBlank="1" containsNumber="1" minValue="-13478.113184232392" maxValue="13890.151227804427"/>
    </cacheField>
    <cacheField name="Und -10%, ImpVol 2%" numFmtId="0">
      <sharedItems containsString="0" containsBlank="1" containsNumber="1" minValue="-14607.584315769054" maxValue="15344.142726238009"/>
    </cacheField>
    <cacheField name="Und -10%, ImpVol 5%" numFmtId="0">
      <sharedItems containsString="0" containsBlank="1" containsNumber="1" minValue="-16319.359670311633" maxValue="17529.241746233605"/>
    </cacheField>
    <cacheField name="Und -10%, ImpVol 10%" numFmtId="0">
      <sharedItems containsString="0" containsBlank="1" containsNumber="1" minValue="-19207.943971692977" maxValue="21179.504919453644"/>
    </cacheField>
    <cacheField name="Und -10%, ImpVol 20%" numFmtId="0">
      <sharedItems containsString="0" containsBlank="1" containsNumber="1" minValue="-25067.754577100277" maxValue="28498.723318115866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4" maxValue="12960.492843019096"/>
    </cacheField>
    <cacheField name="Und -5%, ImpVol 20%" numFmtId="0">
      <sharedItems containsString="0" containsBlank="1" containsNumber="1" minValue="-18685.829473631973" maxValue="20096.033897212124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08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37" maxValue="1242.5992427091614"/>
    </cacheField>
    <cacheField name="Und 0%, ImpVol 5%" numFmtId="0">
      <sharedItems containsString="0" containsBlank="1" containsNumber="1" minValue="-3264.9051766899447" maxValue="3143.8660996588396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61" maxValue="13150.035637541123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73"/>
    </cacheField>
    <cacheField name="Und 5%, ImpVol 5%" numFmtId="0">
      <sharedItems containsString="0" containsBlank="1" containsNumber="1" minValue="-9505.8451236540568" maxValue="3593.3773851871365"/>
    </cacheField>
    <cacheField name="Und 5%, ImpVol 10%" numFmtId="0">
      <sharedItems containsString="0" containsBlank="1" containsNumber="1" minValue="-11643.142036140353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195" maxValue="12483.420037732423"/>
    </cacheField>
    <cacheField name="Und 10%, ImpVol -2%" numFmtId="0">
      <sharedItems containsString="0" containsBlank="1" containsNumber="1" minValue="-15240.150719607209" maxValue="10618.021336034486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83" maxValue="8207.5813687028585"/>
    </cacheField>
    <cacheField name="Und 10%, ImpVol 20%" numFmtId="0">
      <sharedItems containsString="0" containsBlank="1" containsNumber="1" minValue="-24166.814441822178" maxValue="10945.760221856359"/>
    </cacheField>
    <cacheField name="Und 20%, ImpVol -5%" numFmtId="0">
      <sharedItems containsString="0" containsBlank="1" containsNumber="1" minValue="-34933.084249486361" maxValue="17940.705140913145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13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65" maxValue="16741.561266773864"/>
    </cacheField>
    <cacheField name="Und 20%, ImpVol 20%" numFmtId="0">
      <sharedItems containsString="0" containsBlank="1" containsNumber="1" minValue="-42810.936779173971" maxValue="19482.1545859984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x v="0"/>
    <n v="0.02"/>
    <s v="Future"/>
    <s v="USD"/>
    <n v="25"/>
    <x v="0"/>
    <m/>
    <d v="2010-03-19T00:00:00"/>
    <n v="0"/>
    <m/>
    <n v="1095.9089961921936"/>
    <n v="27397.72490480484"/>
    <s v="Exch"/>
    <m/>
    <n v="1095.9089961921936"/>
    <n v="0"/>
    <n v="0"/>
    <n v="0"/>
    <n v="6.0049808010531155E-2"/>
    <n v="2.0416934723580598"/>
    <n v="27397.72490480484"/>
    <n v="0"/>
    <n v="0"/>
    <n v="0"/>
    <n v="1.5012452002632788"/>
    <n v="51.042336808951497"/>
    <n v="-5479.5449809609663"/>
    <n v="-2739.7724904804845"/>
    <n v="-1369.8862452402409"/>
    <n v="-547.95449809609522"/>
    <n v="547.95449809609522"/>
    <n v="1369.8862452402409"/>
    <n v="2739.7724904804872"/>
    <n v="5479.544980960969"/>
    <n v="0"/>
    <n v="0"/>
    <n v="0"/>
    <n v="0"/>
    <n v="0"/>
    <n v="0"/>
    <n v="0"/>
    <n v="0"/>
    <n v="-5479.5449809609663"/>
    <n v="-5479.5449809609663"/>
    <n v="-5479.5449809609663"/>
    <n v="-5479.5449809609663"/>
    <n v="-5479.5449809609663"/>
    <n v="-5479.5449809609663"/>
    <n v="-5479.5449809609663"/>
    <n v="-2739.7724904804845"/>
    <n v="-2739.7724904804845"/>
    <n v="-2739.7724904804845"/>
    <n v="-2739.7724904804845"/>
    <n v="-2739.7724904804845"/>
    <n v="-2739.7724904804845"/>
    <n v="-2739.7724904804845"/>
    <n v="-1369.8862452402409"/>
    <n v="-1369.8862452402409"/>
    <n v="-1369.8862452402409"/>
    <n v="-1369.8862452402409"/>
    <n v="-1369.8862452402409"/>
    <n v="-1369.8862452402409"/>
    <n v="-1369.8862452402409"/>
    <n v="0"/>
    <n v="0"/>
    <n v="0"/>
    <n v="0"/>
    <n v="0"/>
    <n v="0"/>
    <n v="0"/>
    <n v="1369.8862452402409"/>
    <n v="1369.8862452402409"/>
    <n v="1369.8862452402409"/>
    <n v="1369.8862452402409"/>
    <n v="1369.8862452402409"/>
    <n v="1369.8862452402409"/>
    <n v="1369.8862452402409"/>
    <n v="2739.7724904804872"/>
    <n v="2739.7724904804872"/>
    <n v="2739.7724904804872"/>
    <n v="2739.7724904804872"/>
    <n v="2739.7724904804872"/>
    <n v="2739.7724904804872"/>
    <n v="2739.7724904804872"/>
    <n v="5479.544980960969"/>
    <n v="5479.544980960969"/>
    <n v="5479.544980960969"/>
    <n v="5479.544980960969"/>
    <n v="5479.544980960969"/>
    <n v="5479.544980960969"/>
    <n v="5479.544980960969"/>
  </r>
  <r>
    <x v="0"/>
    <x v="0"/>
    <n v="0.02"/>
    <s v="Option"/>
    <s v="USD"/>
    <n v="200"/>
    <x v="1"/>
    <s v="Put"/>
    <d v="2010-03-19T00:00:00"/>
    <n v="0.53252581704856539"/>
    <n v="1.0999999999999999E-2"/>
    <n v="33.099391475391343"/>
    <n v="6619.8782950782688"/>
    <s v="Exch"/>
    <m/>
    <n v="-227.53807010424387"/>
    <n v="682.4660394628205"/>
    <n v="1.3541530629344063"/>
    <n v="121.15868454404917"/>
    <n v="-0.53484938408966598"/>
    <n v="-0.48557116129904643"/>
    <n v="-45507.614020848778"/>
    <n v="136493.2078925641"/>
    <n v="270.83061258688127"/>
    <n v="24231.736908809835"/>
    <n v="-106.9698768179332"/>
    <n v="-97.114232259809285"/>
    <n v="16176.792892622467"/>
    <n v="6125.4787613437029"/>
    <n v="2642.7870083868756"/>
    <n v="966.4139176153185"/>
    <n v="-857.19662292378302"/>
    <n v="-1959.4508150206252"/>
    <n v="-3382.6881424429357"/>
    <n v="-5110.6296095527168"/>
    <n v="-2563.8568277909426"/>
    <n v="-1321.1729135165683"/>
    <n v="-536.65029813618048"/>
    <n v="-269.59875384072802"/>
    <n v="272.02250531653362"/>
    <n v="546.35224139019556"/>
    <n v="1382.114596725404"/>
    <n v="2812.0320499081627"/>
    <n v="14690.178597666221"/>
    <n v="15580.947429352233"/>
    <n v="16176.792892622467"/>
    <n v="16773.990673100838"/>
    <n v="17671.932409161756"/>
    <n v="19172.992349309909"/>
    <n v="22185.70311687468"/>
    <n v="4535.4033425655925"/>
    <n v="5488.4777820637792"/>
    <n v="6125.4787613437029"/>
    <n v="6763.5605160404621"/>
    <n v="7722.3718592347896"/>
    <n v="9323.8282076963114"/>
    <n v="12534.191395434817"/>
    <n v="1154.4754110684778"/>
    <n v="2043.3037723154314"/>
    <n v="2642.7870083868756"/>
    <n v="3247.1134463534609"/>
    <n v="4161.569811071462"/>
    <n v="5703.3873977185694"/>
    <n v="8835.6213494183121"/>
    <n v="-1321.1729135165683"/>
    <n v="-536.65029813618048"/>
    <n v="0"/>
    <n v="546.35224139019556"/>
    <n v="1382.114596725404"/>
    <n v="2812.0320499081627"/>
    <n v="5777.7378316767399"/>
    <n v="-3080.5867133288643"/>
    <n v="-2419.820457702599"/>
    <n v="-1959.4508150206252"/>
    <n v="-1484.6912306306763"/>
    <n v="-748.08230166487419"/>
    <n v="536.489850741998"/>
    <n v="3273.7428649896742"/>
    <n v="-4298.1741201006944"/>
    <n v="-3763.4883895629287"/>
    <n v="-3382.6881424429357"/>
    <n v="-2983.8851018187315"/>
    <n v="-2354.5195579927736"/>
    <n v="-1231.5277632403479"/>
    <n v="1240.3575544942385"/>
    <n v="-5666.1896798425614"/>
    <n v="-5348.8572186071578"/>
    <n v="-5110.6296095527168"/>
    <n v="-4851.7155179387883"/>
    <n v="-4426.032161556449"/>
    <n v="-3623.3250700034773"/>
    <n v="-1712.4546650113643"/>
  </r>
  <r>
    <x v="0"/>
    <x v="0"/>
    <n v="0.02"/>
    <s v="Option"/>
    <s v="USD"/>
    <n v="-50"/>
    <x v="2"/>
    <s v="Put"/>
    <d v="2010-03-19T00:00:00"/>
    <n v="0.47079318216922272"/>
    <n v="1.0999999999999999E-2"/>
    <n v="44.908614206035793"/>
    <n v="-2245.4307103017895"/>
    <s v="Exch"/>
    <m/>
    <n v="-316.28505947436707"/>
    <n v="920.94642833417947"/>
    <n v="1.6155134450954702"/>
    <n v="67.766641768526227"/>
    <n v="-0.56569004325751393"/>
    <n v="-0.67290876192513405"/>
    <n v="15814.252973718354"/>
    <n v="-46047.321416708975"/>
    <n v="-80.775672254773511"/>
    <n v="-3388.3320884263112"/>
    <n v="28.284502162875697"/>
    <n v="33.645438096256704"/>
    <n v="-5357.9581345446995"/>
    <n v="-2094.8540233587037"/>
    <n v="-912.7971359862272"/>
    <n v="-335.15906793332988"/>
    <n v="298.32916912456824"/>
    <n v="682.87633449354394"/>
    <n v="1179.231253684982"/>
    <n v="1774.0332923787548"/>
    <n v="786.35889970985886"/>
    <n v="399.14408523136444"/>
    <n v="160.84363834349062"/>
    <n v="80.602573303877989"/>
    <n v="-80.94154369867681"/>
    <n v="-162.20116843045105"/>
    <n v="-407.7013723889678"/>
    <n v="-821.66237381289307"/>
    <n v="-5039.5501133126654"/>
    <n v="-5228.6765399009173"/>
    <n v="-5357.9581345446995"/>
    <n v="-5489.4711508325909"/>
    <n v="-5690.409143675899"/>
    <n v="-6033.4735053109316"/>
    <n v="-6742.1671088307985"/>
    <n v="-1670.4556689650644"/>
    <n v="-1925.1229604881985"/>
    <n v="-2094.8540233587037"/>
    <n v="-2264.5389904492731"/>
    <n v="-2518.9659908421477"/>
    <n v="-2942.6955009132089"/>
    <n v="-3788.6940224385453"/>
    <n v="-485.81255758208215"/>
    <n v="-741.79351226542849"/>
    <n v="-912.7971359862272"/>
    <n v="-1084.0271209166731"/>
    <n v="-1341.2140593268446"/>
    <n v="-1770.5163410142461"/>
    <n v="-2630.3222803107956"/>
    <n v="399.14408523136444"/>
    <n v="160.84363834349062"/>
    <n v="0"/>
    <n v="-162.20116843045105"/>
    <n v="-407.7013723889678"/>
    <n v="-821.66237381289307"/>
    <n v="-1662.3292749415043"/>
    <n v="1033.2965517835974"/>
    <n v="825.53174748166214"/>
    <n v="682.87633449354394"/>
    <n v="537.31425329880551"/>
    <n v="314.17284098197626"/>
    <n v="-68.46938886784244"/>
    <n v="-863.68047976487503"/>
    <n v="1470.7603864949333"/>
    <n v="1299.5292829148298"/>
    <n v="1179.231253684982"/>
    <n v="1054.5294796996031"/>
    <n v="860.06766443283732"/>
    <n v="518.98675665214705"/>
    <n v="-212.17837355766846"/>
    <n v="1950.7766666273085"/>
    <n v="1849.550369302807"/>
    <n v="1774.0332923787548"/>
    <n v="1692.4378809842046"/>
    <n v="1559.3363217099081"/>
    <n v="1311.569742964869"/>
    <n v="735.19944679777609"/>
  </r>
  <r>
    <x v="0"/>
    <x v="0"/>
    <n v="0.02"/>
    <s v="Option"/>
    <s v="USD"/>
    <n v="25"/>
    <x v="3"/>
    <s v="Put"/>
    <d v="2010-03-19T00:00:00"/>
    <n v="0.4092008007118651"/>
    <n v="1.0999999999999999E-2"/>
    <n v="78.107324583229797"/>
    <n v="1952.683114580745"/>
    <s v="GoldMine Sacks"/>
    <m/>
    <n v="-513.53069183161335"/>
    <n v="1233.8463888444114"/>
    <n v="1.8812374388163944"/>
    <n v="-3.5439559316827283"/>
    <n v="-0.57634073587656798"/>
    <n v="-1.1022297292112146"/>
    <n v="-12838.267295790334"/>
    <n v="30846.159721110285"/>
    <n v="47.030935970409857"/>
    <n v="-88.598898292068213"/>
    <n v="-14.4085183969142"/>
    <n v="-27.555743230280367"/>
    <n v="3781.141604588538"/>
    <n v="1598.8655058896086"/>
    <n v="720.39604323625497"/>
    <n v="269.21068639842929"/>
    <n v="-244.55719971669225"/>
    <n v="-567.07741917712724"/>
    <n v="-996.3354308569692"/>
    <n v="-1530.5610969160689"/>
    <n v="-470.71439827794848"/>
    <n v="-235.26071625771863"/>
    <n v="-94.079291151774669"/>
    <n v="-47.035328382827402"/>
    <n v="47.026468565542245"/>
    <n v="94.043852754941781"/>
    <n v="235.03926491669773"/>
    <n v="469.82917378943085"/>
    <n v="3697.3217985554129"/>
    <n v="3745.2264440477165"/>
    <n v="3781.141604588538"/>
    <n v="3820.0061323303798"/>
    <n v="3883.394147335076"/>
    <n v="4001.0305854055928"/>
    <n v="4272.0408616549521"/>
    <n v="1417.776077017274"/>
    <n v="1525.2798095432638"/>
    <n v="1598.8655058896086"/>
    <n v="1673.7583963940297"/>
    <n v="1788.2028875699518"/>
    <n v="1983.5092665097818"/>
    <n v="2386.2430409998469"/>
    <n v="502.53148263833793"/>
    <n v="632.92947878800021"/>
    <n v="720.39604323625497"/>
    <n v="808.21538757166707"/>
    <n v="940.49422986218758"/>
    <n v="1162.0940247226572"/>
    <n v="1608.0022672696998"/>
    <n v="-235.26071625771863"/>
    <n v="-94.079291151774669"/>
    <n v="0"/>
    <n v="94.043852754941781"/>
    <n v="235.03926491669773"/>
    <n v="469.82917378943085"/>
    <n v="938.55102727330291"/>
    <n v="-798.58560403210106"/>
    <n v="-659.94508556393612"/>
    <n v="-567.07741917712724"/>
    <n v="-473.920975259378"/>
    <n v="-333.73986883313194"/>
    <n v="-99.196174623087074"/>
    <n v="371.97681776159044"/>
    <n v="-1206.6045626845748"/>
    <n v="-1081.4592093455103"/>
    <n v="-996.3354308569692"/>
    <n v="-910.06455570779826"/>
    <n v="-778.82230656461786"/>
    <n v="-556.13573905386033"/>
    <n v="-100.42328484921228"/>
    <n v="-1672.7358258575102"/>
    <n v="-1590.0361405905201"/>
    <n v="-1530.5610969160689"/>
    <n v="-1467.9843562606252"/>
    <n v="-1368.9262721570706"/>
    <n v="-1192.0282214670692"/>
    <n v="-804.70050045621383"/>
  </r>
  <r>
    <x v="0"/>
    <x v="0"/>
    <n v="0.02"/>
    <s v="Option"/>
    <s v="USD"/>
    <n v="-25"/>
    <x v="4"/>
    <s v="Put"/>
    <d v="2010-03-19T00:00:00"/>
    <n v="0.44598602021318745"/>
    <n v="1.0999999999999999E-2"/>
    <n v="53.507243347722067"/>
    <n v="-1337.6810836930517"/>
    <s v="Exch"/>
    <m/>
    <n v="-374.01225687551062"/>
    <n v="1044.4936390503108"/>
    <n v="1.7356937075521404"/>
    <n v="34.454504586982289"/>
    <n v="-0.57679726778176055"/>
    <n v="-0.79647468534739219"/>
    <n v="9350.3064218877662"/>
    <n v="-26112.340976257768"/>
    <n v="-43.39234268880351"/>
    <n v="-861.36261467455722"/>
    <n v="14.419931694544013"/>
    <n v="19.911867133684805"/>
    <n v="-3046.3948634335125"/>
    <n v="-1219.0884859455039"/>
    <n v="-535.96683520828208"/>
    <n v="-197.66334993039294"/>
    <n v="176.78330211312385"/>
    <n v="405.79041504388442"/>
    <n v="703.08479702320597"/>
    <n v="1060.7485918432189"/>
    <n v="428.26168469382395"/>
    <n v="215.73542901325595"/>
    <n v="86.603464931891949"/>
    <n v="43.348179858877245"/>
    <n v="-43.434360729149546"/>
    <n v="-86.948724680486578"/>
    <n v="-217.91701934110392"/>
    <n v="-437.34208459603394"/>
    <n v="-2910.1531045927131"/>
    <n v="-2990.3622956479794"/>
    <n v="-3046.3948634335125"/>
    <n v="-3104.236124988533"/>
    <n v="-3194.0023984812415"/>
    <n v="-3350.3865898378322"/>
    <n v="-3682.2338989419864"/>
    <n v="-1009.4374695545766"/>
    <n v="-1135.0697639736736"/>
    <n v="-1219.0884859455039"/>
    <n v="-1303.2802752043906"/>
    <n v="-1429.8345604594645"/>
    <n v="-1641.293506713562"/>
    <n v="-2065.3667846313338"/>
    <n v="-314.05806685617961"/>
    <n v="-447.22200334943949"/>
    <n v="-535.96683520828208"/>
    <n v="-624.68333801898837"/>
    <n v="-757.69912458067802"/>
    <n v="-979.214491080377"/>
    <n v="-1421.4561388101074"/>
    <n v="215.73542901325595"/>
    <n v="86.603464931891949"/>
    <n v="0"/>
    <n v="-86.948724680486578"/>
    <n v="-217.91701934110392"/>
    <n v="-437.34208459603394"/>
    <n v="-878.99864209376517"/>
    <n v="600.80416658326362"/>
    <n v="484.76553805691509"/>
    <n v="405.79041504388442"/>
    <n v="325.70294905686836"/>
    <n v="203.7657167913963"/>
    <n v="-3.4197005705578931"/>
    <n v="-428.44330161460533"/>
    <n v="868.68550622581961"/>
    <n v="771.02335067701233"/>
    <n v="703.08479702320597"/>
    <n v="633.15418840974689"/>
    <n v="524.9604385943627"/>
    <n v="337.2325393747559"/>
    <n v="-58.95573938059897"/>
    <n v="1163.0909447850804"/>
    <n v="1104.2616881943629"/>
    <n v="1060.7485918432189"/>
    <n v="1014.0407954853025"/>
    <n v="938.43639473599512"/>
    <n v="799.26731176576732"/>
    <n v="481.08554492289528"/>
  </r>
  <r>
    <x v="0"/>
    <x v="0"/>
    <n v="0.02"/>
    <s v="Option"/>
    <s v="USD"/>
    <n v="25"/>
    <x v="5"/>
    <s v="Call"/>
    <d v="2010-03-19T00:00:00"/>
    <n v="0.37936391354619808"/>
    <n v="1.0999999999999999E-2"/>
    <n v="26.997775797652309"/>
    <n v="674.94439494130779"/>
    <s v="Exch"/>
    <m/>
    <n v="293.12405656172189"/>
    <n v="1101.2604335686806"/>
    <n v="1.5566540174262706"/>
    <n v="199.66536437002807"/>
    <n v="-0.42617803435527768"/>
    <n v="0.49579690662895154"/>
    <n v="7328.101414043047"/>
    <n v="27531.510839217015"/>
    <n v="38.916350435656767"/>
    <n v="4991.6341092507018"/>
    <n v="-10.654450858881942"/>
    <n v="12.394922665723788"/>
    <n v="-644.76858251610759"/>
    <n v="-489.33595206787714"/>
    <n v="-301.20670351051473"/>
    <n v="-135.76576172426087"/>
    <n v="157.76729041105284"/>
    <n v="437.9469910669286"/>
    <n v="1025.7164230493074"/>
    <n v="2643.1618933716736"/>
    <n v="-357.18107480354888"/>
    <n v="-187.5592700871664"/>
    <n v="-76.787406300928041"/>
    <n v="-38.661019108664618"/>
    <n v="39.160412142562961"/>
    <n v="78.787736948457621"/>
    <n v="200.18281301753689"/>
    <n v="409.4542762537003"/>
    <n v="-664.26228474163679"/>
    <n v="-654.17373098889243"/>
    <n v="-644.76858251610759"/>
    <n v="-632.99692595577562"/>
    <n v="-610.63060875713495"/>
    <n v="-560.33517582927846"/>
    <n v="-412.20675862404335"/>
    <n v="-572.91306023793175"/>
    <n v="-525.68468609491572"/>
    <n v="-489.33595206787714"/>
    <n v="-449.3536797223868"/>
    <n v="-383.08052565026924"/>
    <n v="-257.75160863498809"/>
    <n v="37.191133683750621"/>
    <n v="-435.41870614660854"/>
    <n v="-357.54933021548322"/>
    <n v="-301.20670351051473"/>
    <n v="-241.72977634635515"/>
    <n v="-147.31563728567565"/>
    <n v="21.707693725738153"/>
    <n v="392.24965578346058"/>
    <n v="-187.5592700871664"/>
    <n v="-76.787406300928041"/>
    <n v="0"/>
    <n v="78.787736948457621"/>
    <n v="200.18281301753689"/>
    <n v="409.4542762537003"/>
    <n v="846.36547983483297"/>
    <n v="205.61425802875135"/>
    <n v="344.30597125702604"/>
    <n v="437.9469910669286"/>
    <n v="532.36759402842608"/>
    <n v="675.2184829235631"/>
    <n v="915.85054117168306"/>
    <n v="1403.4467552865776"/>
    <n v="766.60803777710248"/>
    <n v="922.02675790157264"/>
    <n v="1025.7164230493074"/>
    <n v="1129.448761645672"/>
    <n v="1285.098827645031"/>
    <n v="1544.5677238799519"/>
    <n v="2063.2859971639091"/>
    <n v="2395.5703109114625"/>
    <n v="2543.344701989794"/>
    <n v="2643.1618933716736"/>
    <n v="2743.83925790071"/>
    <n v="2896.2023437651583"/>
    <n v="3152.9562918075653"/>
    <n v="3673.4789045853672"/>
  </r>
  <r>
    <x v="0"/>
    <x v="0"/>
    <n v="0.02"/>
    <s v="Option"/>
    <s v="USD"/>
    <n v="25"/>
    <x v="3"/>
    <s v="Call"/>
    <d v="2010-03-19T00:00:00"/>
    <n v="0.4092008007118651"/>
    <n v="1.0999999999999999E-2"/>
    <n v="76.268259097077362"/>
    <n v="1906.706477426934"/>
    <s v="Exch"/>
    <m/>
    <n v="582.37830436058039"/>
    <n v="1233.8463888444114"/>
    <n v="1.8812374388163944"/>
    <n v="-3.5439559316827283"/>
    <n v="-0.54937374616319246"/>
    <n v="0.94288994734022469"/>
    <n v="14559.457609014509"/>
    <n v="30846.159721110285"/>
    <n v="47.030935970409857"/>
    <n v="-88.598898292068213"/>
    <n v="-13.734343654079812"/>
    <n v="23.572248683505617"/>
    <n v="-1698.4033763724326"/>
    <n v="-1140.9069845908803"/>
    <n v="-649.49020200398741"/>
    <n v="-278.74381169766878"/>
    <n v="303.39729837940013"/>
    <n v="802.80882606310797"/>
    <n v="1743.4370596235169"/>
    <n v="3948.9838840448983"/>
    <n v="-470.71439827795132"/>
    <n v="-235.26071625771863"/>
    <n v="-94.079291151777511"/>
    <n v="-47.035328382830244"/>
    <n v="47.026468565540824"/>
    <n v="94.043852754938939"/>
    <n v="235.03926491669631"/>
    <n v="469.82917378942375"/>
    <n v="-1782.223182405555"/>
    <n v="-1734.3185369132523"/>
    <n v="-1698.4033763724326"/>
    <n v="-1659.5388486305872"/>
    <n v="-1596.1508336258955"/>
    <n v="-1478.5143955553792"/>
    <n v="-1207.5041193060144"/>
    <n v="-1321.9964134632144"/>
    <n v="-1214.4926809372237"/>
    <n v="-1140.9069845908803"/>
    <n v="-1066.0140940864565"/>
    <n v="-951.56960291053849"/>
    <n v="-756.26322397070567"/>
    <n v="-353.52944948063936"/>
    <n v="-867.3547626019058"/>
    <n v="-736.95676645224216"/>
    <n v="-649.49020200398741"/>
    <n v="-561.67085766857667"/>
    <n v="-429.39201537805758"/>
    <n v="-207.79222051758524"/>
    <n v="238.1160220294575"/>
    <n v="-235.26071625771863"/>
    <n v="-94.079291151777511"/>
    <n v="0"/>
    <n v="94.043852754938939"/>
    <n v="235.03926491669631"/>
    <n v="469.82917378942375"/>
    <n v="938.55102727330154"/>
    <n v="571.30064120813415"/>
    <n v="709.94115967630194"/>
    <n v="802.80882606310797"/>
    <n v="895.96526998086006"/>
    <n v="1036.1463764071091"/>
    <n v="1270.6900706171468"/>
    <n v="1741.863063001827"/>
    <n v="1533.167927795907"/>
    <n v="1658.3132811349742"/>
    <n v="1743.4370596235169"/>
    <n v="1829.7079347726849"/>
    <n v="1960.9501839158668"/>
    <n v="2183.6367514266244"/>
    <n v="2639.3492056312707"/>
    <n v="3806.8091551034599"/>
    <n v="3889.5088403704503"/>
    <n v="3948.9838840448983"/>
    <n v="4011.5606247003425"/>
    <n v="4110.6187088038978"/>
    <n v="4287.5167594939003"/>
    <n v="4674.8444805047484"/>
  </r>
  <r>
    <x v="0"/>
    <x v="0"/>
    <n v="0.02"/>
    <s v="Option"/>
    <s v="USD"/>
    <n v="-50"/>
    <x v="4"/>
    <s v="Put"/>
    <d v="2010-03-19T00:00:00"/>
    <n v="0.44598602021318745"/>
    <n v="1.0999999999999999E-2"/>
    <n v="53.507243347722067"/>
    <n v="-2675.3621673861035"/>
    <s v="Exch"/>
    <m/>
    <n v="-374.01225687551062"/>
    <n v="1044.4936390503108"/>
    <n v="1.7356937075521404"/>
    <n v="34.454504586982289"/>
    <n v="-0.57679726778176055"/>
    <n v="-0.79647468534739219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x v="0"/>
    <n v="0.02"/>
    <s v="Option"/>
    <s v="USD"/>
    <n v="-50"/>
    <x v="4"/>
    <s v="Put"/>
    <d v="2010-03-19T00:00:00"/>
    <n v="0.44598602021318745"/>
    <n v="1.0999999999999999E-2"/>
    <n v="53.507243347722067"/>
    <n v="-2675.3621673861035"/>
    <s v="GoldMine Sacks"/>
    <m/>
    <n v="-374.01225687551062"/>
    <n v="1044.4936390503108"/>
    <n v="1.7356937075521404"/>
    <n v="34.454504586982289"/>
    <n v="-0.57679726778176055"/>
    <n v="-0.79647468534739219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x v="0"/>
    <n v="0.02"/>
    <s v="Option"/>
    <s v="USD"/>
    <n v="-50"/>
    <x v="3"/>
    <s v="Call"/>
    <d v="2010-03-19T00:00:00"/>
    <n v="0.4092008007118651"/>
    <n v="1.0999999999999999E-2"/>
    <n v="76.268259097077362"/>
    <n v="-3813.4129548538681"/>
    <s v="GoldMine Sacks"/>
    <m/>
    <n v="582.37830436058039"/>
    <n v="1233.8463888444114"/>
    <n v="1.8812374388163944"/>
    <n v="-3.5439559316827283"/>
    <n v="-0.54937374616319246"/>
    <n v="0.94288994734022469"/>
    <n v="-29118.915218029018"/>
    <n v="-61692.319442220571"/>
    <n v="-94.061871940819714"/>
    <n v="177.19779658413643"/>
    <n v="27.468687308159623"/>
    <n v="-47.144497367011233"/>
    <n v="3396.8067527448652"/>
    <n v="2281.8139691817605"/>
    <n v="1298.9804040079748"/>
    <n v="557.48762339533755"/>
    <n v="-606.79459675880025"/>
    <n v="-1605.6176521262159"/>
    <n v="-3486.8741192470338"/>
    <n v="-7897.9677680897967"/>
    <n v="941.42879655590264"/>
    <n v="470.52143251543725"/>
    <n v="188.15858230355502"/>
    <n v="94.070656765660488"/>
    <n v="-94.052937131081649"/>
    <n v="-188.08770550987788"/>
    <n v="-470.07852983339262"/>
    <n v="-939.6583475788475"/>
    <n v="3564.44636481111"/>
    <n v="3468.6370738265045"/>
    <n v="3396.8067527448652"/>
    <n v="3319.0776972611743"/>
    <n v="3192.3016672517911"/>
    <n v="2957.0287911107584"/>
    <n v="2415.0082386120289"/>
    <n v="2643.9928269264287"/>
    <n v="2428.9853618744473"/>
    <n v="2281.8139691817605"/>
    <n v="2132.0281881729129"/>
    <n v="1903.139205821077"/>
    <n v="1512.5264479414113"/>
    <n v="707.05889896127871"/>
    <n v="1734.7095252038116"/>
    <n v="1473.9135329044843"/>
    <n v="1298.9804040079748"/>
    <n v="1123.3417153371533"/>
    <n v="858.78403075611516"/>
    <n v="415.58444103517047"/>
    <n v="-476.23204405891499"/>
    <n v="470.52143251543725"/>
    <n v="188.15858230355502"/>
    <n v="0"/>
    <n v="-188.08770550987788"/>
    <n v="-470.07852983339262"/>
    <n v="-939.6583475788475"/>
    <n v="-1877.1020545466031"/>
    <n v="-1142.6012824162683"/>
    <n v="-1419.8823193526039"/>
    <n v="-1605.6176521262159"/>
    <n v="-1791.9305399617201"/>
    <n v="-2072.2927528142181"/>
    <n v="-2541.3801412342937"/>
    <n v="-3483.7261260036539"/>
    <n v="-3066.3358555918139"/>
    <n v="-3316.6265622699484"/>
    <n v="-3486.8741192470338"/>
    <n v="-3659.4158695453698"/>
    <n v="-3921.9003678317335"/>
    <n v="-4367.2735028532488"/>
    <n v="-5278.6984112625414"/>
    <n v="-7613.6183102069199"/>
    <n v="-7779.0176807409007"/>
    <n v="-7897.9677680897967"/>
    <n v="-8023.121249400685"/>
    <n v="-8221.2374176077956"/>
    <n v="-8575.0335189878006"/>
    <n v="-9349.6889610094968"/>
  </r>
  <r>
    <x v="0"/>
    <x v="0"/>
    <n v="0.02"/>
    <s v="Option"/>
    <s v="USD"/>
    <n v="30"/>
    <x v="5"/>
    <s v="Call"/>
    <d v="2010-03-19T00:00:00"/>
    <n v="0.37936391354619808"/>
    <n v="1.0999999999999999E-2"/>
    <n v="26.997775797652309"/>
    <n v="809.93327392956928"/>
    <s v="Exch"/>
    <m/>
    <n v="293.12405656172189"/>
    <n v="1101.2604335686806"/>
    <n v="1.5566540174262706"/>
    <n v="199.66536437002807"/>
    <n v="-0.42617803435527768"/>
    <n v="0.49579690662895154"/>
    <n v="8793.7216968516568"/>
    <n v="33037.813007060417"/>
    <n v="46.699620522788116"/>
    <n v="5989.9609311008426"/>
    <n v="-12.78534103065833"/>
    <n v="14.873907198868546"/>
    <n v="-773.72229901932917"/>
    <n v="-587.20314248145257"/>
    <n v="-361.44804421261767"/>
    <n v="-162.91891406911304"/>
    <n v="189.32074849326341"/>
    <n v="525.53638928031432"/>
    <n v="1230.8597076591691"/>
    <n v="3171.7942720460082"/>
    <n v="-428.61728976425866"/>
    <n v="-225.07112410459968"/>
    <n v="-92.144887561113649"/>
    <n v="-46.393222930397542"/>
    <n v="46.992494571075554"/>
    <n v="94.545284338149145"/>
    <n v="240.21937562104426"/>
    <n v="491.34513150444036"/>
    <n v="-797.11474168996415"/>
    <n v="-785.0084771866708"/>
    <n v="-773.72229901932917"/>
    <n v="-759.59631114693082"/>
    <n v="-732.75673050856187"/>
    <n v="-672.40221099513417"/>
    <n v="-494.64811034885201"/>
    <n v="-687.49567228551814"/>
    <n v="-630.82162331389884"/>
    <n v="-587.20314248145257"/>
    <n v="-539.22441566686416"/>
    <n v="-459.69663078032312"/>
    <n v="-309.30193036198574"/>
    <n v="44.629360420500745"/>
    <n v="-522.50244737593016"/>
    <n v="-429.0591962585799"/>
    <n v="-361.44804421261767"/>
    <n v="-290.07573161562618"/>
    <n v="-176.77876474281078"/>
    <n v="26.049232470885784"/>
    <n v="470.6995869401527"/>
    <n v="-225.07112410459968"/>
    <n v="-92.144887561113649"/>
    <n v="0"/>
    <n v="94.545284338149145"/>
    <n v="240.21937562104426"/>
    <n v="491.34513150444036"/>
    <n v="1015.6385758017996"/>
    <n v="246.73710963450162"/>
    <n v="413.16716550843125"/>
    <n v="525.53638928031432"/>
    <n v="638.8411128341113"/>
    <n v="810.26217950827572"/>
    <n v="1099.0206494060199"/>
    <n v="1684.1361063438933"/>
    <n v="919.92964533252291"/>
    <n v="1106.432109481887"/>
    <n v="1230.8597076591691"/>
    <n v="1355.3385139748066"/>
    <n v="1542.118593174037"/>
    <n v="1853.4812686559421"/>
    <n v="2475.943196596691"/>
    <n v="2874.6843730937549"/>
    <n v="3052.013642387753"/>
    <n v="3171.7942720460082"/>
    <n v="3292.6071094808522"/>
    <n v="3475.4428125181898"/>
    <n v="3783.5475501690785"/>
    <n v="4408.1746855024412"/>
  </r>
  <r>
    <x v="0"/>
    <x v="0"/>
    <n v="0.02"/>
    <s v="Option"/>
    <s v="USD"/>
    <n v="25"/>
    <x v="1"/>
    <s v="Put"/>
    <d v="2010-03-19T00:00:00"/>
    <n v="0.53252581704856539"/>
    <n v="1.0999999999999999E-2"/>
    <n v="33.099391475391343"/>
    <n v="827.4847868847836"/>
    <s v="Exch"/>
    <m/>
    <n v="-227.53807010424387"/>
    <n v="682.4660394628205"/>
    <n v="1.3541530629344063"/>
    <n v="121.15868454404917"/>
    <n v="-0.53484938408966598"/>
    <n v="-0.48557116129904643"/>
    <n v="-5688.4517526060972"/>
    <n v="17061.650986570512"/>
    <n v="33.853826573360159"/>
    <n v="3028.9671136012294"/>
    <n v="-13.37123460224165"/>
    <n v="-12.139279032476161"/>
    <n v="2022.0991115778083"/>
    <n v="765.68484516796286"/>
    <n v="330.34837604835946"/>
    <n v="120.80173970191481"/>
    <n v="-107.14957786547288"/>
    <n v="-244.93135187757815"/>
    <n v="-422.83601780536696"/>
    <n v="-638.8287011940896"/>
    <n v="-320.48210347386782"/>
    <n v="-165.14661418957104"/>
    <n v="-67.08128726702256"/>
    <n v="-33.699844230091003"/>
    <n v="34.002813164566703"/>
    <n v="68.294030173774445"/>
    <n v="172.7643245906755"/>
    <n v="351.50400623852033"/>
    <n v="1836.2723247082777"/>
    <n v="1947.6184286690291"/>
    <n v="2022.0991115778083"/>
    <n v="2096.7488341376047"/>
    <n v="2208.9915511452195"/>
    <n v="2396.6240436637386"/>
    <n v="2773.212889609335"/>
    <n v="566.92541782069907"/>
    <n v="686.05972275797239"/>
    <n v="765.68484516796286"/>
    <n v="845.44506450505776"/>
    <n v="965.29648240434869"/>
    <n v="1165.4785259620389"/>
    <n v="1566.7739244293521"/>
    <n v="144.30942638355972"/>
    <n v="255.41297153942892"/>
    <n v="330.34837604835946"/>
    <n v="405.88918079418261"/>
    <n v="520.19622638393275"/>
    <n v="712.92342471482118"/>
    <n v="1104.452668677289"/>
    <n v="-165.14661418957104"/>
    <n v="-67.08128726702256"/>
    <n v="0"/>
    <n v="68.294030173774445"/>
    <n v="172.7643245906755"/>
    <n v="351.50400623852033"/>
    <n v="722.21722895959249"/>
    <n v="-385.07333916610804"/>
    <n v="-302.47755721282488"/>
    <n v="-244.93135187757815"/>
    <n v="-185.58640382883453"/>
    <n v="-93.510287708109274"/>
    <n v="67.06123134274975"/>
    <n v="409.21785812370928"/>
    <n v="-537.2717650125868"/>
    <n v="-470.43604869536608"/>
    <n v="-422.83601780536696"/>
    <n v="-372.98563772734144"/>
    <n v="-294.3149447490967"/>
    <n v="-153.94097040504349"/>
    <n v="155.04469431177981"/>
    <n v="-708.27370998032018"/>
    <n v="-668.60715232589473"/>
    <n v="-638.8287011940896"/>
    <n v="-606.46443974234853"/>
    <n v="-553.25402019455612"/>
    <n v="-452.91563375043467"/>
    <n v="-214.05683312642054"/>
  </r>
  <r>
    <x v="0"/>
    <x v="0"/>
    <n v="0.02"/>
    <s v="Option"/>
    <s v="USD"/>
    <n v="-20"/>
    <x v="2"/>
    <s v="Call"/>
    <d v="2010-03-19T00:00:00"/>
    <n v="0.47079318216922272"/>
    <n v="1.0999999999999999E-2"/>
    <n v="141.86687427093443"/>
    <n v="-2837.3374854186886"/>
    <s v="JP Horgan"/>
    <m/>
    <n v="779.62393671782661"/>
    <n v="920.94642833417947"/>
    <n v="1.6155134450954702"/>
    <n v="67.766641768526227"/>
    <n v="-0.53574559989739445"/>
    <n v="1.1881501437366759"/>
    <n v="-15592.478734356533"/>
    <n v="-18418.928566683589"/>
    <n v="-32.310268901909403"/>
    <n v="-1355.3328353705247"/>
    <n v="10.714911997947889"/>
    <n v="-23.76300287473352"/>
    <n v="2240.4527309508926"/>
    <n v="1353.8763830409084"/>
    <n v="730.79014179769956"/>
    <n v="304.29997130354423"/>
    <n v="-319.03193082705229"/>
    <n v="-822.7584623947746"/>
    <n v="-1720.1254909103955"/>
    <n v="-3674.0226678172712"/>
    <n v="314.54355988394127"/>
    <n v="159.65763409254578"/>
    <n v="64.337455337395113"/>
    <n v="32.241029321548922"/>
    <n v="-32.376617479471861"/>
    <n v="-64.880467372181556"/>
    <n v="-163.08054895558826"/>
    <n v="-328.6649495251595"/>
    <n v="2367.8159394437057"/>
    <n v="2292.165368808407"/>
    <n v="2240.4527309508926"/>
    <n v="2187.8475244357355"/>
    <n v="2107.472327298412"/>
    <n v="1970.2465826444018"/>
    <n v="1686.7691412364536"/>
    <n v="1523.6357247983619"/>
    <n v="1421.7688081891083"/>
    <n v="1353.8763830409084"/>
    <n v="1286.0023962046773"/>
    <n v="1184.2315960475287"/>
    <n v="1014.7397920191031"/>
    <n v="676.3403834089695"/>
    <n v="901.58397315935645"/>
    <n v="799.19159128602132"/>
    <n v="730.79014179769956"/>
    <n v="662.29814782552467"/>
    <n v="559.42337246145371"/>
    <n v="387.70245978649427"/>
    <n v="43.780084067874441"/>
    <n v="159.65763409254578"/>
    <n v="64.337455337395113"/>
    <n v="0"/>
    <n v="-64.880467372181556"/>
    <n v="-163.08054895558826"/>
    <n v="-328.6649495251595"/>
    <n v="-664.93170997660172"/>
    <n v="-682.5903754787555"/>
    <n v="-765.69629719953127"/>
    <n v="-822.7584623947746"/>
    <n v="-880.98329487267165"/>
    <n v="-970.23985979940107"/>
    <n v="-1123.2967517393308"/>
    <n v="-1441.3811880981439"/>
    <n v="-1603.5138377864178"/>
    <n v="-1672.0062792184603"/>
    <n v="-1720.1254909103955"/>
    <n v="-1770.0062005045493"/>
    <n v="-1847.7909266112533"/>
    <n v="-1984.2232897235294"/>
    <n v="-2276.6893418074551"/>
    <n v="-3603.3253181178497"/>
    <n v="-3643.8158370476572"/>
    <n v="-3674.0226678172712"/>
    <n v="-3706.6608323750961"/>
    <n v="-3759.9014560848127"/>
    <n v="-3859.0080875828289"/>
    <n v="-4089.556206049665"/>
  </r>
  <r>
    <x v="0"/>
    <x v="0"/>
    <n v="0.02"/>
    <s v="Option"/>
    <s v="USD"/>
    <n v="-50"/>
    <x v="3"/>
    <s v="Put"/>
    <d v="2010-06-18T00:00:00"/>
    <n v="0.35896400835070608"/>
    <n v="1.4999999999999999E-2"/>
    <n v="104.13231163075892"/>
    <n v="-5206.6155815379461"/>
    <s v="Exch"/>
    <m/>
    <n v="-497.78902004007335"/>
    <n v="912.62722217958503"/>
    <n v="2.8541617426172672"/>
    <n v="-11.090476100023295"/>
    <n v="-0.32472242880323304"/>
    <n v="-2.6220682667304742"/>
    <n v="24889.451002003669"/>
    <n v="-45631.361108979254"/>
    <n v="-142.70808713086336"/>
    <n v="554.52380500116476"/>
    <n v="16.236121440161654"/>
    <n v="131.10341333652372"/>
    <n v="-6869.145090382327"/>
    <n v="-2961.206435890736"/>
    <n v="-1360.96327795872"/>
    <n v="-516.210428426254"/>
    <n v="479.72263990859858"/>
    <n v="1133.4818717497399"/>
    <n v="2059.3603778600368"/>
    <n v="3388.936317300343"/>
    <n v="1429.5908419437096"/>
    <n v="714.200934882345"/>
    <n v="285.52499469074917"/>
    <n v="142.73555299699012"/>
    <n v="-142.68010103045867"/>
    <n v="-285.30319180202071"/>
    <n v="-712.81488721438393"/>
    <n v="-1424.0499621541517"/>
    <n v="-6491.0200316664914"/>
    <n v="-6710.9229140336456"/>
    <n v="-6869.145090382327"/>
    <n v="-7035.4352043205072"/>
    <n v="-7298.0202701041126"/>
    <n v="-7764.4924568735714"/>
    <n v="-8774.6574501691575"/>
    <n v="-2360.0244733277264"/>
    <n v="-2718.316469798478"/>
    <n v="-2961.206435890736"/>
    <n v="-3206.7169047157536"/>
    <n v="-3579.0151864957379"/>
    <n v="-4207.7072151229031"/>
    <n v="-5484.2138757811454"/>
    <n v="-685.10836874116023"/>
    <n v="-1090.0614628313833"/>
    <n v="-1360.96327795872"/>
    <n v="-1632.4250606208097"/>
    <n v="-2040.395665056988"/>
    <n v="-2721.6264167298759"/>
    <n v="-4085.1878444874674"/>
    <n v="714.200934882345"/>
    <n v="285.52499469074917"/>
    <n v="0"/>
    <n v="-285.30319180202071"/>
    <n v="-712.81488721438393"/>
    <n v="-1424.0499621541517"/>
    <n v="-2841.0172472988679"/>
    <n v="1849.0836467090589"/>
    <n v="1420.1353232867264"/>
    <n v="1133.4818717497399"/>
    <n v="846.43215846258215"/>
    <n v="415.34039565962928"/>
    <n v="-303.86050628623025"/>
    <n v="-1741.8030064604636"/>
    <n v="2744.1625478184164"/>
    <n v="2335.3083621383944"/>
    <n v="2059.3603778600368"/>
    <n v="1781.2367437899752"/>
    <n v="1360.739310598666"/>
    <n v="653.30040582983884"/>
    <n v="-776.29525283709597"/>
    <n v="3948.3745461797712"/>
    <n v="3619.2539920992303"/>
    <n v="3388.936317300343"/>
    <n v="3151.2444696743728"/>
    <n v="2782.9462437157363"/>
    <n v="2143.995960318412"/>
    <n v="801.37971739815441"/>
  </r>
  <r>
    <x v="0"/>
    <x v="0"/>
    <n v="0.02"/>
    <s v="Option"/>
    <s v="USD"/>
    <n v="20"/>
    <x v="4"/>
    <s v="Call"/>
    <d v="2010-06-18T00:00:00"/>
    <n v="0.3956302003368482"/>
    <n v="1.4999999999999999E-2"/>
    <n v="144.43228295286826"/>
    <n v="2888.6456590573653"/>
    <s v="Exch"/>
    <m/>
    <n v="698.18732002678712"/>
    <n v="780.96803510235679"/>
    <n v="2.6918877747556711"/>
    <n v="23.96444496808888"/>
    <n v="-0.31940339284285374"/>
    <n v="2.4122479697192634"/>
    <n v="13963.746400535743"/>
    <n v="15619.360702047135"/>
    <n v="53.83775549511342"/>
    <n v="479.28889936177762"/>
    <n v="-6.3880678568570746"/>
    <n v="48.244959394385269"/>
    <n v="-2093.0855205649541"/>
    <n v="-1228.9899176160327"/>
    <n v="-657.65649628164624"/>
    <n v="-272.92971908659638"/>
    <n v="285.4224363563003"/>
    <n v="735.64453709806685"/>
    <n v="1539.6087200182751"/>
    <n v="3312.7495583925315"/>
    <n v="-534.69935027050724"/>
    <n v="-268.4502653653135"/>
    <n v="-107.57136612726072"/>
    <n v="-53.812778944457023"/>
    <n v="53.860751973984407"/>
    <n v="107.76378919792251"/>
    <n v="269.67647905553349"/>
    <n v="539.96156361235535"/>
    <n v="-2290.8167598823766"/>
    <n v="-2173.5482045546628"/>
    <n v="-2093.0855205649541"/>
    <n v="-2011.0801959192218"/>
    <n v="-1885.6138010407353"/>
    <n v="-1671.2604401299893"/>
    <n v="-1229.1481060359979"/>
    <n v="-1486.8444974919078"/>
    <n v="-1332.2132010007226"/>
    <n v="-1228.9899176160327"/>
    <n v="-1125.6955756238267"/>
    <n v="-970.67775623750435"/>
    <n v="-712.28490635695266"/>
    <n v="-196.25064458982592"/>
    <n v="-927.09462033019008"/>
    <n v="-765.37130736354925"/>
    <n v="-657.65649628164624"/>
    <n v="-550.02881422327619"/>
    <n v="-388.76241023012994"/>
    <n v="-120.49511510582875"/>
    <n v="413.84913197112951"/>
    <n v="-268.4502653653135"/>
    <n v="-107.57136612726072"/>
    <n v="0"/>
    <n v="107.76378919792251"/>
    <n v="269.67647905553349"/>
    <n v="539.96156361235535"/>
    <n v="1080.7910566991825"/>
    <n v="478.86801885078967"/>
    <n v="632.18557584516248"/>
    <n v="735.64453709806685"/>
    <n v="839.92257701790322"/>
    <n v="997.60830425843096"/>
    <n v="1263.00704309607"/>
    <n v="1799.793151399308"/>
    <n v="1302.4653905465539"/>
    <n v="1443.2794058964555"/>
    <n v="1539.6087200182751"/>
    <n v="1637.5890504784184"/>
    <n v="1787.1814743787149"/>
    <n v="2042.0663397405406"/>
    <n v="2565.929051611879"/>
    <n v="3127.2979588410908"/>
    <n v="3235.6931931297436"/>
    <n v="3312.7495583925315"/>
    <n v="3393.1636650894075"/>
    <n v="3519.3076103704607"/>
    <n v="3741.8078456085914"/>
    <n v="4220.2993388888553"/>
  </r>
  <r>
    <x v="0"/>
    <x v="0"/>
    <n v="0.02"/>
    <s v="Option"/>
    <s v="USD"/>
    <n v="25"/>
    <x v="6"/>
    <s v="Put"/>
    <d v="2010-06-18T00:00:00"/>
    <n v="0.51838666539148304"/>
    <n v="1.4999999999999999E-2"/>
    <n v="59.069959177058593"/>
    <n v="1476.7489794264648"/>
    <s v="GoldMine Sacks"/>
    <m/>
    <n v="-248.86143911000528"/>
    <n v="481.77929671825308"/>
    <n v="2.1758863632760672"/>
    <n v="125.84709738360738"/>
    <n v="-0.3556829358286932"/>
    <n v="-1.3413997897984422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x v="0"/>
    <n v="0.02"/>
    <s v="Option"/>
    <s v="USD"/>
    <n v="25"/>
    <x v="6"/>
    <s v="Put"/>
    <d v="2010-06-18T00:00:00"/>
    <n v="0.51838666539148304"/>
    <n v="1.4999999999999999E-2"/>
    <n v="59.069959177058593"/>
    <n v="1476.7489794264648"/>
    <s v="Exch"/>
    <m/>
    <n v="-248.86143911000528"/>
    <n v="481.77929671825308"/>
    <n v="2.1758863632760672"/>
    <n v="125.84709738360738"/>
    <n v="-0.3556829358286932"/>
    <n v="-1.3413997897984422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x v="0"/>
    <n v="0.02"/>
    <s v="Option"/>
    <s v="USD"/>
    <n v="50"/>
    <x v="7"/>
    <s v="Call"/>
    <d v="2010-06-18T00:00:00"/>
    <n v="0.32969444289961214"/>
    <n v="1.4999999999999999E-2"/>
    <n v="26.825157221083771"/>
    <n v="1341.2578610541887"/>
    <s v="Exch"/>
    <m/>
    <n v="238.28375127170557"/>
    <n v="739.01958700862792"/>
    <n v="2.1227645761031813"/>
    <n v="497.81833808904207"/>
    <n v="-0.2157163549014337"/>
    <n v="0.92114839600133891"/>
    <n v="11914.187563585278"/>
    <n v="36950.979350431393"/>
    <n v="106.13822880515906"/>
    <n v="24890.916904452104"/>
    <n v="-10.785817745071686"/>
    <n v="46.057419800066945"/>
    <n v="-1216.4564534577103"/>
    <n v="-858.12497237522507"/>
    <n v="-507.59937833799427"/>
    <n v="-223.7649783538032"/>
    <n v="253.30895117636061"/>
    <n v="691.70094004686575"/>
    <n v="1586.8775894232442"/>
    <n v="4019.2576644389901"/>
    <n v="-902.19570672478108"/>
    <n v="-495.61966961093731"/>
    <n v="-207.05906098690861"/>
    <n v="-104.86434376147571"/>
    <n v="107.3545194143918"/>
    <n v="217.03276667935398"/>
    <n v="558.5228083572033"/>
    <n v="1161.776101261526"/>
    <n v="-1299.806245851843"/>
    <n v="-1256.7736637928567"/>
    <n v="-1216.4564534577103"/>
    <n v="-1166.1681309296184"/>
    <n v="-1071.5465989805616"/>
    <n v="-863.30738103821079"/>
    <n v="-276.60570397181061"/>
    <n v="-1106.209058089376"/>
    <n v="-968.00256028831632"/>
    <n v="-858.12497237522507"/>
    <n v="-735.05394078013637"/>
    <n v="-527.78457973038121"/>
    <n v="-129.74430564978832"/>
    <n v="817.51936053025111"/>
    <n v="-873.63249328681081"/>
    <n v="-664.50109819956538"/>
    <n v="-507.59937833799427"/>
    <n v="-338.34124982302285"/>
    <n v="-64.066306098057169"/>
    <n v="438.28670719949372"/>
    <n v="1565.6978392869221"/>
    <n v="-495.61966961093731"/>
    <n v="-207.05906098690861"/>
    <n v="0"/>
    <n v="217.03276667935398"/>
    <n v="558.5228083572033"/>
    <n v="1161.776101261526"/>
    <n v="2456.3709606885"/>
    <n v="68.984337488487313"/>
    <n v="436.50020392888393"/>
    <n v="691.70094004686575"/>
    <n v="953.60761790574315"/>
    <n v="1356.9115247629297"/>
    <n v="2050.7398082563186"/>
    <n v="3491.686506035353"/>
    <n v="854.01584010183456"/>
    <n v="1290.517847088978"/>
    <n v="1586.8775894232442"/>
    <n v="1886.6652695556411"/>
    <n v="2341.5481241598513"/>
    <n v="3110.0789927170381"/>
    <n v="4670.8212370367964"/>
    <n v="3158.9105346377069"/>
    <n v="3675.2454870660672"/>
    <n v="4019.2576644389901"/>
    <n v="4363.0714190822773"/>
    <n v="4878.3707640796392"/>
    <n v="5735.9103474425556"/>
    <n v="7445.1232885505387"/>
  </r>
  <r>
    <x v="0"/>
    <x v="0"/>
    <n v="0.02"/>
    <s v="Option"/>
    <s v="USD"/>
    <n v="50"/>
    <x v="8"/>
    <s v="Call"/>
    <d v="2010-06-18T00:00:00"/>
    <n v="0.32830725519482734"/>
    <n v="1.4999999999999999E-2"/>
    <n v="32.223915655975617"/>
    <n v="1611.1957827987808"/>
    <s v="Exch"/>
    <m/>
    <n v="275.72170428980866"/>
    <n v="804.39548343590673"/>
    <n v="2.3008290875624899"/>
    <n v="411.49977968015173"/>
    <n v="-0.23243924890555179"/>
    <n v="1.0607163943227247"/>
    <n v="13786.085214490433"/>
    <n v="40219.774171795339"/>
    <n v="115.0414543781245"/>
    <n v="20574.988984007585"/>
    <n v="-11.621962445277589"/>
    <n v="53.035819716136231"/>
    <n v="-1449.3948591380129"/>
    <n v="-1009.9695494241637"/>
    <n v="-592.60922736984867"/>
    <n v="-259.86604139476981"/>
    <n v="292.0214183990808"/>
    <n v="792.91357049043972"/>
    <n v="1801.876876368739"/>
    <n v="4480.487862416514"/>
    <n v="-1014.6678446855987"/>
    <n v="-545.84306578470751"/>
    <n v="-225.75015518196295"/>
    <n v="-113.9860875823075"/>
    <n v="116.04472557920786"/>
    <n v="233.99838837841997"/>
    <n v="597.99611057304242"/>
    <n v="1232.0146041399526"/>
    <n v="-1553.0479244884082"/>
    <n v="-1498.6228636752976"/>
    <n v="-1449.3948591380129"/>
    <n v="-1389.4113601431841"/>
    <n v="-1279.2600775699366"/>
    <n v="-1044.045928499004"/>
    <n v="-405.92002971942736"/>
    <n v="-1299.9134292668714"/>
    <n v="-1136.5103338123972"/>
    <n v="-1009.9695494241637"/>
    <n v="-870.64580719882872"/>
    <n v="-640.11910349003779"/>
    <n v="-206.98567038172939"/>
    <n v="796.06861147089057"/>
    <n v="-1007.7421361010948"/>
    <n v="-768.34765243234813"/>
    <n v="-592.60922736984867"/>
    <n v="-405.69082288354394"/>
    <n v="-107.16449811078377"/>
    <n v="429.90077149371757"/>
    <n v="1608.6310101972388"/>
    <n v="-545.84306578470751"/>
    <n v="-225.75015518196295"/>
    <n v="0"/>
    <n v="233.99838837841997"/>
    <n v="597.99611057304242"/>
    <n v="1232.0146041399526"/>
    <n v="2569.0113201963968"/>
    <n v="126.46317955580884"/>
    <n v="521.8541075455405"/>
    <n v="792.91357049043972"/>
    <n v="1068.8110081032207"/>
    <n v="1490.0907223180568"/>
    <n v="2207.3620648498477"/>
    <n v="3677.933500462022"/>
    <n v="1039.1567676751479"/>
    <n v="1494.9862472538327"/>
    <n v="1801.876876368739"/>
    <n v="2110.647447161135"/>
    <n v="2576.5875679521387"/>
    <n v="3358.490348421195"/>
    <n v="4933.1273224304696"/>
    <n v="3631.956751072606"/>
    <n v="4141.1557191141283"/>
    <n v="4480.487862416514"/>
    <n v="4819.6719599364815"/>
    <n v="5328.1055883475219"/>
    <n v="6174.3697843682512"/>
    <n v="7861.4852967673514"/>
  </r>
  <r>
    <x v="0"/>
    <x v="0"/>
    <n v="0.02"/>
    <s v="Option"/>
    <s v="USD"/>
    <n v="-30"/>
    <x v="5"/>
    <s v="Call"/>
    <d v="2010-06-18T00:00:00"/>
    <n v="0.32932352495643258"/>
    <n v="1.4999999999999999E-2"/>
    <n v="47.133791884368577"/>
    <n v="-1414.0137565310574"/>
    <s v="Exch"/>
    <m/>
    <n v="366.66046110152155"/>
    <n v="915.18511570031228"/>
    <n v="2.6258260897602135"/>
    <n v="215.75139899873821"/>
    <n v="-0.26497304874944189"/>
    <n v="1.3919106960418444"/>
    <n v="-10999.813833045646"/>
    <n v="-27455.553471009367"/>
    <n v="-78.774782692806411"/>
    <n v="-6472.5419699621461"/>
    <n v="7.9491914624832569"/>
    <n v="-41.757320881255332"/>
    <n v="1241.9847721473295"/>
    <n v="838.83459999185197"/>
    <n v="482.7349908729559"/>
    <n v="209.09100060267747"/>
    <n v="-231.03992144055553"/>
    <n v="-619.40913977131231"/>
    <n v="-1378.4404210216026"/>
    <n v="-3295.6031531688045"/>
    <n v="742.54496844486198"/>
    <n v="384.41576620657429"/>
    <n v="156.1747550395495"/>
    <n v="78.441387299612302"/>
    <n v="-79.089140134578884"/>
    <n v="-158.77176496426728"/>
    <n v="-400.91347853382729"/>
    <n v="-812.5775965364943"/>
    <n v="1339.9524099792911"/>
    <n v="1286.6230702441255"/>
    <n v="1241.9847721473295"/>
    <n v="1190.2820904864902"/>
    <n v="1100.1576962339336"/>
    <n v="919.61285926774178"/>
    <n v="466.90183209658642"/>
    <n v="1073.5453175686664"/>
    <n v="938.23406148305935"/>
    <n v="838.83459999185197"/>
    <n v="733.06012776554553"/>
    <n v="564.0376438936687"/>
    <n v="259.73959479811072"/>
    <n v="-408.77526414770102"/>
    <n v="795.61075684641082"/>
    <n v="612.04567540229868"/>
    <n v="482.7349908729559"/>
    <n v="348.79686587824551"/>
    <n v="140.59824050354109"/>
    <n v="-221.7380433840475"/>
    <n v="-985.05776803726519"/>
    <n v="384.41576620657429"/>
    <n v="156.1747550395495"/>
    <n v="0"/>
    <n v="-158.77176496426728"/>
    <n v="-400.91347853382729"/>
    <n v="-812.5775965364943"/>
    <n v="-1655.0688768856476"/>
    <n v="-179.33237302113866"/>
    <n v="-442.51793225780261"/>
    <n v="-619.40913977131231"/>
    <n v="-797.19148603380802"/>
    <n v="-1065.1733034664308"/>
    <n v="-1514.2744273844296"/>
    <n v="-2417.2017979785314"/>
    <n v="-904.70565003500667"/>
    <n v="-1188.947692429344"/>
    <n v="-1378.4404210216026"/>
    <n v="-1567.8969580841767"/>
    <n v="-1851.961385974078"/>
    <n v="-2324.9180358135154"/>
    <n v="-3268.1606730084695"/>
    <n v="-2825.2182236281938"/>
    <n v="-3106.5264303117242"/>
    <n v="-3295.6031531688045"/>
    <n v="-3485.6356167052486"/>
    <n v="-3772.0876983576732"/>
    <n v="-4252.1526366375856"/>
    <n v="-5217.3586892559651"/>
  </r>
  <r>
    <x v="0"/>
    <x v="0"/>
    <n v="0.02"/>
    <s v="Option"/>
    <s v="USD"/>
    <n v="-30"/>
    <x v="2"/>
    <s v="Put"/>
    <d v="2010-06-18T00:00:00"/>
    <n v="0.42038432876631615"/>
    <n v="1.4999999999999999E-2"/>
    <n v="73.271161371525523"/>
    <n v="-2198.1348411457657"/>
    <s v="JP Horgan"/>
    <m/>
    <n v="-347.74279025404621"/>
    <n v="701.71633499291147"/>
    <n v="2.570054658892404"/>
    <n v="55.644015063410578"/>
    <n v="-0.34150424954132458"/>
    <n v="-1.83400598105386"/>
    <n v="10432.283707621387"/>
    <n v="-21051.490049787346"/>
    <n v="-77.101639766772124"/>
    <n v="-1669.3204519023172"/>
    <n v="10.245127486239737"/>
    <n v="55.020179431615801"/>
    <n v="-3058.6960180237088"/>
    <n v="-1271.7644611591049"/>
    <n v="-576.56409658235816"/>
    <n v="-217.21670134008207"/>
    <n v="200.37720910061296"/>
    <n v="471.37391102692675"/>
    <n v="851.85952728761322"/>
    <n v="1395.4698430598846"/>
    <n v="759.50093402643688"/>
    <n v="383.07354329063173"/>
    <n v="153.84864564986685"/>
    <n v="77.015634399688793"/>
    <n v="-77.182672730362469"/>
    <n v="-154.51807693554201"/>
    <n v="-387.31407362686241"/>
    <n v="-777.31179007672324"/>
    <n v="-2737.2813907408172"/>
    <n v="-2928.9939101073023"/>
    <n v="-3058.6960180237088"/>
    <n v="-3189.6642412424726"/>
    <n v="-3388.1118239337675"/>
    <n v="-3723.0331281625354"/>
    <n v="-4403.0502242971315"/>
    <n v="-885.38379544441511"/>
    <n v="-1117.2974954548056"/>
    <n v="-1271.7644611591049"/>
    <n v="-1426.1067842440893"/>
    <n v="-1657.3674314298678"/>
    <n v="-2042.0591058415846"/>
    <n v="-2808.2278446668761"/>
    <n v="-183.94041276656367"/>
    <n v="-419.47180811748922"/>
    <n v="-576.56409658235816"/>
    <n v="-733.67483344147786"/>
    <n v="-969.3152753332339"/>
    <n v="-1361.7912624515986"/>
    <n v="-2144.7872720794867"/>
    <n v="383.07354329063173"/>
    <n v="153.84864564986685"/>
    <n v="0"/>
    <n v="-154.51807693554201"/>
    <n v="-387.31407362686241"/>
    <n v="-777.31179007672324"/>
    <n v="-1561.4026883740048"/>
    <n v="832.3613358167313"/>
    <n v="617.26033106925627"/>
    <n v="471.37391102692675"/>
    <n v="323.817314400398"/>
    <n v="99.836787489191465"/>
    <n v="-279.04598348685283"/>
    <n v="-1050.6771513165422"/>
    <n v="1182.0314210756444"/>
    <n v="986.40925270850948"/>
    <n v="851.85952728761322"/>
    <n v="714.47618141789633"/>
    <n v="503.82662898026979"/>
    <n v="142.82354883269647"/>
    <n v="-605.25038117161898"/>
    <n v="1652.0599187962844"/>
    <n v="1502.3222129576579"/>
    <n v="1395.4698430598846"/>
    <n v="1283.6193415721386"/>
    <n v="1107.5098654599315"/>
    <n v="795.16943539501824"/>
    <n v="117.68895176290272"/>
  </r>
  <r>
    <x v="0"/>
    <x v="0"/>
    <n v="0.02"/>
    <s v="Option"/>
    <s v="USD"/>
    <n v="-50"/>
    <x v="3"/>
    <s v="Call"/>
    <d v="2010-06-18T00:00:00"/>
    <n v="0.35896400835070608"/>
    <n v="1.4999999999999999E-2"/>
    <n v="101.75461587020106"/>
    <n v="-5087.7307935100534"/>
    <s v="Exch"/>
    <m/>
    <n v="592.6690449100837"/>
    <n v="912.62722217958503"/>
    <n v="2.8541617426172672"/>
    <n v="-11.090476100023295"/>
    <n v="-0.30988236061599356"/>
    <n v="2.138503951160037"/>
    <n v="-29633.452245504184"/>
    <n v="-45631.361108979254"/>
    <n v="-142.70808713086336"/>
    <n v="554.52380500116476"/>
    <n v="15.494118030799678"/>
    <n v="-106.92519755800186"/>
    <n v="4035.4355591192402"/>
    <n v="2491.0838888600465"/>
    <n v="1365.1818844166712"/>
    <n v="574.24763652389572"/>
    <n v="-610.73542504156535"/>
    <n v="-1592.66329062566"/>
    <n v="-3392.9299468907575"/>
    <n v="-7515.644332201231"/>
    <n v="1429.5908419437096"/>
    <n v="714.20093488233931"/>
    <n v="285.52499469074348"/>
    <n v="142.73555299698728"/>
    <n v="-142.68010103046436"/>
    <n v="-285.30319180202071"/>
    <n v="-712.81488721438393"/>
    <n v="-1424.0499621541544"/>
    <n v="4413.5606178350718"/>
    <n v="4193.657735467923"/>
    <n v="4035.4355591192402"/>
    <n v="3869.1454451810573"/>
    <n v="3606.5603793974547"/>
    <n v="3140.0881926279881"/>
    <n v="2129.923199332417"/>
    <n v="3092.2658514230479"/>
    <n v="2733.973854952299"/>
    <n v="2491.0838888600465"/>
    <n v="2245.5734200350234"/>
    <n v="1873.2751382550391"/>
    <n v="1244.583109627888"/>
    <n v="-31.923551030368458"/>
    <n v="2041.0367936342311"/>
    <n v="1636.0836995440081"/>
    <n v="1365.1818844166712"/>
    <n v="1093.7201017545844"/>
    <n v="685.7494973184032"/>
    <n v="4.5187456455124675"/>
    <n v="-1359.0426821120814"/>
    <n v="714.20093488233931"/>
    <n v="285.52499469074348"/>
    <n v="0"/>
    <n v="-285.30319180202071"/>
    <n v="-712.81488721438393"/>
    <n v="-1424.0499621541544"/>
    <n v="-2841.0172472988761"/>
    <n v="-877.06151566633821"/>
    <n v="-1306.0098390886708"/>
    <n v="-1592.66329062566"/>
    <n v="-1879.7130039128206"/>
    <n v="-2310.804766715768"/>
    <n v="-3030.0056686616244"/>
    <n v="-4467.9481688358519"/>
    <n v="-2708.1277769323779"/>
    <n v="-3116.9819626123967"/>
    <n v="-3392.9299468907575"/>
    <n v="-3671.0535809608191"/>
    <n v="-4091.5510141521281"/>
    <n v="-4798.98991892095"/>
    <n v="-6228.5855775878817"/>
    <n v="-6956.2061033218015"/>
    <n v="-7285.3266574023337"/>
    <n v="-7515.644332201231"/>
    <n v="-7753.3361798271926"/>
    <n v="-8121.634405785835"/>
    <n v="-8760.584689183157"/>
    <n v="-10103.200932103413"/>
  </r>
  <r>
    <x v="0"/>
    <x v="0"/>
    <n v="0.02"/>
    <s v="Option"/>
    <s v="USD"/>
    <n v="-20"/>
    <x v="4"/>
    <s v="Put"/>
    <d v="2010-06-18T00:00:00"/>
    <n v="0.3956302003368482"/>
    <n v="1.4999999999999999E-2"/>
    <n v="81.239833070783277"/>
    <n v="-1624.7966614156655"/>
    <s v="Exch"/>
    <m/>
    <n v="-392.27074492336976"/>
    <n v="780.96803510235679"/>
    <n v="2.6918877747556711"/>
    <n v="23.96444496808888"/>
    <n v="-0.33693812454965388"/>
    <n v="-2.0626899150978177"/>
    <n v="7845.4148984673957"/>
    <n v="-15619.360702047135"/>
    <n v="-53.83775549511342"/>
    <n v="-479.28889936177762"/>
    <n v="6.7387624909930777"/>
    <n v="41.253798301956351"/>
    <n v="-2268.7467392356748"/>
    <n v="-951.92621228428038"/>
    <n v="-432.80156866851144"/>
    <n v="-163.25350689346578"/>
    <n v="150.760789623763"/>
    <n v="354.81352785208969"/>
    <n v="641.30740988204252"/>
    <n v="1049.0827014080951"/>
    <n v="534.6993502705061"/>
    <n v="268.45026536531236"/>
    <n v="107.57136612725958"/>
    <n v="53.812778944453612"/>
    <n v="-53.860751973987817"/>
    <n v="-107.76378919792137"/>
    <n v="-269.67647905553463"/>
    <n v="-539.96156361235649"/>
    <n v="-2071.0154999182523"/>
    <n v="-2188.2840552459666"/>
    <n v="-2268.7467392356748"/>
    <n v="-2350.7520638814058"/>
    <n v="-2476.218458759894"/>
    <n v="-2690.5718196706393"/>
    <n v="-3132.6841537646305"/>
    <n v="-694.07163240840532"/>
    <n v="-848.7029288995916"/>
    <n v="-951.92621228428038"/>
    <n v="-1055.2205542764898"/>
    <n v="-1210.2383736628099"/>
    <n v="-1468.6312235433604"/>
    <n v="-1984.6654853104906"/>
    <n v="-163.36344461996418"/>
    <n v="-325.08675758660956"/>
    <n v="-432.80156866851144"/>
    <n v="-540.42925072688263"/>
    <n v="-701.69565472003114"/>
    <n v="-969.96294984433007"/>
    <n v="-1504.3071969212917"/>
    <n v="268.45026536531236"/>
    <n v="107.57136612725958"/>
    <n v="0"/>
    <n v="-107.76378919792137"/>
    <n v="-269.67647905553463"/>
    <n v="-539.96156361235649"/>
    <n v="-1080.7910566991836"/>
    <n v="611.59004609936687"/>
    <n v="458.27248910499407"/>
    <n v="354.81352785208969"/>
    <n v="250.53548793224991"/>
    <n v="92.849760691726715"/>
    <n v="-172.54897814591345"/>
    <n v="-709.3350864491515"/>
    <n v="878.45073935376035"/>
    <n v="737.63672400385644"/>
    <n v="641.30740988204252"/>
    <n v="543.32707942189472"/>
    <n v="393.73465552159928"/>
    <n v="138.84979015977137"/>
    <n v="-385.0129217115682"/>
    <n v="1234.5343009595319"/>
    <n v="1126.1390666708837"/>
    <n v="1049.0827014080951"/>
    <n v="968.66859471121927"/>
    <n v="842.52464943016264"/>
    <n v="620.02441419203365"/>
    <n v="141.53292091176922"/>
  </r>
  <r>
    <x v="0"/>
    <x v="0"/>
    <n v="0.02"/>
    <s v="Option"/>
    <s v="USD"/>
    <n v="-20"/>
    <x v="4"/>
    <s v="Call"/>
    <d v="2010-06-18T00:00:00"/>
    <n v="0.3956302003368482"/>
    <n v="1.4999999999999999E-2"/>
    <n v="144.43228295286826"/>
    <n v="-2888.6456590573653"/>
    <s v="Darklays Capital"/>
    <m/>
    <n v="698.18732002678712"/>
    <n v="780.96803510235679"/>
    <n v="2.6918877747556711"/>
    <n v="23.96444496808888"/>
    <n v="-0.31940339284285374"/>
    <n v="2.4122479697192634"/>
    <n v="-13963.746400535743"/>
    <n v="-15619.360702047135"/>
    <n v="-53.83775549511342"/>
    <n v="-479.28889936177762"/>
    <n v="6.3880678568570746"/>
    <n v="-48.244959394385269"/>
    <n v="2093.0855205649541"/>
    <n v="1228.9899176160327"/>
    <n v="657.65649628164624"/>
    <n v="272.92971908659638"/>
    <n v="-285.4224363563003"/>
    <n v="-735.64453709806685"/>
    <n v="-1539.6087200182751"/>
    <n v="-3312.7495583925315"/>
    <n v="534.69935027050724"/>
    <n v="268.4502653653135"/>
    <n v="107.57136612726072"/>
    <n v="53.812778944457023"/>
    <n v="-53.860751973984407"/>
    <n v="-107.76378919792251"/>
    <n v="-269.67647905553349"/>
    <n v="-539.96156361235535"/>
    <n v="2290.8167598823766"/>
    <n v="2173.5482045546628"/>
    <n v="2093.0855205649541"/>
    <n v="2011.0801959192218"/>
    <n v="1885.6138010407353"/>
    <n v="1671.2604401299893"/>
    <n v="1229.1481060359979"/>
    <n v="1486.8444974919078"/>
    <n v="1332.2132010007226"/>
    <n v="1228.9899176160327"/>
    <n v="1125.6955756238267"/>
    <n v="970.67775623750435"/>
    <n v="712.28490635695266"/>
    <n v="196.25064458982592"/>
    <n v="927.09462033019008"/>
    <n v="765.37130736354925"/>
    <n v="657.65649628164624"/>
    <n v="550.02881422327619"/>
    <n v="388.76241023012994"/>
    <n v="120.49511510582875"/>
    <n v="-413.84913197112951"/>
    <n v="268.4502653653135"/>
    <n v="107.57136612726072"/>
    <n v="0"/>
    <n v="-107.76378919792251"/>
    <n v="-269.67647905553349"/>
    <n v="-539.96156361235535"/>
    <n v="-1080.7910566991825"/>
    <n v="-478.86801885078967"/>
    <n v="-632.18557584516248"/>
    <n v="-735.64453709806685"/>
    <n v="-839.92257701790322"/>
    <n v="-997.60830425843096"/>
    <n v="-1263.00704309607"/>
    <n v="-1799.793151399308"/>
    <n v="-1302.4653905465539"/>
    <n v="-1443.2794058964555"/>
    <n v="-1539.6087200182751"/>
    <n v="-1637.5890504784184"/>
    <n v="-1787.1814743787149"/>
    <n v="-2042.0663397405406"/>
    <n v="-2565.929051611879"/>
    <n v="-3127.2979588410908"/>
    <n v="-3235.6931931297436"/>
    <n v="-3312.7495583925315"/>
    <n v="-3393.1636650894075"/>
    <n v="-3519.3076103704607"/>
    <n v="-3741.8078456085914"/>
    <n v="-4220.2993388888553"/>
  </r>
  <r>
    <x v="0"/>
    <x v="0"/>
    <n v="0.02"/>
    <s v="Option"/>
    <s v="USD"/>
    <n v="-50"/>
    <x v="3"/>
    <s v="Put"/>
    <d v="2010-09-17T00:00:00"/>
    <n v="0.32918394622393538"/>
    <n v="1.7500000000000002E-2"/>
    <n v="118.59680567678924"/>
    <n v="-5929.8402838394622"/>
    <s v="Exch"/>
    <m/>
    <n v="-486.43182499065125"/>
    <n v="787.76257807430693"/>
    <n v="3.5523122484663197"/>
    <n v="-19.980728286368912"/>
    <n v="-0.23151840944527557"/>
    <n v="-4.1440317169002752"/>
    <n v="24321.591249532561"/>
    <n v="-39388.128903715347"/>
    <n v="-177.61561242331598"/>
    <n v="999.03641431844562"/>
    <n v="11.575920472263778"/>
    <n v="207.20158584501377"/>
    <n v="-6525.7043175777599"/>
    <n v="-2841.635806580166"/>
    <n v="-1316.7544207529374"/>
    <n v="-502.33686711316921"/>
    <n v="470.83667441358728"/>
    <n v="1120.2167528955897"/>
    <n v="2060.3323644505335"/>
    <n v="3478.4057984120354"/>
    <n v="1780.6471107973352"/>
    <n v="889.26405955456005"/>
    <n v="355.42702094321612"/>
    <n v="177.66506316395407"/>
    <n v="-177.56516014717363"/>
    <n v="-355.02741638073019"/>
    <n v="-886.76686172520078"/>
    <n v="-1770.6631919971983"/>
    <n v="-5993.0147820984475"/>
    <n v="-6304.4724967228603"/>
    <n v="-6525.7043175777599"/>
    <n v="-6756.0541949452954"/>
    <n v="-7115.98829482171"/>
    <n v="-7746.2273838941546"/>
    <n v="-9082.7702365045643"/>
    <n v="-2071.3950487777538"/>
    <n v="-2531.0578227322421"/>
    <n v="-2841.635806580166"/>
    <n v="-3154.7994968783487"/>
    <n v="-3628.3618772840728"/>
    <n v="-4424.8794103859436"/>
    <n v="-6032.0753846426323"/>
    <n v="-469.11576080572672"/>
    <n v="-977.23108310309499"/>
    <n v="-1316.7544207529374"/>
    <n v="-1656.6789859717233"/>
    <n v="-2166.9962410828757"/>
    <n v="-3017.7330544505962"/>
    <n v="-4715.5479993358031"/>
    <n v="889.26405955456005"/>
    <n v="355.42702094321612"/>
    <n v="0"/>
    <n v="-355.02741638073019"/>
    <n v="-886.76686172520078"/>
    <n v="-1770.6631919971983"/>
    <n v="-3528.3733177953509"/>
    <n v="2015.5608589327926"/>
    <n v="1478.6848210213066"/>
    <n v="1120.2167528955897"/>
    <n v="761.49995873588239"/>
    <n v="223.23805078180783"/>
    <n v="-673.53769040436475"/>
    <n v="-2461.8834647303402"/>
    <n v="2930.340879952726"/>
    <n v="2410.4129266843102"/>
    <n v="2060.3323644505335"/>
    <n v="1708.120407824319"/>
    <n v="1176.7146337358013"/>
    <n v="285.38705589175493"/>
    <n v="-1506.9421789187941"/>
    <n v="4230.4236314924738"/>
    <n v="3786.5512589588634"/>
    <n v="3478.4057984120354"/>
    <n v="3162.2500172421383"/>
    <n v="2675.6134866857933"/>
    <n v="1839.1054120204331"/>
    <n v="105.182157490745"/>
  </r>
  <r>
    <x v="0"/>
    <x v="0"/>
    <n v="0.02"/>
    <s v="Option"/>
    <s v="USD"/>
    <n v="-50"/>
    <x v="5"/>
    <s v="Call"/>
    <d v="2010-09-17T00:00:00"/>
    <n v="0.29936102282234395"/>
    <n v="1.7500000000000002E-2"/>
    <n v="59.289572408836989"/>
    <n v="-2964.4786204418497"/>
    <s v="JP Horgan"/>
    <m/>
    <n v="397.94134081509833"/>
    <n v="824.39306315836268"/>
    <n v="3.3807006930785297"/>
    <n v="226.15930520422793"/>
    <n v="-0.1968417271132874"/>
    <n v="2.3195326603168582"/>
    <n v="-19897.067040754915"/>
    <n v="-41219.653157918132"/>
    <n v="-169.03503465392649"/>
    <n v="-11307.965260211397"/>
    <n v="9.842086355664371"/>
    <n v="-115.97663301584291"/>
    <n v="2463.090691505085"/>
    <n v="1588.4498398637816"/>
    <n v="892.80697654870949"/>
    <n v="381.50375604068643"/>
    <n v="-414.46132408125891"/>
    <n v="-1098.1982199473634"/>
    <n v="-2401.6520789648439"/>
    <n v="-5589.2226157340074"/>
    <n v="1606.119245635236"/>
    <n v="828.17318739766961"/>
    <n v="335.64222249501086"/>
    <n v="168.44948627618805"/>
    <n v="-169.58143760607527"/>
    <n v="-340.18393234360644"/>
    <n v="-857.17972353922391"/>
    <n v="-1731.7822372159044"/>
    <n v="2740.4751109712124"/>
    <n v="2587.3599331175642"/>
    <n v="2463.090691505085"/>
    <n v="2322.4506068054502"/>
    <n v="2083.6852214329724"/>
    <n v="1622.3802609041811"/>
    <n v="523.62868400505386"/>
    <n v="2145.1698007475939"/>
    <n v="1822.3730131575608"/>
    <n v="1588.4498398637816"/>
    <n v="1342.0316870580778"/>
    <n v="952.77677665582564"/>
    <n v="263.02162962914082"/>
    <n v="-1218.0600347484074"/>
    <n v="1593.9707376452729"/>
    <n v="1181.2367307667273"/>
    <n v="892.80697654870949"/>
    <n v="595.82845339253652"/>
    <n v="137.31531391544252"/>
    <n v="-653.17340888480544"/>
    <n v="-2295.625648707542"/>
    <n v="828.17318739766961"/>
    <n v="335.64222249501086"/>
    <n v="0"/>
    <n v="-340.18393234360644"/>
    <n v="-857.17972353922391"/>
    <n v="-1731.7822372159044"/>
    <n v="-3508.2324480051484"/>
    <n v="-172.97120945499671"/>
    <n v="-726.66359322377048"/>
    <n v="-1098.1982199473634"/>
    <n v="-1471.1373527194696"/>
    <n v="-2032.459780431418"/>
    <n v="-2971.1027218431468"/>
    <n v="-4851.3103520385839"/>
    <n v="-1416.8833134314184"/>
    <n v="-2007.8627945143921"/>
    <n v="-2401.6520789648439"/>
    <n v="-2795.2053288599072"/>
    <n v="-3384.9711676287939"/>
    <n v="-4366.0208766593769"/>
    <n v="-6318.8630800569972"/>
    <n v="-4601.4418382700915"/>
    <n v="-5192.5117859326401"/>
    <n v="-5589.2226157340074"/>
    <n v="-5987.4929810920603"/>
    <n v="-6587.0323277851412"/>
    <n v="-7589.7622607425201"/>
    <n v="-9598.7773458289212"/>
  </r>
  <r>
    <x v="0"/>
    <x v="0"/>
    <n v="0.02"/>
    <s v="Option"/>
    <s v="USD"/>
    <n v="-20"/>
    <x v="2"/>
    <s v="Put"/>
    <d v="2010-09-17T00:00:00"/>
    <n v="0.39076411312591419"/>
    <n v="1.7500000000000002E-2"/>
    <n v="90.608697206694444"/>
    <n v="-1812.1739441338889"/>
    <s v="Exch"/>
    <m/>
    <n v="-354.8782990306853"/>
    <n v="605.33736177943922"/>
    <n v="3.2403303742153859"/>
    <n v="46.302084905898745"/>
    <n v="-0.25132738565827906"/>
    <n v="-3.051280796146437"/>
    <n v="7097.5659806137064"/>
    <n v="-12106.747235588784"/>
    <n v="-64.806607484307719"/>
    <n v="-926.04169811797487"/>
    <n v="5.0265477131655807"/>
    <n v="61.025615922928736"/>
    <n v="-1973.6309371659684"/>
    <n v="-840.16339896624004"/>
    <n v="-386.33500472885771"/>
    <n v="-146.87074896051286"/>
    <n v="137.18583256479178"/>
    <n v="325.82040490949453"/>
    <n v="598.35341452289867"/>
    <n v="1011.4435157894928"/>
    <n v="640.97149354270869"/>
    <n v="322.60741817639428"/>
    <n v="129.41207096405492"/>
    <n v="64.758359209421315"/>
    <n v="-64.851048364217831"/>
    <n v="-129.78384983375577"/>
    <n v="-324.97640691410538"/>
    <n v="-651.13481636467668"/>
    <n v="-1698.1659660663547"/>
    <n v="-1862.7156147325206"/>
    <n v="-1973.6309371659684"/>
    <n v="-2085.327934261154"/>
    <n v="-2254.0537804363894"/>
    <n v="-2537.561106176423"/>
    <n v="-3109.1788499661234"/>
    <n v="-519.66855215170085"/>
    <n v="-712.07717207085352"/>
    <n v="-840.16339896624004"/>
    <n v="-968.08855502964775"/>
    <n v="-1159.6525531626696"/>
    <n v="-1477.9831540404314"/>
    <n v="-2110.5990150917523"/>
    <n v="-59.831995769734476"/>
    <n v="-255.75821427091796"/>
    <n v="-386.33500472885771"/>
    <n v="-516.84637806009505"/>
    <n v="-712.43880929834972"/>
    <n v="-1037.7934247735925"/>
    <n v="-1685.2231801392929"/>
    <n v="322.60741817639428"/>
    <n v="129.41207096405492"/>
    <n v="0"/>
    <n v="-129.78384983375577"/>
    <n v="-324.97640691410538"/>
    <n v="-651.13481636467668"/>
    <n v="-1303.9936188299635"/>
    <n v="636.34754446239072"/>
    <n v="451.01607321297365"/>
    <n v="325.82040490949453"/>
    <n v="199.55992250253871"/>
    <n v="8.5445132247195943"/>
    <n v="-313.03841612472979"/>
    <n v="-963.06600784857096"/>
    <n v="890.60754451069499"/>
    <n v="716.97766570608451"/>
    <n v="598.35341452289867"/>
    <n v="477.81795578073456"/>
    <n v="294.01623030778751"/>
    <n v="-18.55507460400986"/>
    <n v="-658.71845549957584"/>
    <n v="1256.3208985382187"/>
    <n v="1112.5935612623493"/>
    <n v="1011.4435157894928"/>
    <n v="906.61415607449328"/>
    <n v="743.40315461073885"/>
    <n v="458.39433756536664"/>
    <n v="-145.84121294456395"/>
  </r>
  <r>
    <x v="0"/>
    <x v="0"/>
    <n v="0.02"/>
    <s v="Option"/>
    <s v="USD"/>
    <n v="-50"/>
    <x v="9"/>
    <s v="Put"/>
    <d v="2010-09-17T00:00:00"/>
    <n v="0.3454428185513545"/>
    <n v="1.7500000000000002E-2"/>
    <n v="106.82093528205399"/>
    <n v="-5341.0467641026999"/>
    <s v="Exch"/>
    <m/>
    <n v="-438.14776974407386"/>
    <n v="734.93496720134749"/>
    <n v="3.4777809112600107"/>
    <n v="-10.392413374442203"/>
    <n v="-0.23815434848788067"/>
    <n v="-3.7326623631926568"/>
    <n v="21907.388487203694"/>
    <n v="-36746.748360067373"/>
    <n v="-173.88904556300054"/>
    <n v="519.62066872211017"/>
    <n v="11.907717424394033"/>
    <n v="186.63311815963283"/>
    <n v="-5981.3718183015881"/>
    <n v="-2578.2218016231441"/>
    <n v="-1189.9218885197483"/>
    <n v="-453.02434697494505"/>
    <n v="423.63376614927972"/>
    <n v="1006.4551230999797"/>
    <n v="1847.5946007458247"/>
    <n v="3112.5749136997997"/>
    <n v="1739.9558775634573"/>
    <n v="869.92521641501526"/>
    <n v="347.87180605590322"/>
    <n v="173.91377402336161"/>
    <n v="-173.86185519486901"/>
    <n v="-347.66465131062034"/>
    <n v="-868.65373200570559"/>
    <n v="-1735.2303311545541"/>
    <n v="-5383.8909531328709"/>
    <n v="-5736.6125098491038"/>
    <n v="-5981.3718183015881"/>
    <n v="-6232.4943867419197"/>
    <n v="-6619.1245292366002"/>
    <n v="-7284.1588039151047"/>
    <n v="-8664.5634477077328"/>
    <n v="-1782.1748007305218"/>
    <n v="-2258.8339124932277"/>
    <n v="-2578.2218016231441"/>
    <n v="-2898.5656379218567"/>
    <n v="-3380.3868144020412"/>
    <n v="-4185.4892445127234"/>
    <n v="-5796.9100929553751"/>
    <n v="-340.09254795597315"/>
    <n v="-850.15744015325367"/>
    <n v="-1189.9218885197483"/>
    <n v="-1529.4072621228879"/>
    <n v="-2038.021096621665"/>
    <n v="-2883.769555609183"/>
    <n v="-4566.2359300026337"/>
    <n v="869.92521641501526"/>
    <n v="347.87180605590322"/>
    <n v="0"/>
    <n v="-347.66465131062034"/>
    <n v="-868.65373200570559"/>
    <n v="-1735.2303311545541"/>
    <n v="-3459.7552773863326"/>
    <n v="1865.4094082105814"/>
    <n v="1351.114768563164"/>
    <n v="1006.4551230999797"/>
    <n v="660.72891921153598"/>
    <n v="140.67663121597889"/>
    <n v="-728.4205662769125"/>
    <n v="-2468.2097483149078"/>
    <n v="2669.7530635992907"/>
    <n v="2179.525097253611"/>
    <n v="1847.5946007458247"/>
    <n v="1512.4106756781116"/>
    <n v="1004.7467038251881"/>
    <n v="149.1023618539117"/>
    <n v="-1582.1603646248946"/>
    <n v="3809.8751353556127"/>
    <n v="3399.4730112534712"/>
    <n v="3112.5749136997997"/>
    <n v="2816.8015845912605"/>
    <n v="2359.1684836683698"/>
    <n v="1567.1559038563203"/>
    <n v="-89.54388095542356"/>
  </r>
  <r>
    <x v="0"/>
    <x v="0"/>
    <n v="0.02"/>
    <s v="Option"/>
    <s v="USD"/>
    <n v="-50"/>
    <x v="9"/>
    <s v="Call"/>
    <d v="2010-09-17T00:00:00"/>
    <n v="0.3454428185513545"/>
    <n v="1.7500000000000002E-2"/>
    <n v="137.56822151290169"/>
    <n v="-6878.4110756450846"/>
    <s v="Darklays Capital"/>
    <m/>
    <n v="646.88647629865511"/>
    <n v="734.93496720134749"/>
    <n v="3.4777809112600107"/>
    <n v="-10.392413374442203"/>
    <n v="-0.22924842212035557"/>
    <n v="3.4884811971626948"/>
    <n v="-32344.323814932755"/>
    <n v="-36746.748360067373"/>
    <n v="-173.88904556300054"/>
    <n v="519.62066872211017"/>
    <n v="11.462421106017779"/>
    <n v="-174.42405985813474"/>
    <n v="4868.9706421257069"/>
    <n v="2846.9494285905002"/>
    <n v="1522.6637265870891"/>
    <n v="632.00989906778489"/>
    <n v="-661.40047989343316"/>
    <n v="-1706.130492006838"/>
    <n v="-3577.5766294678192"/>
    <n v="-7737.7675467274912"/>
    <n v="1739.9558775634603"/>
    <n v="869.92521641501526"/>
    <n v="347.87180605591175"/>
    <n v="173.9137740233673"/>
    <n v="-173.86185519486048"/>
    <n v="-347.66465131061466"/>
    <n v="-868.65373200569991"/>
    <n v="-1735.2303311545484"/>
    <n v="5466.4515072944168"/>
    <n v="5113.7299505781857"/>
    <n v="4868.9706421257069"/>
    <n v="4617.8480736853644"/>
    <n v="4231.2179311906921"/>
    <n v="3566.1836565121857"/>
    <n v="2185.779012719564"/>
    <n v="3642.9964294831307"/>
    <n v="3166.3373177204221"/>
    <n v="2846.9494285905002"/>
    <n v="2526.6055922917899"/>
    <n v="2044.7844158116084"/>
    <n v="1239.6819857009234"/>
    <n v="-371.73886274172787"/>
    <n v="2372.4930671508587"/>
    <n v="1862.4281749535699"/>
    <n v="1522.6637265870891"/>
    <n v="1183.178352983947"/>
    <n v="674.56451848516963"/>
    <n v="-171.18394050235111"/>
    <n v="-1853.6503148958018"/>
    <n v="869.92521641501526"/>
    <n v="347.87180605591175"/>
    <n v="0"/>
    <n v="-347.66465131061466"/>
    <n v="-868.65373200569991"/>
    <n v="-1735.2303311545484"/>
    <n v="-3459.7552773863245"/>
    <n v="-847.17620689623914"/>
    <n v="-1361.4708465436649"/>
    <n v="-1706.130492006838"/>
    <n v="-2051.8566958952874"/>
    <n v="-2571.9089838908417"/>
    <n v="-3441.0061813837387"/>
    <n v="-5180.7953634217311"/>
    <n v="-2755.4181666143504"/>
    <n v="-3245.6461329600361"/>
    <n v="-3577.5766294678192"/>
    <n v="-3912.7605545355323"/>
    <n v="-4420.4245263884559"/>
    <n v="-5276.0688683597327"/>
    <n v="-7007.3315948385416"/>
    <n v="-7040.4673250716769"/>
    <n v="-7450.8694491738079"/>
    <n v="-7737.7675467274912"/>
    <n v="-8033.54087583603"/>
    <n v="-8491.1739767589206"/>
    <n v="-9283.1865565709613"/>
    <n v="-10939.886341382709"/>
  </r>
  <r>
    <x v="1"/>
    <x v="1"/>
    <n v="2.1999999999999999E-2"/>
    <s v="Future"/>
    <s v="EUR"/>
    <n v="20"/>
    <x v="0"/>
    <m/>
    <d v="2010-03-19T00:00:00"/>
    <n v="0"/>
    <m/>
    <n v="2893.1178463623419"/>
    <n v="57862.356927246838"/>
    <s v="Exch"/>
    <m/>
    <n v="2893.1178463623419"/>
    <n v="0"/>
    <n v="0"/>
    <n v="0"/>
    <n v="0.17437970580814116"/>
    <n v="5.389918179524364"/>
    <n v="57862.356927246838"/>
    <n v="0"/>
    <n v="0"/>
    <n v="0"/>
    <n v="3.487594116162823"/>
    <n v="107.79836359048728"/>
    <n v="-11572.471385449362"/>
    <n v="-5786.2356927246765"/>
    <n v="-2893.1178463623382"/>
    <n v="-1157.2471385449353"/>
    <n v="1157.2471385449353"/>
    <n v="2893.1178463623473"/>
    <n v="5786.2356927246947"/>
    <n v="11572.471385449371"/>
    <n v="0"/>
    <n v="0"/>
    <n v="0"/>
    <n v="0"/>
    <n v="0"/>
    <n v="0"/>
    <n v="0"/>
    <n v="0"/>
    <n v="-11572.471385449362"/>
    <n v="-11572.471385449362"/>
    <n v="-11572.471385449362"/>
    <n v="-11572.471385449362"/>
    <n v="-11572.471385449362"/>
    <n v="-11572.471385449362"/>
    <n v="-11572.471385449362"/>
    <n v="-5786.2356927246765"/>
    <n v="-5786.2356927246765"/>
    <n v="-5786.2356927246765"/>
    <n v="-5786.2356927246765"/>
    <n v="-5786.2356927246765"/>
    <n v="-5786.2356927246765"/>
    <n v="-5786.2356927246765"/>
    <n v="-2893.1178463623382"/>
    <n v="-2893.1178463623382"/>
    <n v="-2893.1178463623382"/>
    <n v="-2893.1178463623382"/>
    <n v="-2893.1178463623382"/>
    <n v="-2893.1178463623382"/>
    <n v="-2893.1178463623382"/>
    <n v="0"/>
    <n v="0"/>
    <n v="0"/>
    <n v="0"/>
    <n v="0"/>
    <n v="0"/>
    <n v="0"/>
    <n v="2893.1178463623473"/>
    <n v="2893.1178463623473"/>
    <n v="2893.1178463623473"/>
    <n v="2893.1178463623473"/>
    <n v="2893.1178463623473"/>
    <n v="2893.1178463623473"/>
    <n v="2893.1178463623473"/>
    <n v="5786.2356927246947"/>
    <n v="5786.2356927246947"/>
    <n v="5786.2356927246947"/>
    <n v="5786.2356927246947"/>
    <n v="5786.2356927246947"/>
    <n v="5786.2356927246947"/>
    <n v="5786.2356927246947"/>
    <n v="11572.471385449371"/>
    <n v="11572.471385449371"/>
    <n v="11572.471385449371"/>
    <n v="11572.471385449371"/>
    <n v="11572.471385449371"/>
    <n v="11572.471385449371"/>
    <n v="11572.471385449371"/>
  </r>
  <r>
    <x v="1"/>
    <x v="1"/>
    <n v="2.1999999999999999E-2"/>
    <s v="Option"/>
    <s v="EUR"/>
    <n v="-20"/>
    <x v="10"/>
    <s v="Call"/>
    <d v="2010-03-19T00:00:00"/>
    <n v="0.39756798563679596"/>
    <n v="2.1999999999999999E-2"/>
    <n v="160.41055787487358"/>
    <n v="-3208.2111574974715"/>
    <s v="GoldMine Sacks"/>
    <m/>
    <n v="1347.236298191099"/>
    <n v="3350.5394623296156"/>
    <n v="4.963318974727593"/>
    <n v="27.726046042558011"/>
    <n v="-1.4412554822936774"/>
    <n v="2.2110726120959812"/>
    <n v="-26944.72596382198"/>
    <n v="-67010.789246592307"/>
    <n v="-99.266379494551856"/>
    <n v="-554.52092085116021"/>
    <n v="28.825109645873546"/>
    <n v="-44.221452241919621"/>
    <n v="2927.6957365832741"/>
    <n v="2032.8698726651942"/>
    <n v="1179.5221979879761"/>
    <n v="512.03141146863345"/>
    <n v="-565.58075673166059"/>
    <n v="-1512.2736120139643"/>
    <n v="-3336.998095872209"/>
    <n v="-7756.8691302200205"/>
    <n v="988.58596597709948"/>
    <n v="495.49733007664145"/>
    <n v="198.41346509554114"/>
    <n v="99.237629477834162"/>
    <n v="-99.293127468813509"/>
    <n v="-198.63600919770761"/>
    <n v="-496.91274701455313"/>
    <n v="-994.61976477246026"/>
    <n v="3058.7609947209148"/>
    <n v="2985.3025302343854"/>
    <n v="2927.6957365832741"/>
    <n v="2863.4672648231099"/>
    <n v="2755.378833094549"/>
    <n v="2546.71251629159"/>
    <n v="2041.0292954147553"/>
    <n v="2368.7905186573462"/>
    <n v="2170.9826364833179"/>
    <n v="2032.8698726651942"/>
    <n v="1890.4411886588559"/>
    <n v="1669.7671225808995"/>
    <n v="1286.5134462945502"/>
    <n v="478.05659634403355"/>
    <n v="1612.2310368818898"/>
    <n v="1354.3057198928113"/>
    <n v="1179.5221979879761"/>
    <n v="1002.8389751839495"/>
    <n v="734.80138334195999"/>
    <n v="281.66868109427014"/>
    <n v="-641.02011526976185"/>
    <n v="495.49733007664145"/>
    <n v="198.41346509554114"/>
    <n v="0"/>
    <n v="-198.63600919770761"/>
    <n v="-496.91274701455313"/>
    <n v="-994.61976477246026"/>
    <n v="-1990.8681444162812"/>
    <n v="-999.59558256784021"/>
    <n v="-1307.1383592323537"/>
    <n v="-1512.2736120139643"/>
    <n v="-1717.4635199630075"/>
    <n v="-2025.3042034776399"/>
    <n v="-2538.3782425949539"/>
    <n v="-3563.8374430480599"/>
    <n v="-2851.0738955379429"/>
    <n v="-3141.3798411795278"/>
    <n v="-3336.998095872209"/>
    <n v="-3533.9992856204253"/>
    <n v="-3831.6752588020108"/>
    <n v="-4332.3634587653805"/>
    <n v="-5345.1233988255944"/>
    <n v="-7405.9003017499072"/>
    <n v="-7611.4459568057282"/>
    <n v="-7756.8691302200205"/>
    <n v="-7908.1672248945597"/>
    <n v="-8144.781914610212"/>
    <n v="-8560.6566665021455"/>
    <n v="-9451.7663371803646"/>
  </r>
  <r>
    <x v="1"/>
    <x v="1"/>
    <n v="2.1999999999999999E-2"/>
    <s v="Option"/>
    <s v="EUR"/>
    <n v="-30"/>
    <x v="11"/>
    <s v="Call"/>
    <d v="2010-03-19T00:00:00"/>
    <n v="0.4264333531544322"/>
    <n v="2.1999999999999999E-2"/>
    <n v="255.12202571128637"/>
    <n v="-7653.6607713385911"/>
    <s v="Exch"/>
    <m/>
    <n v="1740.2041935197692"/>
    <n v="3033.3282242263963"/>
    <n v="4.81966236490352"/>
    <n v="21.271128855411305"/>
    <n v="-1.4958468874075315"/>
    <n v="2.7667284222185429"/>
    <n v="-52206.125805593074"/>
    <n v="-90999.84672679189"/>
    <n v="-144.5898709471056"/>
    <n v="-638.13386566233919"/>
    <n v="44.875406622225945"/>
    <n v="-83.001852666556289"/>
    <n v="6585.6149853351308"/>
    <n v="4257.9276795400156"/>
    <n v="2374.8528730218595"/>
    <n v="1007.1679949432701"/>
    <n v="-1079.9160157907136"/>
    <n v="-2827.8278357256841"/>
    <n v="-6045.6347491652514"/>
    <n v="-13359.464803755163"/>
    <n v="1441.1898700839151"/>
    <n v="721.98492847292073"/>
    <n v="289.04215509558298"/>
    <n v="144.55674613174097"/>
    <n v="-144.62060963782505"/>
    <n v="-289.29821183980721"/>
    <n v="-723.61199407687081"/>
    <n v="-1448.100336108505"/>
    <n v="6938.3780499261538"/>
    <n v="6733.1707666156572"/>
    <n v="6585.6149853351308"/>
    <n v="6430.3212163904973"/>
    <n v="6184.3345708272382"/>
    <n v="5744.4388287230777"/>
    <n v="4778.4486371715502"/>
    <n v="4891.1810881392512"/>
    <n v="4512.914841819822"/>
    <n v="4257.9276795400156"/>
    <n v="4001.0473781827682"/>
    <n v="3612.7137558296431"/>
    <n v="2959.0681777052373"/>
    <n v="1635.3325435641943"/>
    <n v="3084.3243662121154"/>
    <n v="2658.7143453850535"/>
    <n v="2374.8528730218595"/>
    <n v="2090.9323261790223"/>
    <n v="1664.9996419126546"/>
    <n v="955.15686900593209"/>
    <n v="-463.42292120520369"/>
    <n v="721.98492847292073"/>
    <n v="289.04215509558298"/>
    <n v="0"/>
    <n v="-289.29821183980721"/>
    <n v="-723.61199407687081"/>
    <n v="-1448.100336108505"/>
    <n v="-2897.76069700373"/>
    <n v="-2151.2688217543791"/>
    <n v="-2555.1845295625662"/>
    <n v="-2827.8278357256841"/>
    <n v="-3102.7446057070665"/>
    <n v="-3518.746852631316"/>
    <n v="-4219.8432631774313"/>
    <n v="-5642.056215389468"/>
    <n v="-5455.0853594764112"/>
    <n v="-5804.8673201521615"/>
    <n v="-6045.6347491652514"/>
    <n v="-6291.6409226745282"/>
    <n v="-6669.1863088896589"/>
    <n v="-7317.2180464120311"/>
    <n v="-8664.3253537014953"/>
    <n v="-12981.992715507467"/>
    <n v="-13200.05315080658"/>
    <n v="-13359.464803755163"/>
    <n v="-13529.130958309564"/>
    <n v="-13801.133423229498"/>
    <n v="-14295.197191750394"/>
    <n v="-15403.00773216868"/>
  </r>
  <r>
    <x v="1"/>
    <x v="1"/>
    <n v="2.1999999999999999E-2"/>
    <s v="Option"/>
    <s v="EUR"/>
    <n v="-20"/>
    <x v="10"/>
    <s v="Put"/>
    <d v="2010-03-19T00:00:0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n v="-3.3402648037859111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x v="1"/>
    <n v="2.1999999999999999E-2"/>
    <s v="Option"/>
    <s v="EUR"/>
    <n v="-25"/>
    <x v="12"/>
    <s v="Put"/>
    <d v="2010-03-19T00:00:00"/>
    <n v="0.50139327707893011"/>
    <n v="2.1999999999999999E-2"/>
    <n v="100.13754085596645"/>
    <n v="-2503.4385213991613"/>
    <s v="Exch"/>
    <m/>
    <n v="-700.37470971974722"/>
    <n v="2087.7268891218614"/>
    <n v="3.9003019949379456"/>
    <n v="262.97250574999822"/>
    <n v="-1.4318946058702244"/>
    <n v="-1.4913652887437956"/>
    <n v="17509.36774299368"/>
    <n v="-52193.172228046533"/>
    <n v="-97.507549873448639"/>
    <n v="-6574.3126437499559"/>
    <n v="35.79736514675561"/>
    <n v="37.284132218594891"/>
    <n v="-6115.0864334906064"/>
    <n v="-2344.89092809969"/>
    <n v="-1015.1204631460388"/>
    <n v="-371.65373752202697"/>
    <n v="329.89812275912413"/>
    <n v="754.11930016369411"/>
    <n v="1300.840423119547"/>
    <n v="1958.5909790047324"/>
    <n v="934.87556966086629"/>
    <n v="478.48571924180021"/>
    <n v="193.64959378565061"/>
    <n v="97.172610709998253"/>
    <n v="-97.830245716636455"/>
    <n v="-196.28258101871552"/>
    <n v="-495.0495600311541"/>
    <n v="-1002.7040410372791"/>
    <n v="-5648.2889560838057"/>
    <n v="-5927.1798173513016"/>
    <n v="-6115.0864334906064"/>
    <n v="-6304.3614595684548"/>
    <n v="-6590.5026504666494"/>
    <n v="-7072.2969546692948"/>
    <n v="-8048.9981355944419"/>
    <n v="-1797.0074700684704"/>
    <n v="-2125.7278051957401"/>
    <n v="-2344.89092809969"/>
    <n v="-2564.0474280270241"/>
    <n v="-2892.7380441301098"/>
    <n v="-3440.3346066599538"/>
    <n v="-4534.1350220838849"/>
    <n v="-486.94854769554752"/>
    <n v="-803.00357550111698"/>
    <n v="-1015.1204631460388"/>
    <n v="-1228.204811744348"/>
    <n v="-1549.3902877474625"/>
    <n v="-2088.0641625371309"/>
    <n v="-3174.0909140282924"/>
    <n v="478.48571924180021"/>
    <n v="193.64959378565061"/>
    <n v="0"/>
    <n v="-196.28258101871552"/>
    <n v="-495.0495600311541"/>
    <n v="-1002.7040410372791"/>
    <n v="-2044.976744579435"/>
    <n v="1165.2338243170832"/>
    <n v="922.31503221238711"/>
    <n v="754.11930016369411"/>
    <n v="581.46128568019151"/>
    <n v="314.98723948129168"/>
    <n v="-146.24618408678316"/>
    <n v="-1117.9485791541906"/>
    <n v="1638.4247201474764"/>
    <n v="1440.8192016842108"/>
    <n v="1300.840423119547"/>
    <n v="1154.8500112968241"/>
    <n v="925.58956808290986"/>
    <n v="519.46809446326938"/>
    <n v="-364.23633485183871"/>
    <n v="2162.2565727005331"/>
    <n v="2045.8566257144612"/>
    <n v="1958.5909790047324"/>
    <n v="1863.9051131725664"/>
    <n v="1708.6250423464903"/>
    <n v="1417.1579405736381"/>
    <n v="729.51465459916278"/>
  </r>
  <r>
    <x v="1"/>
    <x v="1"/>
    <n v="2.1999999999999999E-2"/>
    <s v="Option"/>
    <s v="EUR"/>
    <n v="-50"/>
    <x v="13"/>
    <s v="Call"/>
    <d v="2010-03-19T00:00:00"/>
    <n v="0.38870814783338209"/>
    <n v="2.1999999999999999E-2"/>
    <n v="124.39082072260032"/>
    <n v="-6219.5410361300164"/>
    <s v="GoldMine Sacks"/>
    <m/>
    <n v="1146.6592317215129"/>
    <n v="3322.8744596476458"/>
    <n v="4.8126427186350194"/>
    <n v="140.12612368576524"/>
    <n v="-1.3680270573624032"/>
    <n v="1.9045000533678369"/>
    <n v="-57332.961586075646"/>
    <n v="-166143.72298238229"/>
    <n v="-240.63213593175098"/>
    <n v="-7006.3061842882616"/>
    <n v="68.401352868120156"/>
    <n v="-95.225002668391852"/>
    <n v="5788.216150180805"/>
    <n v="4152.2203299065695"/>
    <n v="2458.3186651695487"/>
    <n v="1080.5322968184385"/>
    <n v="-1213.2890104581691"/>
    <n v="-3282.8994369081383"/>
    <n v="-7379.3667934422101"/>
    <n v="-17692.622076504638"/>
    <n v="2358.9068876758688"/>
    <n v="1193.0653551317221"/>
    <n v="479.78386915639248"/>
    <n v="240.27217038625963"/>
    <n v="-240.97325167210215"/>
    <n v="-482.59361474369484"/>
    <n v="-1210.8667181325529"/>
    <n v="-2433.7470305245515"/>
    <n v="6017.8782033769749"/>
    <n v="5892.195906679578"/>
    <n v="5788.216150180805"/>
    <n v="5668.0829734012887"/>
    <n v="5458.2369355552246"/>
    <n v="5033.7016942452483"/>
    <n v="3941.4619639563712"/>
    <n v="4855.9207355049039"/>
    <n v="4446.1526531617355"/>
    <n v="4152.2203299065695"/>
    <n v="3843.6442828136846"/>
    <n v="3356.5343155635501"/>
    <n v="2490.3555436720981"/>
    <n v="606.83463880990871"/>
    <n v="3434.3789989139168"/>
    <n v="2856.4139987418057"/>
    <n v="2458.3186651695487"/>
    <n v="2051.5340641843577"/>
    <n v="1427.4101657450444"/>
    <n v="357.08279213195624"/>
    <n v="-1863.0955230332177"/>
    <n v="1193.0653551317221"/>
    <n v="479.78386915639248"/>
    <n v="0"/>
    <n v="-482.59361474369484"/>
    <n v="-1210.8667181325529"/>
    <n v="-2433.7470305245515"/>
    <n v="-4901.6891086045634"/>
    <n v="-1975.4300638912866"/>
    <n v="-2759.9688437154837"/>
    <n v="-3282.8994369081383"/>
    <n v="-3805.7250422995539"/>
    <n v="-4589.7201227708647"/>
    <n v="-5895.5764502974662"/>
    <n v="-8503.4149615821607"/>
    <n v="-6075.89250941931"/>
    <n v="-6856.9172312384526"/>
    <n v="-7379.3667934422101"/>
    <n v="-7902.9490353893434"/>
    <n v="-8690.0331559888455"/>
    <n v="-10005.189236555856"/>
    <n v="-12642.438180163839"/>
    <n v="-16669.596356394304"/>
    <n v="-17273.035328134716"/>
    <n v="-17692.622076504638"/>
    <n v="-18124.069663930783"/>
    <n v="-18790.424717924867"/>
    <n v="-19942.834029884678"/>
    <n v="-22359.61623787379"/>
  </r>
  <r>
    <x v="1"/>
    <x v="1"/>
    <n v="2.1999999999999999E-2"/>
    <s v="Option"/>
    <s v="EUR"/>
    <n v="25"/>
    <x v="14"/>
    <s v="Put"/>
    <d v="2010-03-19T00:00:00"/>
    <n v="0.53427360882026176"/>
    <n v="2.1999999999999999E-2"/>
    <n v="86.784698579854762"/>
    <n v="2169.6174644963689"/>
    <s v="Exch"/>
    <m/>
    <n v="-595.89279390581737"/>
    <n v="1787.2730758930818"/>
    <n v="3.5579568691462296"/>
    <n v="322.30979330273726"/>
    <n v="-1.392506241827222"/>
    <n v="-1.2718375202472794"/>
    <n v="-14897.319847645434"/>
    <n v="44681.826897327046"/>
    <n v="88.948921728655733"/>
    <n v="8057.7448325684318"/>
    <n v="-34.812656045680548"/>
    <n v="-31.795938006181984"/>
    <n v="5299.320915809787"/>
    <n v="2005.5424289164052"/>
    <n v="865.17041418761664"/>
    <n v="316.36573890552881"/>
    <n v="-280.61252664572578"/>
    <n v="-641.46428343261027"/>
    <n v="-1107.4791026280282"/>
    <n v="-1673.6053580214716"/>
    <n v="-841.51680115733575"/>
    <n v="-433.78414570350401"/>
    <n v="-176.23193586175319"/>
    <n v="-88.53933811197976"/>
    <n v="89.345301949646228"/>
    <n v="179.45806471068977"/>
    <n v="454.04724229219937"/>
    <n v="924.01309077244491"/>
    <n v="4807.9601573415885"/>
    <n v="5102.4110679959986"/>
    <n v="5299.320915809787"/>
    <n v="5496.6416298167896"/>
    <n v="5793.2721384804863"/>
    <n v="6289.0068809665281"/>
    <n v="7283.599897762585"/>
    <n v="1482.2935777623711"/>
    <n v="1795.9023200482279"/>
    <n v="2005.5424289164052"/>
    <n v="2215.5630514061586"/>
    <n v="2531.1911001805015"/>
    <n v="3058.4629783353621"/>
    <n v="4115.7274874638233"/>
    <n v="376.07147203364377"/>
    <n v="668.13262528027906"/>
    <n v="865.17041418761664"/>
    <n v="1063.8381088462752"/>
    <n v="1364.5231135762856"/>
    <n v="1871.6421726712183"/>
    <n v="2902.3081564335457"/>
    <n v="-433.78414570350401"/>
    <n v="-176.23193586175319"/>
    <n v="0"/>
    <n v="179.45806471068977"/>
    <n v="454.04724229219937"/>
    <n v="924.01309077244491"/>
    <n v="1899.2607376265737"/>
    <n v="-1009.3853104859661"/>
    <n v="-792.56900981033311"/>
    <n v="-641.46428343261027"/>
    <n v="-485.60218855888024"/>
    <n v="-243.71384737290498"/>
    <n v="178.27080976369984"/>
    <n v="1077.9789805533142"/>
    <n v="-1407.8641486924951"/>
    <n v="-1232.4425776927285"/>
    <n v="-1107.4791026280282"/>
    <n v="-976.58358269850396"/>
    <n v="-769.96607893865848"/>
    <n v="-401.16842639333896"/>
    <n v="411.06624551527773"/>
    <n v="-1855.9891376252067"/>
    <n v="-1751.8127993567439"/>
    <n v="-1673.6053580214716"/>
    <n v="-1588.6033670422962"/>
    <n v="-1448.8392445976117"/>
    <n v="-1185.2411641895628"/>
    <n v="-557.49510796998857"/>
  </r>
  <r>
    <x v="1"/>
    <x v="1"/>
    <n v="2.1999999999999999E-2"/>
    <s v="Option"/>
    <s v="EUR"/>
    <n v="-20"/>
    <x v="10"/>
    <s v="Put"/>
    <d v="2010-03-19T00:00:0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n v="-3.3402648037859111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x v="1"/>
    <n v="2.1999999999999999E-2"/>
    <s v="Option"/>
    <s v="EUR"/>
    <n v="-10"/>
    <x v="12"/>
    <s v="Put"/>
    <d v="2010-03-19T00:00:00"/>
    <n v="0.50139327707893011"/>
    <n v="2.1999999999999999E-2"/>
    <n v="100.13754085596645"/>
    <n v="-1001.3754085596645"/>
    <s v="UBS"/>
    <m/>
    <n v="-700.37470971974722"/>
    <n v="2087.7268891218614"/>
    <n v="3.9003019949379456"/>
    <n v="262.97250574999822"/>
    <n v="-1.4318946058702244"/>
    <n v="-1.4913652887437956"/>
    <n v="7003.7470971974726"/>
    <n v="-20877.268891218613"/>
    <n v="-39.003019949379457"/>
    <n v="-2629.7250574999821"/>
    <n v="14.318946058702245"/>
    <n v="14.913652887437955"/>
    <n v="-2446.0345733962422"/>
    <n v="-937.95637123987603"/>
    <n v="-406.04818525841551"/>
    <n v="-148.66149500881079"/>
    <n v="131.95924910364965"/>
    <n v="301.64772006547764"/>
    <n v="520.33616924781882"/>
    <n v="783.43639160189298"/>
    <n v="373.95022786434652"/>
    <n v="191.39428769672008"/>
    <n v="77.459837514260244"/>
    <n v="38.869044283999301"/>
    <n v="-39.132098286654582"/>
    <n v="-78.513032407486207"/>
    <n v="-198.01982401246164"/>
    <n v="-401.08161641491165"/>
    <n v="-2259.3155824335226"/>
    <n v="-2370.871926940521"/>
    <n v="-2446.0345733962422"/>
    <n v="-2521.7445838273816"/>
    <n v="-2636.2010601866596"/>
    <n v="-2828.9187818677183"/>
    <n v="-3219.5992542377771"/>
    <n v="-718.80298802738821"/>
    <n v="-850.29112207829598"/>
    <n v="-937.95637123987603"/>
    <n v="-1025.6189712108096"/>
    <n v="-1157.0952176520439"/>
    <n v="-1376.1338426639816"/>
    <n v="-1813.6540088335539"/>
    <n v="-194.77941907821901"/>
    <n v="-321.20143020044679"/>
    <n v="-406.04818525841551"/>
    <n v="-491.28192469773921"/>
    <n v="-619.75611509898499"/>
    <n v="-835.22566501485244"/>
    <n v="-1269.6363656113169"/>
    <n v="191.39428769672008"/>
    <n v="77.459837514260244"/>
    <n v="0"/>
    <n v="-78.513032407486207"/>
    <n v="-198.01982401246164"/>
    <n v="-401.08161641491165"/>
    <n v="-817.99069783177401"/>
    <n v="466.09352972683325"/>
    <n v="368.92601288495484"/>
    <n v="301.64772006547764"/>
    <n v="232.5845142720766"/>
    <n v="125.99489579251667"/>
    <n v="-58.498473634713264"/>
    <n v="-447.17943166167629"/>
    <n v="655.36988805899057"/>
    <n v="576.32768067368431"/>
    <n v="520.33616924781882"/>
    <n v="461.94000451872967"/>
    <n v="370.23582723316395"/>
    <n v="207.78723778530775"/>
    <n v="-145.69453394073548"/>
    <n v="864.90262908021327"/>
    <n v="818.34265028578443"/>
    <n v="783.43639160189298"/>
    <n v="745.56204526902661"/>
    <n v="683.45001693859615"/>
    <n v="566.86317622945523"/>
    <n v="291.80586183966511"/>
  </r>
  <r>
    <x v="1"/>
    <x v="1"/>
    <n v="2.1999999999999999E-2"/>
    <s v="Option"/>
    <s v="EUR"/>
    <n v="-10"/>
    <x v="13"/>
    <s v="Call"/>
    <d v="2010-03-19T00:00:00"/>
    <n v="0.38870814783338209"/>
    <n v="2.1999999999999999E-2"/>
    <n v="124.39082072260032"/>
    <n v="-1243.9082072260032"/>
    <s v="Exch"/>
    <m/>
    <n v="1146.6592317215129"/>
    <n v="3322.8744596476458"/>
    <n v="4.8126427186350194"/>
    <n v="140.12612368576524"/>
    <n v="-1.3680270573624032"/>
    <n v="1.9045000533678369"/>
    <n v="-11466.592317215129"/>
    <n v="-33228.744596476456"/>
    <n v="-48.126427186350192"/>
    <n v="-1401.2612368576524"/>
    <n v="13.680270573624032"/>
    <n v="-19.045000533678369"/>
    <n v="1157.643230036161"/>
    <n v="830.44406598131388"/>
    <n v="491.66373303390969"/>
    <n v="216.10645936368769"/>
    <n v="-242.65780209163381"/>
    <n v="-656.57988738162771"/>
    <n v="-1475.8733586884421"/>
    <n v="-3538.5244153009271"/>
    <n v="471.78137753517376"/>
    <n v="238.61307102634441"/>
    <n v="95.956773831278497"/>
    <n v="48.054434077251926"/>
    <n v="-48.19465033442043"/>
    <n v="-96.518722948738969"/>
    <n v="-242.17334362651059"/>
    <n v="-486.74940610491035"/>
    <n v="1203.5756406753949"/>
    <n v="1178.4391813359157"/>
    <n v="1157.643230036161"/>
    <n v="1133.6165946802578"/>
    <n v="1091.647387111045"/>
    <n v="1006.7403388490495"/>
    <n v="788.29239279127421"/>
    <n v="971.18414710098079"/>
    <n v="889.23053063234704"/>
    <n v="830.44406598131388"/>
    <n v="768.72885656273695"/>
    <n v="671.30686311271006"/>
    <n v="498.07110873441957"/>
    <n v="121.36692776198174"/>
    <n v="686.87579978278336"/>
    <n v="571.28279974836119"/>
    <n v="491.66373303390969"/>
    <n v="410.30681283687159"/>
    <n v="285.48203314900888"/>
    <n v="71.416558426391248"/>
    <n v="-372.61910460664353"/>
    <n v="238.61307102634441"/>
    <n v="95.956773831278497"/>
    <n v="0"/>
    <n v="-96.518722948738969"/>
    <n v="-242.17334362651059"/>
    <n v="-486.74940610491035"/>
    <n v="-980.33782172091264"/>
    <n v="-395.08601277825733"/>
    <n v="-551.99376874309678"/>
    <n v="-656.57988738162771"/>
    <n v="-761.14500845991074"/>
    <n v="-917.94402455417298"/>
    <n v="-1179.1152900594932"/>
    <n v="-1700.6829923164321"/>
    <n v="-1215.1785018838621"/>
    <n v="-1371.3834462476905"/>
    <n v="-1475.8733586884421"/>
    <n v="-1580.5898070778687"/>
    <n v="-1738.0066311977691"/>
    <n v="-2001.0378473111712"/>
    <n v="-2528.487636032768"/>
    <n v="-3333.9192712788608"/>
    <n v="-3454.607065626943"/>
    <n v="-3538.5244153009271"/>
    <n v="-3624.8139327861563"/>
    <n v="-3758.0849435849732"/>
    <n v="-3988.566805976935"/>
    <n v="-4471.9232475747585"/>
  </r>
  <r>
    <x v="1"/>
    <x v="1"/>
    <n v="2.1999999999999999E-2"/>
    <s v="Option"/>
    <s v="EUR"/>
    <n v="-25"/>
    <x v="15"/>
    <s v="Call"/>
    <d v="2010-03-19T00:00:00"/>
    <n v="0.38287914834035391"/>
    <n v="2.1999999999999999E-2"/>
    <n v="95.422994441474202"/>
    <n v="-2385.5748610368551"/>
    <s v="Exch"/>
    <m/>
    <n v="956.76087808973671"/>
    <n v="3172.6553278263582"/>
    <n v="4.5261678220769141"/>
    <n v="312.32347630840945"/>
    <n v="-1.2684950071667187"/>
    <n v="1.604684276385804"/>
    <n v="-23919.021952243416"/>
    <n v="-79316.383195658957"/>
    <n v="-113.15419555192285"/>
    <n v="-7808.0869077102361"/>
    <n v="31.712375179167967"/>
    <n v="-40.117106909645102"/>
    <n v="2252.889754884714"/>
    <n v="1664.0138565287898"/>
    <n v="1004.5382151197998"/>
    <n v="447.04014662855229"/>
    <n v="-510.4181935768338"/>
    <n v="-1398.2116632781242"/>
    <n v="-3205.1115067577884"/>
    <n v="-7948.8441052768285"/>
    <n v="1080.0329491628959"/>
    <n v="554.64995760584941"/>
    <n v="224.66588857804766"/>
    <n v="112.75391614762498"/>
    <n v="-113.535165356069"/>
    <n v="-227.79618158045594"/>
    <n v="-574.44863249359628"/>
    <n v="-1162.7311836047143"/>
    <n v="2331.3593272566145"/>
    <n v="2289.5297208085299"/>
    <n v="2252.889754884714"/>
    <n v="2208.9123975450475"/>
    <n v="2128.9599853170403"/>
    <n v="1958.8788663406901"/>
    <n v="1492.3250867671413"/>
    <n v="1948.8710701222253"/>
    <n v="1785.2248107668033"/>
    <n v="1664.0138565287898"/>
    <n v="1534.0356150562741"/>
    <n v="1324.2526722216071"/>
    <n v="940.63797385730231"/>
    <n v="75.97228037510888"/>
    <n v="1429.4425495227329"/>
    <n v="1180.0504822810153"/>
    <n v="1004.5382151197998"/>
    <n v="822.62959522407755"/>
    <n v="539.35352029735384"/>
    <n v="44.355870716776735"/>
    <n v="-1007.5243704783958"/>
    <n v="554.64995760584941"/>
    <n v="224.66588857804766"/>
    <n v="0"/>
    <n v="-227.79618158045594"/>
    <n v="-574.44863249359628"/>
    <n v="-1162.7311836047143"/>
    <n v="-2366.3348967766892"/>
    <n v="-753.16893508917246"/>
    <n v="-1139.636190514841"/>
    <n v="-1398.2116632781242"/>
    <n v="-1657.3835151685444"/>
    <n v="-2047.0422775110933"/>
    <n v="-2698.2410960493835"/>
    <n v="-4004.3409012783914"/>
    <n v="-2526.5505550889543"/>
    <n v="-2933.71465976947"/>
    <n v="-3205.1115067577884"/>
    <n v="-3476.456336511018"/>
    <n v="-3883.3514472359752"/>
    <n v="-4561.1034973164633"/>
    <n v="-5914.6291916202808"/>
    <n v="-7364.6760615942185"/>
    <n v="-7711.4597932064844"/>
    <n v="-7948.8441052768285"/>
    <n v="-8190.399798094415"/>
    <n v="-8559.3749917564091"/>
    <n v="-9188.5330397958169"/>
    <n v="-10483.747063735615"/>
  </r>
  <r>
    <x v="1"/>
    <x v="1"/>
    <n v="2.1999999999999999E-2"/>
    <s v="Option"/>
    <s v="EUR"/>
    <n v="50"/>
    <x v="16"/>
    <s v="Call"/>
    <d v="2010-03-19T00:00:00"/>
    <n v="0.37949325066550765"/>
    <n v="2.1999999999999999E-2"/>
    <n v="72.423370820039963"/>
    <n v="3621.1685410019982"/>
    <s v="JP Horgan"/>
    <m/>
    <n v="783.13944121492943"/>
    <n v="2923.756245762359"/>
    <n v="4.1341979071967021"/>
    <n v="515.31088231063961"/>
    <n v="-1.1492378459494941"/>
    <n v="1.32407377498226"/>
    <n v="39156.97206074647"/>
    <n v="146187.81228811794"/>
    <n v="206.70989535983512"/>
    <n v="25765.544115531982"/>
    <n v="-57.461892297474705"/>
    <n v="66.203688749112999"/>
    <n v="-3457.4236377011002"/>
    <n v="-2620.3665788104217"/>
    <n v="-1611.309050841166"/>
    <n v="-725.78985448629965"/>
    <n v="842.61339662945716"/>
    <n v="2337.3399581105673"/>
    <n v="5467.8744725270235"/>
    <n v="14060.28208993614"/>
    <n v="-1901.7258437810483"/>
    <n v="-997.27475883839816"/>
    <n v="-408.02281048275972"/>
    <n v="-205.39176968031825"/>
    <n v="207.9695255443653"/>
    <n v="418.34826801959366"/>
    <n v="1062.444706886879"/>
    <n v="2171.7305711542053"/>
    <n v="-3562.7551452199968"/>
    <n v="-3508.1541357155288"/>
    <n v="-3457.4236377011002"/>
    <n v="-3394.0731643412632"/>
    <n v="-3273.9958608477345"/>
    <n v="-3004.7950451857973"/>
    <n v="-2215.0368919204184"/>
    <n v="-3068.0972266497788"/>
    <n v="-2814.8522679153857"/>
    <n v="-2620.3665788104217"/>
    <n v="-2406.7470065663115"/>
    <n v="-2053.19272264137"/>
    <n v="-1385.858911273499"/>
    <n v="180.77286836894473"/>
    <n v="-2327.51641470507"/>
    <n v="-1911.6939716147726"/>
    <n v="-1611.309050841166"/>
    <n v="-1294.5522787078403"/>
    <n v="-792.29168815832054"/>
    <n v="105.60416296008839"/>
    <n v="2070.4485820491582"/>
    <n v="-997.27475883839816"/>
    <n v="-408.02281048275972"/>
    <n v="0"/>
    <n v="418.34826801959366"/>
    <n v="1062.444706886879"/>
    <n v="2171.7305711542053"/>
    <n v="4484.8082212574072"/>
    <n v="1106.1697225078262"/>
    <n v="1841.3043028798484"/>
    <n v="2337.3399581105673"/>
    <n v="2837.3004807833581"/>
    <n v="3593.3773851871365"/>
    <n v="4866.2982107291209"/>
    <n v="7443.8351294933682"/>
    <n v="4099.1519403264756"/>
    <n v="4920.1989449735038"/>
    <n v="5467.8744725270235"/>
    <n v="6015.7114579774088"/>
    <n v="6837.6388788037502"/>
    <n v="8207.5813687028585"/>
    <n v="10945.760221856359"/>
    <n v="12759.876151349317"/>
    <n v="13535.827325487708"/>
    <n v="14060.28208993614"/>
    <n v="14589.471903109439"/>
    <n v="15390.679138901271"/>
    <n v="16741.561266773864"/>
    <n v="19482.154585998422"/>
  </r>
  <r>
    <x v="1"/>
    <x v="1"/>
    <n v="2.1999999999999999E-2"/>
    <s v="Option"/>
    <s v="EUR"/>
    <n v="-20"/>
    <x v="13"/>
    <s v="Put"/>
    <d v="2010-03-19T00:00:00"/>
    <n v="0.38870814783338209"/>
    <n v="2.1999999999999999E-2"/>
    <n v="297.67911857700619"/>
    <n v="-5953.5823715401239"/>
    <s v="Exch"/>
    <m/>
    <n v="-1746.4586146408292"/>
    <n v="3322.8744596476458"/>
    <n v="4.8126427186350194"/>
    <n v="140.12612368576524"/>
    <n v="-1.3575822832451512"/>
    <n v="-3.808256598871584"/>
    <n v="34929.172292816584"/>
    <n v="-66457.489192952911"/>
    <n v="-96.252854372700384"/>
    <n v="-2802.5224737153048"/>
    <n v="27.151645664903022"/>
    <n v="76.165131977431685"/>
    <n v="-9257.1849253770415"/>
    <n v="-4125.3475607620385"/>
    <n v="-1909.790380294512"/>
    <n v="-725.03421981756219"/>
    <n v="671.93153436166995"/>
    <n v="1579.9580715990942"/>
    <n v="2834.4889753478083"/>
    <n v="4495.4225548475097"/>
    <n v="943.56275507034752"/>
    <n v="477.2261420526911"/>
    <n v="191.91354766255699"/>
    <n v="96.108868154510674"/>
    <n v="-96.389300668838587"/>
    <n v="-193.03744589747566"/>
    <n v="-484.34668725301435"/>
    <n v="-973.49881220982297"/>
    <n v="-9165.3201040985732"/>
    <n v="-9215.5930227775298"/>
    <n v="-9257.1849253770415"/>
    <n v="-9305.2381960888397"/>
    <n v="-9389.1766112272671"/>
    <n v="-9558.9907077512635"/>
    <n v="-9995.8865998668116"/>
    <n v="-3843.8673985227069"/>
    <n v="-4007.774631459979"/>
    <n v="-4125.3475607620385"/>
    <n v="-4248.7779795991992"/>
    <n v="-4443.6219664992541"/>
    <n v="-4790.0934752558305"/>
    <n v="-5543.5018372007107"/>
    <n v="-1519.3662467967715"/>
    <n v="-1750.5522468656181"/>
    <n v="-1909.790380294512"/>
    <n v="-2072.5042206885928"/>
    <n v="-2322.1537800643137"/>
    <n v="-2750.2847295095626"/>
    <n v="-3638.356055575623"/>
    <n v="477.2261420526911"/>
    <n v="191.91354766255699"/>
    <n v="0"/>
    <n v="-193.03744589747566"/>
    <n v="-484.34668725301435"/>
    <n v="-973.49881220982297"/>
    <n v="-1960.675643441823"/>
    <n v="2102.945820805835"/>
    <n v="1789.1303088761561"/>
    <n v="1579.9580715990942"/>
    <n v="1370.8278294425281"/>
    <n v="1057.2297972540036"/>
    <n v="534.88726624336323"/>
    <n v="-508.24813827051912"/>
    <n v="3355.8786889569774"/>
    <n v="3043.468800229316"/>
    <n v="2834.4889753478083"/>
    <n v="2625.0560785689595"/>
    <n v="2310.2224303291587"/>
    <n v="1784.1599981023546"/>
    <n v="729.26042065916135"/>
    <n v="4904.6328428916468"/>
    <n v="4663.2572541954851"/>
    <n v="4495.4225548475097"/>
    <n v="4322.8435198770621"/>
    <n v="4056.3014982794311"/>
    <n v="3595.3377734954961"/>
    <n v="2628.6248902998523"/>
  </r>
  <r>
    <x v="1"/>
    <x v="1"/>
    <n v="2.1999999999999999E-2"/>
    <s v="Option"/>
    <s v="EUR"/>
    <n v="50"/>
    <x v="14"/>
    <s v="Put"/>
    <d v="2010-03-19T00:00:00"/>
    <n v="0.53427360882026176"/>
    <n v="2.1999999999999999E-2"/>
    <n v="86.784698579854762"/>
    <n v="4339.2349289927379"/>
    <s v="Exch"/>
    <m/>
    <n v="-595.89279390581737"/>
    <n v="1787.2730758930818"/>
    <n v="3.5579568691462296"/>
    <n v="322.30979330273726"/>
    <n v="-1.392506241827222"/>
    <n v="-1.2718375202472794"/>
    <n v="-29794.639695290869"/>
    <n v="89363.653794654092"/>
    <n v="177.89784345731147"/>
    <n v="16115.489665136864"/>
    <n v="-69.625312091361096"/>
    <n v="-63.591876012363969"/>
    <n v="10598.641831619574"/>
    <n v="4011.0848578328105"/>
    <n v="1730.3408283752333"/>
    <n v="632.73147781105763"/>
    <n v="-561.22505329145156"/>
    <n v="-1282.9285668652205"/>
    <n v="-2214.9582052560563"/>
    <n v="-3347.2107160429432"/>
    <n v="-1683.0336023146715"/>
    <n v="-867.56829140700802"/>
    <n v="-352.46387172350637"/>
    <n v="-177.07867622395952"/>
    <n v="178.69060389929246"/>
    <n v="358.91612942137954"/>
    <n v="908.09448458439874"/>
    <n v="1848.0261815448898"/>
    <n v="9615.9203146831769"/>
    <n v="10204.822135991997"/>
    <n v="10598.641831619574"/>
    <n v="10993.283259633579"/>
    <n v="11586.544276960973"/>
    <n v="12578.013761933056"/>
    <n v="14567.19979552517"/>
    <n v="2964.5871555247422"/>
    <n v="3591.8046400964558"/>
    <n v="4011.0848578328105"/>
    <n v="4431.1261028123172"/>
    <n v="5062.382200361003"/>
    <n v="6116.9259566707242"/>
    <n v="8231.4549749276466"/>
    <n v="752.14294406728754"/>
    <n v="1336.2652505605581"/>
    <n v="1730.3408283752333"/>
    <n v="2127.6762176925504"/>
    <n v="2729.0462271525712"/>
    <n v="3743.2843453424366"/>
    <n v="5804.6163128670914"/>
    <n v="-867.56829140700802"/>
    <n v="-352.46387172350637"/>
    <n v="0"/>
    <n v="358.91612942137954"/>
    <n v="908.09448458439874"/>
    <n v="1848.0261815448898"/>
    <n v="3798.5214752531474"/>
    <n v="-2018.7706209719322"/>
    <n v="-1585.1380196206662"/>
    <n v="-1282.9285668652205"/>
    <n v="-971.20437711776049"/>
    <n v="-487.42769474580996"/>
    <n v="356.54161952739969"/>
    <n v="2155.9579611066283"/>
    <n v="-2815.7282973849901"/>
    <n v="-2464.885155385457"/>
    <n v="-2214.9582052560563"/>
    <n v="-1953.1671653970079"/>
    <n v="-1539.932157877317"/>
    <n v="-802.33685278667792"/>
    <n v="822.13249103055546"/>
    <n v="-3711.9782752504134"/>
    <n v="-3503.6255987134878"/>
    <n v="-3347.2107160429432"/>
    <n v="-3177.2067340845924"/>
    <n v="-2897.6784891952234"/>
    <n v="-2370.4823283791256"/>
    <n v="-1114.9902159399771"/>
  </r>
  <r>
    <x v="1"/>
    <x v="1"/>
    <n v="2.1999999999999999E-2"/>
    <s v="Option"/>
    <s v="EUR"/>
    <n v="10"/>
    <x v="14"/>
    <s v="Put"/>
    <d v="2010-06-18T00:00:00"/>
    <n v="0.48470273685574106"/>
    <n v="2.3E-2"/>
    <n v="164.20892157424362"/>
    <n v="1642.0892157424362"/>
    <s v="GoldMine Sacks"/>
    <m/>
    <n v="-723.75749353754077"/>
    <n v="1433.710779532194"/>
    <n v="6.0544023371569509"/>
    <n v="292.53995246291123"/>
    <n v="-0.91049528335083674"/>
    <n v="-3.8681276713088697"/>
    <n v="-7237.5749353754072"/>
    <n v="14337.107795321939"/>
    <n v="60.544023371569509"/>
    <n v="2925.3995246291124"/>
    <n v="-9.1049528335083671"/>
    <n v="-38.6812767130887"/>
    <n v="2139.0714587839002"/>
    <n v="882.10167584187047"/>
    <n v="399.58645130739569"/>
    <n v="150.60511213484574"/>
    <n v="-139.134323611122"/>
    <n v="-327.85841084234335"/>
    <n v="-594.71116567265085"/>
    <n v="-983.71813531940461"/>
    <n v="-586.90282670534884"/>
    <n v="-298.62171771081648"/>
    <n v="-120.47625086579956"/>
    <n v="-60.394473850855093"/>
    <n v="60.687127470541782"/>
    <n v="121.64823098427178"/>
    <n v="306.0067713183912"/>
    <n v="617.32791722561842"/>
    <n v="1836.3732408854992"/>
    <n v="2017.9296852156506"/>
    <n v="2139.0714587839002"/>
    <n v="2260.261995753136"/>
    <n v="2442.0843296611847"/>
    <n v="2745.0436260834576"/>
    <n v="3349.7470899512691"/>
    <n v="560.54851890258306"/>
    <n v="753.42678151782707"/>
    <n v="882.10167584187047"/>
    <n v="1010.813717026158"/>
    <n v="1203.8967014010495"/>
    <n v="1525.566173155695"/>
    <n v="2167.4694895489097"/>
    <n v="85.304020421446012"/>
    <n v="273.41586692169017"/>
    <n v="399.58645130739569"/>
    <n v="526.2612987672162"/>
    <n v="717.05372022175197"/>
    <n v="1036.6065111643422"/>
    <n v="1679.0016990342269"/>
    <n v="-298.62171771081648"/>
    <n v="-120.47625086579956"/>
    <n v="0"/>
    <n v="121.64823098427178"/>
    <n v="306.0067713183912"/>
    <n v="617.32791722561842"/>
    <n v="1250.3134413610655"/>
    <n v="-604.85401520731443"/>
    <n v="-440.323921790648"/>
    <n v="-327.85841084234335"/>
    <n v="-213.45708201483603"/>
    <n v="-38.683453933301735"/>
    <n v="259.61279566295389"/>
    <n v="875.11340415796326"/>
    <n v="-846.41147389006562"/>
    <n v="-697.68315426448737"/>
    <n v="-594.71116567265085"/>
    <n v="-489.03775071348377"/>
    <n v="-326.039643969591"/>
    <n v="-44.272601934968634"/>
    <n v="547.45972474292216"/>
    <n v="-1181.2960002919904"/>
    <n v="-1066.0154830073373"/>
    <n v="-983.71813531940461"/>
    <n v="-897.45217215546802"/>
    <n v="-761.28184682275844"/>
    <n v="-518.5660961461565"/>
    <n v="13.227488160069925"/>
  </r>
  <r>
    <x v="1"/>
    <x v="1"/>
    <n v="2.1999999999999999E-2"/>
    <s v="Option"/>
    <s v="EUR"/>
    <n v="-20"/>
    <x v="16"/>
    <s v="Call"/>
    <d v="2010-06-18T00:00:00"/>
    <n v="0.32953064934971316"/>
    <n v="2.3E-2"/>
    <n v="126.62422408051043"/>
    <n v="-2532.4844816102086"/>
    <s v="Exch"/>
    <m/>
    <n v="979.94893212571617"/>
    <n v="2425.2517712914055"/>
    <n v="6.9628477684274861"/>
    <n v="545.53778294329254"/>
    <n v="-0.71623772663935259"/>
    <n v="3.7172227007996632"/>
    <n v="-19598.978642514325"/>
    <n v="-48505.035425828108"/>
    <n v="-139.25695536854971"/>
    <n v="-10910.755658865852"/>
    <n v="14.324754532787052"/>
    <n v="-74.344454015993264"/>
    <n v="2221.2088265258753"/>
    <n v="1497.6732690213635"/>
    <n v="861.01877813934152"/>
    <n v="372.70631015515619"/>
    <n v="-411.48289036250617"/>
    <n v="-1102.4765045911545"/>
    <n v="-2450.9622401116485"/>
    <n v="-5848.8681708587046"/>
    <n v="1316.1803916777626"/>
    <n v="680.32401236912619"/>
    <n v="276.19546067435522"/>
    <n v="138.69484009502457"/>
    <n v="-139.78676612280424"/>
    <n v="-280.57339633380934"/>
    <n v="-708.14064728987432"/>
    <n v="-1434.3531170379151"/>
    <n v="2397.2597913265208"/>
    <n v="2301.2611932861446"/>
    <n v="2221.2088265258753"/>
    <n v="2128.7128544495436"/>
    <n v="1967.8806558825017"/>
    <n v="1646.6615165708095"/>
    <n v="844.18962953038999"/>
    <n v="1916.0048688060647"/>
    <n v="1674.5929693486391"/>
    <n v="1497.6732690213635"/>
    <n v="1309.6937259568256"/>
    <n v="1009.7776896752748"/>
    <n v="470.84941299320462"/>
    <n v="-710.37367964674104"/>
    <n v="1416.6246509990401"/>
    <n v="1090.41149215921"/>
    <n v="861.01877813934152"/>
    <n v="623.68526659012559"/>
    <n v="255.18852376245832"/>
    <n v="-385.22081927879299"/>
    <n v="-1732.0174238406321"/>
    <n v="680.32401236912619"/>
    <n v="276.19546067435522"/>
    <n v="0"/>
    <n v="-280.57339633380934"/>
    <n v="-708.14064728987432"/>
    <n v="-1434.3531170379151"/>
    <n v="-2918.837664786015"/>
    <n v="-326.11209828025494"/>
    <n v="-790.53860005789375"/>
    <n v="-1102.4765045911545"/>
    <n v="-1415.8507161855732"/>
    <n v="-1888.0107651328217"/>
    <n v="-2678.8611322247925"/>
    <n v="-4267.8260000250157"/>
    <n v="-1617.6857037913987"/>
    <n v="-2117.6921495027591"/>
    <n v="-2450.9622401116485"/>
    <n v="-2784.1276908928012"/>
    <n v="-3283.6015183866766"/>
    <n v="-4115.0786315672622"/>
    <n v="-5773.0208893342433"/>
    <n v="-5025.8819200413882"/>
    <n v="-5517.9280704397524"/>
    <n v="-5848.8681708587046"/>
    <n v="-6181.6225591784087"/>
    <n v="-6683.4293820323091"/>
    <n v="-7524.856340884885"/>
    <n v="-9217.727520899738"/>
  </r>
  <r>
    <x v="1"/>
    <x v="1"/>
    <n v="2.1999999999999999E-2"/>
    <s v="Option"/>
    <s v="EUR"/>
    <n v="-40"/>
    <x v="11"/>
    <s v="Put"/>
    <d v="2010-06-18T00:00:00"/>
    <n v="0.37669519516657596"/>
    <n v="2.3E-2"/>
    <n v="238.78242357083286"/>
    <n v="-9551.2969428333145"/>
    <s v="Exch"/>
    <m/>
    <n v="-1156.4630723736047"/>
    <n v="2238.3477505150181"/>
    <n v="7.346016438039257"/>
    <n v="-0.12708011031559752"/>
    <n v="-0.85197658391114661"/>
    <n v="-6.0779187357579616"/>
    <n v="46258.522894944188"/>
    <n v="-89533.910020600728"/>
    <n v="-293.84065752157028"/>
    <n v="5.0832044126239007"/>
    <n v="34.079063356445864"/>
    <n v="243.11674943031846"/>
    <n v="-13131.051570060927"/>
    <n v="-5571.4060014892766"/>
    <n v="-2543.6858631993164"/>
    <n v="-961.44854381630466"/>
    <n v="889.84573598194402"/>
    <n v="2096.9678755342511"/>
    <n v="3796.0359796620878"/>
    <n v="6217.2430768222875"/>
    <n v="2935.7318900475184"/>
    <n v="1468.9133868638874"/>
    <n v="587.66460450898194"/>
    <n v="293.83874162744178"/>
    <n v="-293.83831796323648"/>
    <n v="-587.66392853978687"/>
    <n v="-1468.9544808762093"/>
    <n v="-2936.5897497635615"/>
    <n v="-12191.822740110656"/>
    <n v="-12744.656574423962"/>
    <n v="-13131.051570060927"/>
    <n v="-13529.620034988475"/>
    <n v="-14147.044804898378"/>
    <n v="-15218.32152254804"/>
    <n v="-17471.369339990808"/>
    <n v="-4236.4092806703411"/>
    <n v="-5035.3888919391557"/>
    <n v="-5571.4060014892766"/>
    <n v="-6109.5512474493171"/>
    <n v="-6919.9308334624675"/>
    <n v="-8276.5623497433262"/>
    <n v="-11001.028216019158"/>
    <n v="-1104.8320272290221"/>
    <n v="-1968.2877080182971"/>
    <n v="-2543.6858631993164"/>
    <n v="-3118.8192873474327"/>
    <n v="-3980.9048618572251"/>
    <n v="-5415.6872632559134"/>
    <n v="-8275.4696466027053"/>
    <n v="1468.9133868638874"/>
    <n v="587.66460450898194"/>
    <n v="0"/>
    <n v="-587.66392853978687"/>
    <n v="-1468.9544808762093"/>
    <n v="-2936.5897497635615"/>
    <n v="-5864.1422473340026"/>
    <n v="3528.3717718967"/>
    <n v="2672.0478218006974"/>
    <n v="2096.9678755342511"/>
    <n v="1519.2126637882075"/>
    <n v="648.56793434196788"/>
    <n v="-810.25961706027374"/>
    <n v="-3743.3524720808055"/>
    <n v="5136.0611139234015"/>
    <n v="4338.4337517689482"/>
    <n v="3796.0359796620878"/>
    <n v="3246.6042263151758"/>
    <n v="2411.4744254016523"/>
    <n v="996.82162370456808"/>
    <n v="-1887.7118352339812"/>
    <n v="7280.5108854292412"/>
    <n v="6657.5015068907669"/>
    <n v="6217.2430768222875"/>
    <n v="5759.7965729469433"/>
    <n v="5045.7411324059603"/>
    <n v="3794.8001771361169"/>
    <n v="1130.963085945682"/>
  </r>
  <r>
    <x v="1"/>
    <x v="1"/>
    <n v="2.1999999999999999E-2"/>
    <s v="Option"/>
    <s v="EUR"/>
    <n v="-50"/>
    <x v="13"/>
    <s v="Call"/>
    <d v="2010-06-18T00:00:00"/>
    <n v="0.33882025143471611"/>
    <n v="2.3E-2"/>
    <n v="186.9696877524691"/>
    <n v="-9348.4843876234554"/>
    <s v="Exch"/>
    <m/>
    <n v="1271.2322064624832"/>
    <n v="2539.162794790027"/>
    <n v="7.495388738287394"/>
    <n v="119.80245414147275"/>
    <n v="-0.79031422574787924"/>
    <n v="4.7232257664354034"/>
    <n v="-63561.610323124158"/>
    <n v="-126958.13973950135"/>
    <n v="-374.76943691436969"/>
    <n v="-5990.1227070736377"/>
    <n v="39.515711287393962"/>
    <n v="-236.16128832177017"/>
    <n v="7875.2611561139956"/>
    <n v="5093.9500911810119"/>
    <n v="2860.1966613022228"/>
    <n v="1220.3655699229387"/>
    <n v="-1321.8659939196641"/>
    <n v="-3492.4136259804527"/>
    <n v="-7592.3801451035961"/>
    <n v="-17408.665308119238"/>
    <n v="3702.0493094780818"/>
    <n v="1864.7104530641627"/>
    <n v="748.24442675391083"/>
    <n v="374.45821340490966"/>
    <n v="-375.05784083313074"/>
    <n v="-750.65034225781346"/>
    <n v="-1880.0778277200266"/>
    <n v="-3768.6352391516721"/>
    <n v="8565.2062652983441"/>
    <n v="8175.2429652373266"/>
    <n v="7875.2611561139956"/>
    <n v="7546.1801545459848"/>
    <n v="7003.3982644515017"/>
    <n v="5986.6569040556096"/>
    <n v="3637.4552946280801"/>
    <n v="6440.9999981570818"/>
    <n v="5648.3421025206044"/>
    <n v="5093.9500911810119"/>
    <n v="4522.2424902052007"/>
    <n v="3637.3939298606329"/>
    <n v="2105.2277008548062"/>
    <n v="-1103.7423647388493"/>
    <n v="4504.3079611454741"/>
    <n v="3526.1379268622759"/>
    <n v="2860.1966613022228"/>
    <n v="2185.31241519986"/>
    <n v="1159.279705585385"/>
    <n v="-578.54638542345356"/>
    <n v="-4119.2508847643294"/>
    <n v="1864.7104530641627"/>
    <n v="748.24442675391083"/>
    <n v="0"/>
    <n v="-750.65034225781346"/>
    <n v="-1880.0778277200266"/>
    <n v="-3768.6352391516721"/>
    <n v="-7555.2879174461959"/>
    <n v="-1507.3400932815616"/>
    <n v="-2698.7232798288915"/>
    <n v="-3492.4136259804527"/>
    <n v="-4285.5936463534927"/>
    <n v="-5474.3066654547765"/>
    <n v="-7452.3224319449473"/>
    <n v="-11394.25793098925"/>
    <n v="-5592.0836556029935"/>
    <n v="-6791.4271050282878"/>
    <n v="-7592.3801451035961"/>
    <n v="-8394.08186605425"/>
    <n v="-9597.5102721470303"/>
    <n v="-11604.016068476743"/>
    <n v="-15612.711693074971"/>
    <n v="-15637.855392880158"/>
    <n v="-16688.558270850204"/>
    <n v="-17408.665308119238"/>
    <n v="-18141.589500675662"/>
    <n v="-19260.79050426864"/>
    <n v="-21166.785661262769"/>
    <n v="-25076.656914906958"/>
  </r>
  <r>
    <x v="1"/>
    <x v="1"/>
    <n v="2.1999999999999999E-2"/>
    <s v="Option"/>
    <s v="EUR"/>
    <n v="-25"/>
    <x v="17"/>
    <s v="Put"/>
    <d v="2010-06-18T00:00:00"/>
    <n v="0.36020947541332365"/>
    <n v="2.3E-2"/>
    <n v="271.57191542452347"/>
    <n v="-6789.2978856130867"/>
    <s v="Exch"/>
    <m/>
    <n v="-1300.4294968291229"/>
    <n v="2396.5867630387206"/>
    <n v="7.5211204630561204"/>
    <n v="-29.497061053967954"/>
    <n v="-0.83126746526660822"/>
    <n v="-6.8478965629679376"/>
    <n v="32510.73742072807"/>
    <n v="-59914.669075968013"/>
    <n v="-188.028011576403"/>
    <n v="737.42652634919887"/>
    <n v="20.781686631665206"/>
    <n v="171.19741407419843"/>
    <n v="-8994.6566580580675"/>
    <n v="-3872.2292296399191"/>
    <n v="-1778.6163515118744"/>
    <n v="-674.41001101364009"/>
    <n v="626.50050065811342"/>
    <n v="1479.9107861642028"/>
    <n v="2687.7951343791719"/>
    <n v="4420.8310632043349"/>
    <n v="1883.6295024301194"/>
    <n v="941.01968698951737"/>
    <n v="376.20081310683418"/>
    <n v="188.06454608953231"/>
    <n v="-187.99080365037639"/>
    <n v="-375.9058459125697"/>
    <n v="-939.17625425789311"/>
    <n v="-1876.2573829305609"/>
    <n v="-8488.494582022111"/>
    <n v="-8783.1801897291716"/>
    <n v="-8994.6566580580675"/>
    <n v="-9216.5439717725458"/>
    <n v="-9566.3218819541034"/>
    <n v="-10186.38707449395"/>
    <n v="-11525.698342133819"/>
    <n v="-3074.9210423571812"/>
    <n v="-3550.2990282678979"/>
    <n v="-3872.2292296399191"/>
    <n v="-4197.4150745021125"/>
    <n v="-4690.1964242624954"/>
    <n v="-5521.638239573349"/>
    <n v="-7208.0139588490738"/>
    <n v="-885.4684475413876"/>
    <n v="-1420.7167157292361"/>
    <n v="-1778.6163515118744"/>
    <n v="-2137.1478934482866"/>
    <n v="-2675.805277294995"/>
    <n v="-3574.9088410834984"/>
    <n v="-5373.6837424955011"/>
    <n v="941.01968698951737"/>
    <n v="376.20081310683418"/>
    <n v="0"/>
    <n v="-375.9058459125697"/>
    <n v="-939.17625425789311"/>
    <n v="-1876.2573829305609"/>
    <n v="-3743.13645754562"/>
    <n v="2420.4669487968258"/>
    <n v="1856.7520498413955"/>
    <n v="1479.9107861642028"/>
    <n v="1102.4649192962045"/>
    <n v="535.48528211868529"/>
    <n v="-410.69484302341834"/>
    <n v="-2303.1494380515769"/>
    <n v="3586.0768134602495"/>
    <n v="3049.8952772548164"/>
    <n v="2687.7951343791719"/>
    <n v="2322.696204625413"/>
    <n v="1770.4715867579948"/>
    <n v="840.92828824975072"/>
    <n v="-1038.7757258848694"/>
    <n v="5152.5981909526536"/>
    <n v="4722.2506358278079"/>
    <n v="4420.8310632043349"/>
    <n v="4109.5751356141245"/>
    <n v="3626.9820917814172"/>
    <n v="2789.047536630474"/>
    <n v="1026.3482208483224"/>
  </r>
  <r>
    <x v="1"/>
    <x v="1"/>
    <n v="2.1999999999999999E-2"/>
    <s v="Option"/>
    <s v="EUR"/>
    <n v="-20"/>
    <x v="18"/>
    <s v="Call"/>
    <d v="2010-06-18T00:00:00"/>
    <n v="0.32811799827176868"/>
    <n v="2.3E-2"/>
    <n v="104.5547774814396"/>
    <n v="-2091.095549628792"/>
    <s v="JP Horgan"/>
    <m/>
    <n v="852.19575727293477"/>
    <n v="2296.3143233678788"/>
    <n v="6.564409173184397"/>
    <n v="805.50390439952787"/>
    <n v="-0.67307369454553478"/>
    <n v="3.2568470078588416"/>
    <n v="-17043.915145458697"/>
    <n v="-45926.286467357575"/>
    <n v="-131.28818346368794"/>
    <n v="-16110.078087990558"/>
    <n v="13.461473890910696"/>
    <n v="-65.136940157176838"/>
    <n v="1859.3703837442365"/>
    <n v="1275.144699833877"/>
    <n v="740.68076225228651"/>
    <n v="322.70065321936727"/>
    <n v="-359.41644376053773"/>
    <n v="-969.3310346651424"/>
    <n v="-2178.237424652682"/>
    <n v="-5302.4737038401254"/>
    <n v="1203.11969304277"/>
    <n v="633.14287911683095"/>
    <n v="259.16754444104754"/>
    <n v="130.45991366237786"/>
    <n v="-132.07201273735109"/>
    <n v="-265.6290605598565"/>
    <n v="-674.10781601005965"/>
    <n v="-1375.6398268486691"/>
    <n v="1999.4667893149285"/>
    <n v="1924.4558060673262"/>
    <n v="1859.3703837442365"/>
    <n v="1782.2009947868942"/>
    <n v="1644.4246385607539"/>
    <n v="1360.2288636932303"/>
    <n v="621.5705409114571"/>
    <n v="1636.9856774464688"/>
    <n v="1430.4722420166206"/>
    <n v="1275.144699833877"/>
    <n v="1107.3266577785023"/>
    <n v="834.97653597505177"/>
    <n v="335.28184223916014"/>
    <n v="-788.37235043147757"/>
    <n v="1239.7554265418512"/>
    <n v="949.12633002540019"/>
    <n v="740.68076225228651"/>
    <n v="522.27221465521097"/>
    <n v="178.75752656144414"/>
    <n v="-427.72926961720714"/>
    <n v="-1728.2108970630725"/>
    <n v="633.14287911683095"/>
    <n v="259.16754444104754"/>
    <n v="0"/>
    <n v="-265.6290605598565"/>
    <n v="-674.10781601005965"/>
    <n v="-1375.6398268486691"/>
    <n v="-2829.4282717095007"/>
    <n v="-222.35977704587867"/>
    <n v="-667.68512401988119"/>
    <n v="-969.3310346651424"/>
    <n v="-1274.0067878162063"/>
    <n v="-1735.592336096704"/>
    <n v="-2513.9581987253609"/>
    <n v="-4090.9048409242837"/>
    <n v="-1351.0250664865839"/>
    <n v="-1846.7294038724435"/>
    <n v="-2178.237424652682"/>
    <n v="-2510.3497605752432"/>
    <n v="-3009.3290967170856"/>
    <n v="-3842.2025659428914"/>
    <n v="-5508.4194826080984"/>
    <n v="-4437.3711926623691"/>
    <n v="-4955.8242559211358"/>
    <n v="-5302.4737038401254"/>
    <n v="-5649.7089314554505"/>
    <n v="-6171.3389224416205"/>
    <n v="-7041.8753397026267"/>
    <n v="-8783.0822752292697"/>
  </r>
  <r>
    <x v="1"/>
    <x v="1"/>
    <n v="2.1999999999999999E-2"/>
    <s v="Option"/>
    <s v="EUR"/>
    <n v="-10"/>
    <x v="17"/>
    <s v="Put"/>
    <d v="2010-06-18T00:00:00"/>
    <n v="0.36020947541332365"/>
    <n v="2.3E-2"/>
    <n v="271.57191542452347"/>
    <n v="-2715.7191542452347"/>
    <s v="Exch"/>
    <m/>
    <n v="-1300.4294968291229"/>
    <n v="2396.5867630387206"/>
    <n v="7.5211204630561204"/>
    <n v="-29.497061053967954"/>
    <n v="-0.83126746526660822"/>
    <n v="-6.8478965629679376"/>
    <n v="13004.294968291229"/>
    <n v="-23965.867630387205"/>
    <n v="-75.211204630561198"/>
    <n v="294.97061053967957"/>
    <n v="8.3126746526660824"/>
    <n v="68.478965629679379"/>
    <n v="-3597.8626632232272"/>
    <n v="-1548.8916918559676"/>
    <n v="-711.44654060474977"/>
    <n v="-269.76400440545603"/>
    <n v="250.60020026324537"/>
    <n v="591.96431446568113"/>
    <n v="1075.1180537516689"/>
    <n v="1768.332425281734"/>
    <n v="753.45180097204775"/>
    <n v="376.40787479580695"/>
    <n v="150.48032524273367"/>
    <n v="75.225818435812926"/>
    <n v="-75.196321460150557"/>
    <n v="-150.36233836502788"/>
    <n v="-375.67050170315724"/>
    <n v="-750.50295317222435"/>
    <n v="-3395.3978328088442"/>
    <n v="-3513.2720758916685"/>
    <n v="-3597.8626632232272"/>
    <n v="-3686.6175887090185"/>
    <n v="-3826.5287527816417"/>
    <n v="-4074.5548297975802"/>
    <n v="-4610.2793368535276"/>
    <n v="-1229.9684169428724"/>
    <n v="-1420.1196113071592"/>
    <n v="-1548.8916918559676"/>
    <n v="-1678.9660298008448"/>
    <n v="-1876.0785697049982"/>
    <n v="-2208.6552958293396"/>
    <n v="-2883.2055835396295"/>
    <n v="-354.18737901655504"/>
    <n v="-568.28668629169442"/>
    <n v="-711.44654060474977"/>
    <n v="-854.85915737931464"/>
    <n v="-1070.3221109179981"/>
    <n v="-1429.9635364333994"/>
    <n v="-2149.4734969982005"/>
    <n v="376.40787479580695"/>
    <n v="150.48032524273367"/>
    <n v="0"/>
    <n v="-150.36233836502788"/>
    <n v="-375.67050170315724"/>
    <n v="-750.50295317222435"/>
    <n v="-1497.254583018248"/>
    <n v="968.18677951873042"/>
    <n v="742.70081993655822"/>
    <n v="591.96431446568113"/>
    <n v="440.98596771848179"/>
    <n v="214.19411284747412"/>
    <n v="-164.27793720936734"/>
    <n v="-921.25977522063067"/>
    <n v="1434.4307253840998"/>
    <n v="1219.9581109019266"/>
    <n v="1075.1180537516689"/>
    <n v="929.07848185016519"/>
    <n v="708.18863470319798"/>
    <n v="336.37131529990029"/>
    <n v="-415.51029035394777"/>
    <n v="2061.0392763810614"/>
    <n v="1888.9002543311233"/>
    <n v="1768.332425281734"/>
    <n v="1643.83005424565"/>
    <n v="1450.7928367125669"/>
    <n v="1115.6190146521897"/>
    <n v="410.539288339329"/>
  </r>
  <r>
    <x v="1"/>
    <x v="1"/>
    <n v="2.1999999999999999E-2"/>
    <s v="Option"/>
    <s v="EUR"/>
    <n v="20"/>
    <x v="19"/>
    <s v="Call"/>
    <d v="2010-06-18T00:00:00"/>
    <n v="0.32822542861494541"/>
    <n v="2.3E-2"/>
    <n v="86.648861868060294"/>
    <n v="1732.9772373612059"/>
    <s v="Exch"/>
    <m/>
    <n v="738.33534939934304"/>
    <n v="2139.4790638196469"/>
    <n v="6.1180711125945217"/>
    <n v="1060.8848783525759"/>
    <n v="-0.62804280691160452"/>
    <n v="2.8388534662321638"/>
    <n v="14766.706987986861"/>
    <n v="42789.581276392935"/>
    <n v="122.36142225189043"/>
    <n v="21217.697567051517"/>
    <n v="-12.56085613823209"/>
    <n v="56.777069324643278"/>
    <n v="-1557.471099738161"/>
    <n v="-1083.8017404341406"/>
    <n v="-635.37166818351238"/>
    <n v="-278.45941974367179"/>
    <n v="312.66913642617737"/>
    <n v="848.46650201340935"/>
    <n v="1926.1844392472221"/>
    <n v="4780.374783115808"/>
    <n v="-1083.1957971064037"/>
    <n v="-581.48738653631199"/>
    <n v="-240.25270717555713"/>
    <n v="-121.27284779859792"/>
    <n v="123.39581729945394"/>
    <n v="248.75899629708783"/>
    <n v="635.28578809584587"/>
    <n v="1307.6224872399825"/>
    <n v="-1669.3686273113308"/>
    <n v="-1610.5107238735177"/>
    <n v="-1557.471099738161"/>
    <n v="-1493.0019993786925"/>
    <n v="-1374.9146705613282"/>
    <n v="-1123.5453164174301"/>
    <n v="-444.25412039822049"/>
    <n v="-1394.6687407441023"/>
    <n v="-1219.2679259357101"/>
    <n v="-1083.8017404341406"/>
    <n v="-934.91214050931717"/>
    <n v="-689.00089056958336"/>
    <n v="-227.98488140870063"/>
    <n v="836.70468372778942"/>
    <n v="-1079.0115931065725"/>
    <n v="-822.94064562167478"/>
    <n v="-635.37166818351238"/>
    <n v="-436.15254471399339"/>
    <n v="-118.44241324456561"/>
    <n v="452.11578198794768"/>
    <n v="1701.5840711569422"/>
    <n v="-581.48738653631199"/>
    <n v="-240.25270717555713"/>
    <n v="0"/>
    <n v="248.75899629708783"/>
    <n v="635.28578809584587"/>
    <n v="1307.6224872399825"/>
    <n v="2723.0140144380016"/>
    <n v="140.66026773674366"/>
    <n v="560.79377455291251"/>
    <n v="848.46650201340935"/>
    <n v="1141.0460453873111"/>
    <n v="1587.4437556958446"/>
    <n v="2346.7401860173732"/>
    <n v="3901.5942797033995"/>
    <n v="1118.5227407918865"/>
    <n v="1601.3545903879503"/>
    <n v="1926.1844392472221"/>
    <n v="2252.8494046562992"/>
    <n v="2745.5545317961605"/>
    <n v="3571.8824051708043"/>
    <n v="5234.7657897766567"/>
    <n v="3886.8781531991772"/>
    <n v="4423.0245836463337"/>
    <n v="4780.374783115808"/>
    <n v="5137.6075266244288"/>
    <n v="5673.1546294376494"/>
    <n v="6564.6678946763041"/>
    <n v="8342.288036682985"/>
  </r>
  <r>
    <x v="1"/>
    <x v="1"/>
    <n v="2.1999999999999999E-2"/>
    <s v="Option"/>
    <s v="EUR"/>
    <n v="-10"/>
    <x v="15"/>
    <s v="Call"/>
    <d v="2010-06-18T00:00:00"/>
    <n v="0.33295082614007965"/>
    <n v="2.3E-2"/>
    <n v="154.0267813874168"/>
    <n v="-1540.267813874168"/>
    <s v="Darklays Capital"/>
    <m/>
    <n v="1121.7738316028287"/>
    <n v="2511.5945669952803"/>
    <n v="7.2855759055119034"/>
    <n v="305.60436320356257"/>
    <n v="-0.75617841007131448"/>
    <n v="4.2156652324452191"/>
    <n v="-11217.738316028288"/>
    <n v="-25115.945669952802"/>
    <n v="-72.855759055119037"/>
    <n v="-3056.0436320356257"/>
    <n v="7.5617841007131448"/>
    <n v="-42.156652324452189"/>
    <n v="1327.0971486234266"/>
    <n v="877.37289857187079"/>
    <n v="498.66042097692798"/>
    <n v="214.3337019782382"/>
    <n v="-234.41246670088503"/>
    <n v="-623.69569548559866"/>
    <n v="-1371.0996803694616"/>
    <n v="-3206.2680465329572"/>
    <n v="706.52816484748769"/>
    <n v="359.74862622582918"/>
    <n v="145.05880517927835"/>
    <n v="72.697914562761525"/>
    <n v="-73.003786877161474"/>
    <n v="-146.28551951332611"/>
    <n v="-367.55926819417255"/>
    <n v="-739.98127095729842"/>
    <n v="1437.8804579164455"/>
    <n v="1376.348558312246"/>
    <n v="1327.0971486234266"/>
    <n v="1271.6737765080936"/>
    <n v="1177.8624211655597"/>
    <n v="996.52903219476457"/>
    <n v="561.23886177984957"/>
    <n v="1116.8680405646739"/>
    <n v="977.21361067115879"/>
    <n v="877.37289857187079"/>
    <n v="772.96095046056507"/>
    <n v="609.04157937547552"/>
    <n v="320.23120207235479"/>
    <n v="-297.68553922457158"/>
    <n v="803.84100724288942"/>
    <n v="623.34657431409937"/>
    <n v="498.66042097692798"/>
    <n v="371.11643014025958"/>
    <n v="175.36173245547843"/>
    <n v="-160.06614090070229"/>
    <n v="-853.32641718563764"/>
    <n v="359.74862622582918"/>
    <n v="145.05880517927835"/>
    <n v="0"/>
    <n v="-146.28551951332611"/>
    <n v="-367.55926819417255"/>
    <n v="-739.98127095729842"/>
    <n v="-1492.7658688058818"/>
    <n v="-227.25163272374857"/>
    <n v="-464.94731531004618"/>
    <n v="-623.69569548559866"/>
    <n v="-782.59755098365986"/>
    <n v="-1021.1310498967305"/>
    <n v="-1418.8574131990504"/>
    <n v="-2213.4896041693924"/>
    <n v="-959.04586887247888"/>
    <n v="-1206.3433649393869"/>
    <n v="-1371.0996803694616"/>
    <n v="-1535.7559398899002"/>
    <n v="-1782.530544024994"/>
    <n v="-2193.1848896913675"/>
    <n v="-3011.6340260263382"/>
    <n v="-2821.7915929810692"/>
    <n v="-3050.8737283142"/>
    <n v="-3206.2680465329572"/>
    <n v="-3363.3735568337306"/>
    <n v="-3601.6292680145398"/>
    <n v="-4003.9116531135778"/>
    <n v="-4820.2733106043142"/>
  </r>
  <r>
    <x v="1"/>
    <x v="1"/>
    <n v="2.1999999999999999E-2"/>
    <s v="Option"/>
    <s v="EUR"/>
    <n v="-20"/>
    <x v="20"/>
    <s v="Put"/>
    <d v="2010-06-18T00:00:00"/>
    <n v="0.39741595217249831"/>
    <n v="2.3E-2"/>
    <n v="212.5127406744291"/>
    <n v="-4250.2548134885819"/>
    <s v="Exch"/>
    <m/>
    <n v="-1025.263878502949"/>
    <n v="2044.6253762674446"/>
    <n v="7.0793485906035771"/>
    <n v="69.53330042957063"/>
    <n v="-0.86853130976168136"/>
    <n v="-5.39195842326584"/>
    <n v="20505.277570058977"/>
    <n v="-40892.50752534889"/>
    <n v="-141.58697181207154"/>
    <n v="-1390.6660085914127"/>
    <n v="17.370626195233626"/>
    <n v="107.8391684653168"/>
    <n v="-5937.6249344913867"/>
    <n v="-2489.2471595576535"/>
    <n v="-1131.431365931885"/>
    <n v="-426.7209994428913"/>
    <n v="394.01392575029377"/>
    <n v="927.24099479646384"/>
    <n v="1675.8278272460143"/>
    <n v="2741.4368893739165"/>
    <n v="1405.3499250122945"/>
    <n v="705.80847945526102"/>
    <n v="282.87273924888268"/>
    <n v="141.51462076172493"/>
    <n v="-141.65381020416135"/>
    <n v="-283.43097462443893"/>
    <n v="-709.36302989809974"/>
    <n v="-1420.5616018286264"/>
    <n v="-5411.9248419793803"/>
    <n v="-5723.8697640771989"/>
    <n v="-5937.6249344913867"/>
    <n v="-6155.2896683455083"/>
    <n v="-6488.0126782308753"/>
    <n v="-7055.8136846712523"/>
    <n v="-8225.2453545777862"/>
    <n v="-1808.3981781233706"/>
    <n v="-2216.7387639464187"/>
    <n v="-2489.2471595576535"/>
    <n v="-2761.8919400280129"/>
    <n v="-3170.9796858248501"/>
    <n v="-3852.6993102275765"/>
    <n v="-5213.7051463181069"/>
    <n v="-421.71154247502727"/>
    <n v="-847.6945864051595"/>
    <n v="-1131.431365931885"/>
    <n v="-1414.9473849179549"/>
    <n v="-1839.7736281420612"/>
    <n v="-2546.5014359023462"/>
    <n v="-3954.2529963410379"/>
    <n v="705.80847945526102"/>
    <n v="282.87273924888268"/>
    <n v="0"/>
    <n v="-283.43097462443893"/>
    <n v="-709.36302989809974"/>
    <n v="-1420.5616018286264"/>
    <n v="-2844.1128825802252"/>
    <n v="1601.4341502723209"/>
    <n v="1198.9499396377937"/>
    <n v="927.24099479646384"/>
    <n v="653.30385970511088"/>
    <n v="238.93984781063409"/>
    <n v="-458.74725143352862"/>
    <n v="-1870.6195930811236"/>
    <n v="2297.8836953352857"/>
    <n v="1928.5821750073364"/>
    <n v="1675.8278272460143"/>
    <n v="1418.6566680768851"/>
    <n v="1025.8762128784338"/>
    <n v="356.3096712401034"/>
    <n v="-1020.764609333421"/>
    <n v="3227.4949826761758"/>
    <n v="2943.444330179349"/>
    <n v="2741.4368893739165"/>
    <n v="2530.5628574627781"/>
    <n v="2199.6517327275774"/>
    <n v="1615.6756789332439"/>
    <n v="358.87023150761706"/>
  </r>
  <r>
    <x v="1"/>
    <x v="1"/>
    <n v="2.1999999999999999E-2"/>
    <s v="Option"/>
    <s v="EUR"/>
    <n v="20"/>
    <x v="20"/>
    <s v="Put"/>
    <d v="2010-06-18T00:00:00"/>
    <n v="0.39741595217249831"/>
    <n v="2.3E-2"/>
    <n v="212.5127406744291"/>
    <n v="4250.2548134885819"/>
    <s v="JP Horgan"/>
    <m/>
    <n v="-1025.263878502949"/>
    <n v="2044.6253762674446"/>
    <n v="7.0793485906035771"/>
    <n v="69.53330042957063"/>
    <n v="-0.86853130976168136"/>
    <n v="-5.39195842326584"/>
    <n v="-20505.277570058977"/>
    <n v="40892.50752534889"/>
    <n v="141.58697181207154"/>
    <n v="1390.6660085914127"/>
    <n v="-17.370626195233626"/>
    <n v="-107.8391684653168"/>
    <n v="5937.6249344913867"/>
    <n v="2489.2471595576535"/>
    <n v="1131.431365931885"/>
    <n v="426.7209994428913"/>
    <n v="-394.01392575029377"/>
    <n v="-927.24099479646384"/>
    <n v="-1675.8278272460143"/>
    <n v="-2741.4368893739165"/>
    <n v="-1405.3499250122945"/>
    <n v="-705.80847945526102"/>
    <n v="-282.87273924888268"/>
    <n v="-141.51462076172493"/>
    <n v="141.65381020416135"/>
    <n v="283.43097462443893"/>
    <n v="709.36302989809974"/>
    <n v="1420.5616018286264"/>
    <n v="5411.9248419793803"/>
    <n v="5723.8697640771989"/>
    <n v="5937.6249344913867"/>
    <n v="6155.2896683455083"/>
    <n v="6488.0126782308753"/>
    <n v="7055.8136846712523"/>
    <n v="8225.2453545777862"/>
    <n v="1808.3981781233706"/>
    <n v="2216.7387639464187"/>
    <n v="2489.2471595576535"/>
    <n v="2761.8919400280129"/>
    <n v="3170.9796858248501"/>
    <n v="3852.6993102275765"/>
    <n v="5213.7051463181069"/>
    <n v="421.71154247502727"/>
    <n v="847.6945864051595"/>
    <n v="1131.431365931885"/>
    <n v="1414.9473849179549"/>
    <n v="1839.7736281420612"/>
    <n v="2546.5014359023462"/>
    <n v="3954.2529963410379"/>
    <n v="-705.80847945526102"/>
    <n v="-282.87273924888268"/>
    <n v="0"/>
    <n v="283.43097462443893"/>
    <n v="709.36302989809974"/>
    <n v="1420.5616018286264"/>
    <n v="2844.1128825802252"/>
    <n v="-1601.4341502723209"/>
    <n v="-1198.9499396377937"/>
    <n v="-927.24099479646384"/>
    <n v="-653.30385970511088"/>
    <n v="-238.93984781063409"/>
    <n v="458.74725143352862"/>
    <n v="1870.6195930811236"/>
    <n v="-2297.8836953352857"/>
    <n v="-1928.5821750073364"/>
    <n v="-1675.8278272460143"/>
    <n v="-1418.6566680768851"/>
    <n v="-1025.8762128784338"/>
    <n v="-356.3096712401034"/>
    <n v="1020.764609333421"/>
    <n v="-3227.4949826761758"/>
    <n v="-2943.444330179349"/>
    <n v="-2741.4368893739165"/>
    <n v="-2530.5628574627781"/>
    <n v="-2199.6517327275774"/>
    <n v="-1615.6756789332439"/>
    <n v="-358.87023150761706"/>
  </r>
  <r>
    <x v="1"/>
    <x v="1"/>
    <n v="2.1999999999999999E-2"/>
    <s v="Option"/>
    <s v="EUR"/>
    <n v="-20"/>
    <x v="18"/>
    <s v="Put"/>
    <d v="2010-09-17T00:00:00"/>
    <n v="0.29815741679134772"/>
    <n v="2.5000000000000001E-2"/>
    <n v="558.63011298435072"/>
    <n v="-11172.602259687013"/>
    <s v="Exch"/>
    <m/>
    <n v="-1912.137057507716"/>
    <n v="2104.3815140985789"/>
    <n v="8.595026797083527"/>
    <n v="854.88762468851871"/>
    <n v="-0.45855566591517538"/>
    <n v="-16.923062811589499"/>
    <n v="38242.741150154317"/>
    <n v="-42087.630281971578"/>
    <n v="-171.90053594167054"/>
    <n v="-17097.752493770375"/>
    <n v="9.1711133183035081"/>
    <n v="338.46125623179"/>
    <n v="-9157.3108678644203"/>
    <n v="-4228.6416682319714"/>
    <n v="-2015.6533058968625"/>
    <n v="-781.5949202079355"/>
    <n v="747.94343964367272"/>
    <n v="1805.9402037062728"/>
    <n v="3398.3516827560106"/>
    <n v="5965.1493860533265"/>
    <n v="1594.9100208501886"/>
    <n v="834.08370411958913"/>
    <n v="340.14574873155198"/>
    <n v="171.01703598719723"/>
    <n v="-172.72839144095997"/>
    <n v="-347.01018759745693"/>
    <n v="-877.83293502302968"/>
    <n v="-1782.8613860945325"/>
    <n v="-8906.2366858688656"/>
    <n v="-9042.9571648123201"/>
    <n v="-9157.3108678644203"/>
    <n v="-9289.2163055952042"/>
    <n v="-9517.4618825867547"/>
    <n v="-9968.5667159045952"/>
    <n v="-11072.359991911821"/>
    <n v="-3695.1936505404001"/>
    <n v="-4001.9438848891286"/>
    <n v="-4228.6416682319714"/>
    <n v="-4470.4021919065372"/>
    <n v="-4857.0165181857419"/>
    <n v="-5552.2019785515067"/>
    <n v="-7071.2052047353473"/>
    <n v="-1326.2928951433014"/>
    <n v="-1729.5907436576408"/>
    <n v="-2015.6533058968625"/>
    <n v="-2312.9483703467076"/>
    <n v="-2776.2333578375592"/>
    <n v="-3583.8600602187262"/>
    <n v="-5284.2687811757423"/>
    <n v="834.08370411958913"/>
    <n v="340.14574873155198"/>
    <n v="0"/>
    <n v="-347.01018759745693"/>
    <n v="-877.83293502302968"/>
    <n v="-1782.8613860945325"/>
    <n v="-3638.3230956840953"/>
    <n v="2759.0561890558956"/>
    <n v="2190.1317583814398"/>
    <n v="1805.9402037062728"/>
    <n v="1418.7627835895546"/>
    <n v="833.69666674300333"/>
    <n v="-149.30137625126008"/>
    <n v="-2129.5614168641214"/>
    <n v="4434.5428777022062"/>
    <n v="3813.331187948088"/>
    <n v="3398.3516827560106"/>
    <n v="2982.9673409268844"/>
    <n v="2359.506079853395"/>
    <n v="1320.4473087045653"/>
    <n v="-752.55168736393443"/>
    <n v="7045.4965989875654"/>
    <n v="6397.8954804159139"/>
    <n v="5965.1493860533265"/>
    <n v="5531.8948727503494"/>
    <n v="4881.4824872421514"/>
    <n v="3797.2487900201077"/>
    <n v="1633.5054757348462"/>
  </r>
  <r>
    <x v="1"/>
    <x v="1"/>
    <n v="2.1999999999999999E-2"/>
    <s v="Option"/>
    <s v="EUR"/>
    <n v="-20"/>
    <x v="20"/>
    <s v="Put"/>
    <d v="2010-09-17T00:00:00"/>
    <n v="0.36858239664855386"/>
    <n v="2.5000000000000001E-2"/>
    <n v="254.97539334618409"/>
    <n v="-5099.5078669236818"/>
    <s v="Exch"/>
    <m/>
    <n v="-1026.6494887879398"/>
    <n v="1752.7056756340671"/>
    <n v="8.8495405280099639"/>
    <n v="49.243974837691823"/>
    <n v="-0.62645468839673502"/>
    <n v="-8.7782526173570137"/>
    <n v="20532.989775758797"/>
    <n v="-35054.113512681346"/>
    <n v="-176.99081056019929"/>
    <n v="-984.87949675383652"/>
    <n v="12.5290937679347"/>
    <n v="175.56505234714027"/>
    <n v="-5679.8208593212712"/>
    <n v="-2427.8142821303436"/>
    <n v="-1117.3944101174357"/>
    <n v="-424.8838631910894"/>
    <n v="396.8441130229985"/>
    <n v="942.26304286536561"/>
    <n v="1729.0094567507504"/>
    <n v="2914.9344976229736"/>
    <n v="1760.6040311422225"/>
    <n v="883.24983158567875"/>
    <n v="353.75658325469203"/>
    <n v="176.93814121645119"/>
    <n v="-177.0367811941469"/>
    <n v="-354.15297261403339"/>
    <n v="-885.80866898920704"/>
    <n v="-1772.0860299424794"/>
    <n v="-4987.7919434871637"/>
    <n v="-5399.4920298005582"/>
    <n v="-5679.8208593212712"/>
    <n v="-5963.9828588875753"/>
    <n v="-6396.1399351890896"/>
    <n v="-7128.4146506987281"/>
    <n v="-8620.5979978782398"/>
    <n v="-1577.5726122418564"/>
    <n v="-2087.7052084395064"/>
    <n v="-2427.8142821303436"/>
    <n v="-2767.8373125306553"/>
    <n v="-3277.5521118842653"/>
    <n v="-4125.726883484358"/>
    <n v="-5814.3998066326321"/>
    <n v="-235.29341293403377"/>
    <n v="-764.83724591669215"/>
    <n v="-1117.3944101174357"/>
    <n v="-1469.5391551773309"/>
    <n v="-1996.9212518609584"/>
    <n v="-2873.4407308503978"/>
    <n v="-4615.8620736753528"/>
    <n v="883.24983158567875"/>
    <n v="353.75658325469203"/>
    <n v="0"/>
    <n v="-354.15297261403339"/>
    <n v="-885.80866898920704"/>
    <n v="-1772.0860299424794"/>
    <n v="-3540.6892981725423"/>
    <n v="1800.1775111681104"/>
    <n v="1287.4537034394075"/>
    <n v="942.26304286536561"/>
    <n v="594.94156712932181"/>
    <n v="70.801356780164042"/>
    <n v="-808.72997359367218"/>
    <n v="-2578.7652255668513"/>
    <n v="2540.7945820108671"/>
    <n v="2057.8387550310094"/>
    <n v="1729.0094567507504"/>
    <n v="1395.6957587635179"/>
    <n v="888.80711837104855"/>
    <n v="29.942843096280285"/>
    <n v="-1720.091263600234"/>
    <n v="3596.1751804218375"/>
    <n v="3196.041463390477"/>
    <n v="2914.9344976229736"/>
    <n v="2624.0602102899356"/>
    <n v="2172.103992642019"/>
    <n v="1385.3210133010793"/>
    <n v="-274.37689348652839"/>
  </r>
  <r>
    <x v="1"/>
    <x v="1"/>
    <n v="2.1999999999999999E-2"/>
    <s v="Option"/>
    <s v="EUR"/>
    <n v="5"/>
    <x v="12"/>
    <s v="Put"/>
    <d v="2010-09-17T00:00:00"/>
    <n v="0.42327066685481735"/>
    <n v="2.5000000000000001E-2"/>
    <n v="224.2834239356215"/>
    <n v="1121.4171196781076"/>
    <s v="Darklays Capital"/>
    <m/>
    <n v="-836.71815787568255"/>
    <n v="1403.5031212085391"/>
    <n v="8.1378315348870682"/>
    <n v="205.98587405962013"/>
    <n v="-0.66666206220882362"/>
    <n v="-7.267134121995233"/>
    <n v="-4183.5907893784124"/>
    <n v="7017.5156060426962"/>
    <n v="40.689157674435343"/>
    <n v="1029.9293702981006"/>
    <n v="-3.333310311044118"/>
    <n v="-36.335670609976162"/>
    <n v="1164.04881248437"/>
    <n v="494.51788558818009"/>
    <n v="227.47354108568118"/>
    <n v="86.526796475397418"/>
    <n v="-80.912604681186053"/>
    <n v="-192.37914033828019"/>
    <n v="-354.0687392346149"/>
    <n v="-601.71504053708929"/>
    <n v="-399.67203141407651"/>
    <n v="-201.92994750330797"/>
    <n v="-81.158662424269892"/>
    <n v="-40.6359889695932"/>
    <n v="40.739049558479792"/>
    <n v="81.571718136520985"/>
    <n v="204.54753728208686"/>
    <n v="410.68087125643842"/>
    <n v="976.42639070606094"/>
    <n v="1088.853335261595"/>
    <n v="1164.04881248437"/>
    <n v="1239.3869425097346"/>
    <n v="1352.5808566483811"/>
    <n v="1541.4872711726748"/>
    <n v="1919.0036509633187"/>
    <n v="287.96566519047076"/>
    <n v="411.96455809360202"/>
    <n v="494.51788558818009"/>
    <n v="576.97102098177027"/>
    <n v="700.44543013553209"/>
    <n v="905.62733104822769"/>
    <n v="1313.3328777631714"/>
    <n v="20.674469017741899"/>
    <n v="144.6625483734914"/>
    <n v="227.47354108568118"/>
    <n v="310.36272850891805"/>
    <n v="434.77578560027382"/>
    <n v="642.13338580750928"/>
    <n v="1055.7992518891331"/>
    <n v="-201.92994750330797"/>
    <n v="-81.158662424269892"/>
    <n v="0"/>
    <n v="81.571718136520985"/>
    <n v="204.54753728208686"/>
    <n v="410.68087125643842"/>
    <n v="825.03989264289032"/>
    <n v="-385.38518350376194"/>
    <n v="-270.35152237987916"/>
    <n v="-192.37914033828019"/>
    <n v="-113.55289719723089"/>
    <n v="6.022547284344455"/>
    <n v="208.07005636753445"/>
    <n v="618.58206938493879"/>
    <n v="-535.19342054824335"/>
    <n v="-427.71037951595076"/>
    <n v="-354.0687392346149"/>
    <n v="-279.07866927918576"/>
    <n v="-164.43939513032774"/>
    <n v="31.216184800398992"/>
    <n v="434.08311769955446"/>
    <n v="-754.17268770580199"/>
    <n v="-664.68554025047661"/>
    <n v="-601.71504053708929"/>
    <n v="-536.42393397073874"/>
    <n v="-434.67143000208523"/>
    <n v="-256.62658666455854"/>
    <n v="122.37257722632421"/>
  </r>
  <r>
    <x v="2"/>
    <x v="2"/>
    <n v="5.0000000000000001E-3"/>
    <s v="Future"/>
    <s v="JPY"/>
    <n v="-10"/>
    <x v="0"/>
    <m/>
    <d v="2010-03-19T00:00:00"/>
    <m/>
    <m/>
    <n v="10012.668785076199"/>
    <n v="-100126.68785076198"/>
    <s v="Exch"/>
    <m/>
    <n v="10012.668785076199"/>
    <n v="0"/>
    <n v="0"/>
    <n v="0"/>
    <n v="0.13715984637090683"/>
    <n v="18.653739106443332"/>
    <n v="-100126.68785076198"/>
    <n v="0"/>
    <n v="0"/>
    <n v="0"/>
    <n v="-1.3715984637090683"/>
    <n v="-186.53739106443334"/>
    <n v="20025.337570152387"/>
    <n v="10012.668785076185"/>
    <n v="5006.3343925381014"/>
    <n v="2002.5337570152442"/>
    <n v="-2002.5337570152442"/>
    <n v="-5006.3343925381014"/>
    <n v="-10012.668785076203"/>
    <n v="-20025.337570152406"/>
    <n v="0"/>
    <n v="0"/>
    <n v="0"/>
    <n v="0"/>
    <n v="0"/>
    <n v="0"/>
    <n v="0"/>
    <n v="0"/>
    <n v="20025.337570152387"/>
    <n v="20025.337570152387"/>
    <n v="20025.337570152387"/>
    <n v="20025.337570152387"/>
    <n v="20025.337570152387"/>
    <n v="20025.337570152387"/>
    <n v="20025.337570152387"/>
    <n v="10012.668785076185"/>
    <n v="10012.668785076185"/>
    <n v="10012.668785076185"/>
    <n v="10012.668785076185"/>
    <n v="10012.668785076185"/>
    <n v="10012.668785076185"/>
    <n v="10012.668785076185"/>
    <n v="5006.3343925381014"/>
    <n v="5006.3343925381014"/>
    <n v="5006.3343925381014"/>
    <n v="5006.3343925381014"/>
    <n v="5006.3343925381014"/>
    <n v="5006.3343925381014"/>
    <n v="5006.3343925381014"/>
    <n v="0"/>
    <n v="0"/>
    <n v="0"/>
    <n v="0"/>
    <n v="0"/>
    <n v="0"/>
    <n v="0"/>
    <n v="-5006.3343925381014"/>
    <n v="-5006.3343925381014"/>
    <n v="-5006.3343925381014"/>
    <n v="-5006.3343925381014"/>
    <n v="-5006.3343925381014"/>
    <n v="-5006.3343925381014"/>
    <n v="-5006.3343925381014"/>
    <n v="-10012.668785076203"/>
    <n v="-10012.668785076203"/>
    <n v="-10012.668785076203"/>
    <n v="-10012.668785076203"/>
    <n v="-10012.668785076203"/>
    <n v="-10012.668785076203"/>
    <n v="-10012.668785076203"/>
    <n v="-20025.337570152406"/>
    <n v="-20025.337570152406"/>
    <n v="-20025.337570152406"/>
    <n v="-20025.337570152406"/>
    <n v="-20025.337570152406"/>
    <n v="-20025.337570152406"/>
    <n v="-20025.337570152406"/>
  </r>
  <r>
    <x v="2"/>
    <x v="2"/>
    <n v="5.0000000000000001E-3"/>
    <s v="Option"/>
    <s v="JPY"/>
    <n v="-20"/>
    <x v="21"/>
    <s v="Call"/>
    <d v="2010-03-19T00:00:00"/>
    <n v="0.41000000000000003"/>
    <n v="5.0000000000000001E-3"/>
    <n v="705.96860456899594"/>
    <n v="-14119.372091379919"/>
    <s v="Exch"/>
    <m/>
    <n v="5359.3186948225975"/>
    <n v="11241.853599719911"/>
    <n v="17.173856348503627"/>
    <n v="-32.795007876457611"/>
    <n v="-5.1677417728495127"/>
    <n v="8.6692549626642439"/>
    <n v="-107186.37389645196"/>
    <n v="-224837.0719943982"/>
    <n v="-343.4771269700725"/>
    <n v="655.90015752915224"/>
    <n v="103.35483545699026"/>
    <n v="-173.38509925328486"/>
    <n v="12556.391350084567"/>
    <n v="8417.8352487136726"/>
    <n v="4786.7215425701397"/>
    <n v="2052.9804340877308"/>
    <n v="-2232.6812443426024"/>
    <n v="-5904.3355621652881"/>
    <n v="-12810.838817096592"/>
    <n v="-28975.904909135679"/>
    <n v="3437.7858694090173"/>
    <n v="1718.1724194941671"/>
    <n v="687.08331705947785"/>
    <n v="343.50965740144602"/>
    <n v="-343.44406746189634"/>
    <n v="-686.82095821524854"/>
    <n v="-1716.5327167073337"/>
    <n v="-3431.2276295010088"/>
    <n v="13179.263869244971"/>
    <n v="12822.905282455251"/>
    <n v="12556.391350084567"/>
    <n v="12268.462112569676"/>
    <n v="11799.654172781093"/>
    <n v="10931.516039704369"/>
    <n v="8937.0733818877488"/>
    <n v="9750.0522056868158"/>
    <n v="8958.861839552219"/>
    <n v="8417.8352487136726"/>
    <n v="7867.5619533583904"/>
    <n v="7027.2696512633047"/>
    <n v="5594.5313378316223"/>
    <n v="2643.5474700842769"/>
    <n v="6383.1682091311541"/>
    <n v="5427.4782497269643"/>
    <n v="4786.7215425701397"/>
    <n v="4143.573068222704"/>
    <n v="3175.1298454889093"/>
    <n v="1553.4040455071408"/>
    <n v="-1708.1371995417885"/>
    <n v="1718.1724194941671"/>
    <n v="687.08331705947785"/>
    <n v="0"/>
    <n v="-686.82095821524854"/>
    <n v="-1716.5327167073337"/>
    <n v="-3431.2276295010088"/>
    <n v="-6854.3149061513213"/>
    <n v="-4218.3062684207471"/>
    <n v="-5227.8600258494589"/>
    <n v="-5904.3355621652881"/>
    <n v="-6583.0706799297877"/>
    <n v="-7604.6760989232462"/>
    <n v="-9314.513628912282"/>
    <n v="-12750.838257543401"/>
    <n v="-11283.060909728956"/>
    <n v="-12192.120575685767"/>
    <n v="-12810.838817096592"/>
    <n v="-13438.153873456777"/>
    <n v="-14392.899038088326"/>
    <n v="-16013.806464654626"/>
    <n v="-19333.451553457744"/>
    <n v="-27946.467399589092"/>
    <n v="-28545.032498205619"/>
    <n v="-28975.904909135679"/>
    <n v="-29429.542219775158"/>
    <n v="-30148.151514735564"/>
    <n v="-31432.647620112293"/>
    <n v="-34248.749423339177"/>
  </r>
  <r>
    <x v="2"/>
    <x v="2"/>
    <n v="5.0000000000000001E-3"/>
    <s v="Option"/>
    <s v="JPY"/>
    <n v="-10"/>
    <x v="22"/>
    <s v="Put"/>
    <d v="2010-03-19T00:00:00"/>
    <n v="0.47216774083559543"/>
    <n v="5.0000000000000001E-3"/>
    <n v="406.81126774628319"/>
    <n v="-4068.1126774628319"/>
    <s v="Exch"/>
    <m/>
    <n v="-2865.1110308839361"/>
    <n v="8355.7862474652648"/>
    <n v="14.700417788778919"/>
    <n v="634.42730798547746"/>
    <n v="-5.098150078692246"/>
    <n v="-6.095636063201507"/>
    <n v="28651.110308839361"/>
    <n v="-83557.862474652648"/>
    <n v="-147.00417788778918"/>
    <n v="-6344.2730798547746"/>
    <n v="50.98150078692246"/>
    <n v="60.95636063201507"/>
    <n v="-9723.9500168280028"/>
    <n v="-3797.8243180972095"/>
    <n v="-1654.2033698165824"/>
    <n v="-607.27766822810281"/>
    <n v="540.44498706253307"/>
    <n v="1236.9547511919791"/>
    <n v="2135.818135689542"/>
    <n v="3212.976170935025"/>
    <n v="1430.0444416351456"/>
    <n v="726.16334045635085"/>
    <n v="292.68364655261848"/>
    <n v="146.68011665180074"/>
    <n v="-147.3147976556902"/>
    <n v="-295.22541906262632"/>
    <n v="-742.1838857813691"/>
    <n v="-1496.1119791662486"/>
    <n v="-9138.3889726200323"/>
    <n v="-9486.3222705635872"/>
    <n v="-9723.9500168280028"/>
    <n v="-9965.5345188396768"/>
    <n v="-10334.413410171646"/>
    <n v="-10963.680134821097"/>
    <n v="-12262.145460124384"/>
    <n v="-3022.5751199673687"/>
    <n v="-3487.7880656112393"/>
    <n v="-3797.8243180972095"/>
    <n v="-4107.7628833310246"/>
    <n v="-4572.4652999053433"/>
    <n v="-5346.3445713419605"/>
    <n v="-6891.3011422496493"/>
    <n v="-876.03358600596039"/>
    <n v="-1342.5184266962424"/>
    <n v="-1654.2033698165824"/>
    <n v="-1966.3408662862548"/>
    <n v="-2435.2357374549001"/>
    <n v="-3218.0702228784048"/>
    <n v="-4786.3293669805898"/>
    <n v="726.16334045635085"/>
    <n v="292.68364655261848"/>
    <n v="0"/>
    <n v="-295.22541906262632"/>
    <n v="-742.1838857813691"/>
    <n v="-1496.1119791662486"/>
    <n v="-3027.949228149696"/>
    <n v="1873.6781456214862"/>
    <n v="1496.2301293073278"/>
    <n v="1236.9547511919791"/>
    <n v="972.31531081015419"/>
    <n v="566.49401435392065"/>
    <n v="-129.73135229432046"/>
    <n v="-1577.60236477121"/>
    <n v="2665.0999456159047"/>
    <n v="2354.2816993821884"/>
    <n v="2135.818135689542"/>
    <n v="1909.2828285261157"/>
    <n v="1555.8886259043402"/>
    <n v="935.72301374798826"/>
    <n v="-394.72534301390169"/>
    <n v="3533.6776315227939"/>
    <n v="3350.0281762672657"/>
    <n v="3212.976170935025"/>
    <n v="3064.8536262470952"/>
    <n v="2823.152400243298"/>
    <n v="2373.0113265890986"/>
    <n v="1325.046769681137"/>
  </r>
  <r>
    <x v="2"/>
    <x v="2"/>
    <n v="5.0000000000000001E-3"/>
    <s v="Option"/>
    <s v="JPY"/>
    <n v="-20"/>
    <x v="21"/>
    <s v="Put"/>
    <d v="2010-03-19T00:00:00"/>
    <n v="0.41000000000000003"/>
    <n v="5.0000000000000001E-3"/>
    <n v="705.96860456899594"/>
    <n v="-14119.372091379919"/>
    <s v="GoldMine Sacks"/>
    <m/>
    <n v="-4653.3500902536016"/>
    <n v="11241.853599719911"/>
    <n v="17.173856348503627"/>
    <n v="-32.795007876457611"/>
    <n v="-5.1677417728495127"/>
    <n v="-9.9844841437790883"/>
    <n v="93067.001805072039"/>
    <n v="-224837.0719943982"/>
    <n v="-343.4771269700725"/>
    <n v="655.90015752915224"/>
    <n v="103.35483545699026"/>
    <n v="199.68968287558175"/>
    <n v="-27494.283790220197"/>
    <n v="-11607.502321438715"/>
    <n v="-5225.9472425060449"/>
    <n v="-1952.0870799427757"/>
    <n v="1772.3862696878678"/>
    <n v="4108.3332229109055"/>
    <n v="7214.4987530558137"/>
    <n v="11074.770231169128"/>
    <n v="3437.7858694090173"/>
    <n v="1718.1724194941671"/>
    <n v="687.08331705947785"/>
    <n v="343.50965740144602"/>
    <n v="-343.44406746189634"/>
    <n v="-686.82095821524854"/>
    <n v="-1716.5327167073337"/>
    <n v="-3431.2276295010088"/>
    <n v="-26871.411271059787"/>
    <n v="-27227.769857849507"/>
    <n v="-27494.283790220197"/>
    <n v="-27782.213027735088"/>
    <n v="-28251.020967523655"/>
    <n v="-29119.159100600409"/>
    <n v="-31113.601758417008"/>
    <n v="-10275.285364465526"/>
    <n v="-11066.475730600141"/>
    <n v="-11607.502321438715"/>
    <n v="-12157.77561679397"/>
    <n v="-12998.067918889064"/>
    <n v="-14430.806232320738"/>
    <n v="-17381.790100068101"/>
    <n v="-3629.5005759450578"/>
    <n v="-4585.1905353492475"/>
    <n v="-5225.9472425060449"/>
    <n v="-5869.0957168534987"/>
    <n v="-6837.5389395873026"/>
    <n v="-8459.2647395690619"/>
    <n v="-11720.805984618"/>
    <n v="1718.1724194941671"/>
    <n v="687.08331705947785"/>
    <n v="0"/>
    <n v="-686.82095821524854"/>
    <n v="-1716.5327167073337"/>
    <n v="-3431.2276295010088"/>
    <n v="-6854.3149061513213"/>
    <n v="5794.3625166554557"/>
    <n v="4784.808759226753"/>
    <n v="4108.3332229109055"/>
    <n v="3429.598105146415"/>
    <n v="2407.9926861529566"/>
    <n v="698.15515616392076"/>
    <n v="-2738.1694724671979"/>
    <n v="8742.2766604234039"/>
    <n v="7833.2169944666293"/>
    <n v="7214.4987530558137"/>
    <n v="6587.1836966956289"/>
    <n v="5632.4385320640977"/>
    <n v="4011.5311054977701"/>
    <n v="691.88601669466152"/>
    <n v="12104.207740715692"/>
    <n v="11505.642642099174"/>
    <n v="11074.770231169128"/>
    <n v="10621.132920529672"/>
    <n v="9902.5236255692325"/>
    <n v="8618.0275201925178"/>
    <n v="5801.925716965643"/>
  </r>
  <r>
    <x v="2"/>
    <x v="2"/>
    <n v="5.0000000000000001E-3"/>
    <s v="Option"/>
    <s v="JPY"/>
    <n v="-20"/>
    <x v="23"/>
    <s v="Call"/>
    <d v="2010-03-19T00:00:00"/>
    <n v="0.39753782583952535"/>
    <n v="5.0000000000000001E-3"/>
    <n v="554.76515320714407"/>
    <n v="-11095.303064142881"/>
    <s v="Exch"/>
    <m/>
    <n v="4660.5885132066678"/>
    <n v="11596.114854726689"/>
    <n v="17.17659241382335"/>
    <n v="96.703682221908721"/>
    <n v="-5.0132425387673099"/>
    <n v="7.64920516383473"/>
    <n v="-93211.77026413336"/>
    <n v="-231922.2970945338"/>
    <n v="-343.53184827646703"/>
    <n v="-1934.0736444381744"/>
    <n v="100.26485077534619"/>
    <n v="-152.98410327669461"/>
    <n v="10125.81779138988"/>
    <n v="7031.6294979884924"/>
    <n v="4080.1648528453916"/>
    <n v="1771.264878594302"/>
    <n v="-1956.5974605226438"/>
    <n v="-5231.8047336531527"/>
    <n v="-11545.138701877386"/>
    <n v="-26838.976749679059"/>
    <n v="3421.1060963604905"/>
    <n v="1714.749563868445"/>
    <n v="686.64768909626218"/>
    <n v="343.43158163541375"/>
    <n v="-343.62514877728245"/>
    <n v="-687.42387969756237"/>
    <n v="-1719.6860981121608"/>
    <n v="-3442.1476443531901"/>
    <n v="10578.977630095642"/>
    <n v="10325.010259964291"/>
    <n v="10125.81779138988"/>
    <n v="9903.7074651622625"/>
    <n v="9529.8859464646521"/>
    <n v="8808.1261536293132"/>
    <n v="7058.7243952808694"/>
    <n v="8193.6803073559677"/>
    <n v="7509.4225280254523"/>
    <n v="7031.6294979884924"/>
    <n v="6538.8833792531295"/>
    <n v="5775.4032365975218"/>
    <n v="4449.356057128507"/>
    <n v="1651.8996794711438"/>
    <n v="5577.350253984996"/>
    <n v="4684.9349298699508"/>
    <n v="4080.1648528453916"/>
    <n v="3468.8059653527762"/>
    <n v="2541.3179946273794"/>
    <n v="973.29365997191417"/>
    <n v="-2219.7280960268108"/>
    <n v="1714.749563868445"/>
    <n v="686.64768909626218"/>
    <n v="0"/>
    <n v="-687.42387969756237"/>
    <n v="-1719.6860981121608"/>
    <n v="-3442.1476443531901"/>
    <n v="-6890.0114273862528"/>
    <n v="-3457.3163773836677"/>
    <n v="-4521.7911201386232"/>
    <n v="-5231.8047336531527"/>
    <n v="-5942.0037536329073"/>
    <n v="-7007.4895313633169"/>
    <n v="-8783.3080316626183"/>
    <n v="-12332.527496566345"/>
    <n v="-9863.0197307334129"/>
    <n v="-10867.979188087684"/>
    <n v="-11545.138701877386"/>
    <n v="-12227.073846854728"/>
    <n v="-13257.484121124107"/>
    <n v="-14990.584381372519"/>
    <n v="-18496.080943113611"/>
    <n v="-25623.764397172872"/>
    <n v="-26335.471005105919"/>
    <n v="-26838.976749679059"/>
    <n v="-27362.805552861701"/>
    <n v="-28181.989898312677"/>
    <n v="-29621.722067014689"/>
    <n v="-32706.48931774127"/>
  </r>
  <r>
    <x v="2"/>
    <x v="2"/>
    <n v="5.0000000000000001E-3"/>
    <s v="Option"/>
    <s v="JPY"/>
    <n v="-20"/>
    <x v="23"/>
    <s v="Put"/>
    <d v="2010-03-19T00:00:00"/>
    <n v="0.39753782583952535"/>
    <n v="5.0000000000000001E-3"/>
    <n v="855.48490019456494"/>
    <n v="-17109.698003891299"/>
    <s v="Exch"/>
    <m/>
    <n v="-5352.0802718695322"/>
    <n v="11596.114854726689"/>
    <n v="17.17659241382335"/>
    <n v="96.703682221908721"/>
    <n v="-5.0091230901784405"/>
    <n v="-11.564778950694759"/>
    <n v="107041.60543739065"/>
    <n v="-231922.2970945338"/>
    <n v="-343.53184827646703"/>
    <n v="-1934.0736444381744"/>
    <n v="100.18246180356881"/>
    <n v="231.29557901389518"/>
    <n v="-29924.857348914884"/>
    <n v="-12993.708072163863"/>
    <n v="-5932.5039322308294"/>
    <n v="-2233.8026354362046"/>
    <n v="2048.4700535078446"/>
    <n v="4780.8640514230319"/>
    <n v="8480.1988682750289"/>
    <n v="13211.698390625706"/>
    <n v="3421.1060963604905"/>
    <n v="1714.749563868445"/>
    <n v="686.64768909628037"/>
    <n v="343.43158163543194"/>
    <n v="-343.62514877730064"/>
    <n v="-687.42387969754418"/>
    <n v="-1719.686098112179"/>
    <n v="-3442.1476443532083"/>
    <n v="-29471.697510209142"/>
    <n v="-29725.664880340501"/>
    <n v="-29924.857348914884"/>
    <n v="-30146.967675142514"/>
    <n v="-30520.789193840101"/>
    <n v="-31242.548986675447"/>
    <n v="-32991.950745023896"/>
    <n v="-11831.657262796398"/>
    <n v="-12515.91504212689"/>
    <n v="-12993.708072163863"/>
    <n v="-13486.454190899258"/>
    <n v="-14249.934333554847"/>
    <n v="-15575.981513023853"/>
    <n v="-18373.437890681234"/>
    <n v="-4435.3185310911977"/>
    <n v="-5327.7338552062611"/>
    <n v="-5932.5039322308294"/>
    <n v="-6543.8628197234175"/>
    <n v="-7471.3507904488142"/>
    <n v="-9039.3751251043068"/>
    <n v="-12232.396881103014"/>
    <n v="1714.749563868445"/>
    <n v="686.64768909628037"/>
    <n v="0"/>
    <n v="-687.42387969754418"/>
    <n v="-1719.686098112179"/>
    <n v="-3442.1476443532083"/>
    <n v="-6890.0114273862528"/>
    <n v="6555.3524076925351"/>
    <n v="5490.8776649375795"/>
    <n v="4780.8640514230319"/>
    <n v="4070.6650314432773"/>
    <n v="3005.1792537128858"/>
    <n v="1229.3607534135845"/>
    <n v="-2319.858711490142"/>
    <n v="10162.317839419002"/>
    <n v="9157.3583820647309"/>
    <n v="8480.1988682750289"/>
    <n v="7798.2637232976867"/>
    <n v="6767.8534490283073"/>
    <n v="5034.7531887798868"/>
    <n v="1529.2566270387852"/>
    <n v="14426.910743131939"/>
    <n v="13715.204135198919"/>
    <n v="13211.698390625706"/>
    <n v="12687.869587443129"/>
    <n v="11868.685241992098"/>
    <n v="10428.953073290122"/>
    <n v="7344.1858225635406"/>
  </r>
  <r>
    <x v="2"/>
    <x v="2"/>
    <n v="5.0000000000000001E-3"/>
    <s v="Option"/>
    <s v="JPY"/>
    <n v="50"/>
    <x v="24"/>
    <s v="Put"/>
    <d v="2010-03-19T00:00:00"/>
    <n v="0.53413924786865796"/>
    <n v="5.0000000000000001E-3"/>
    <n v="300.50652353568876"/>
    <n v="15025.326176784438"/>
    <s v="Exch"/>
    <m/>
    <n v="-2063.5656328803757"/>
    <n v="6189.3048272388996"/>
    <n v="12.318062603675854"/>
    <n v="1114.822410604223"/>
    <n v="-4.8337957475203792"/>
    <n v="-4.4042988119532156"/>
    <n v="-103178.28164401879"/>
    <n v="309465.24136194499"/>
    <n v="615.90313018379265"/>
    <n v="55741.120530211148"/>
    <n v="-241.68978737601896"/>
    <n v="-220.21494059766079"/>
    <n v="36700.960894180069"/>
    <n v="13890.151227804427"/>
    <n v="5992.1227831198621"/>
    <n v="2191.1366109751725"/>
    <n v="-1943.5109004449373"/>
    <n v="-4442.7460041289805"/>
    <n v="-7670.2897368774302"/>
    <n v="-11591.006406326636"/>
    <n v="-5827.1398621008302"/>
    <n v="-3003.691001636264"/>
    <n v="-1220.281804027627"/>
    <n v="-613.06972698765776"/>
    <n v="618.6451504045408"/>
    <n v="1242.5992427091614"/>
    <n v="3143.8660996588396"/>
    <n v="6397.8403888588218"/>
    <n v="33300.310809056238"/>
    <n v="35338.154830890518"/>
    <n v="36700.960894180069"/>
    <n v="38066.629314117337"/>
    <n v="40119.657639372461"/>
    <n v="43550.788181105687"/>
    <n v="50434.863270506183"/>
    <n v="10267.591477471047"/>
    <n v="12438.780793895308"/>
    <n v="13890.151227804427"/>
    <n v="15344.142726238009"/>
    <n v="17529.241746233605"/>
    <n v="21179.504919453644"/>
    <n v="28498.723318115866"/>
    <n v="2605.6409408623267"/>
    <n v="4627.8657103109708"/>
    <n v="5992.1227831198621"/>
    <n v="7367.6448425338776"/>
    <n v="9449.473249984454"/>
    <n v="12960.492843019096"/>
    <n v="20096.033897212124"/>
    <n v="-3003.691001636264"/>
    <n v="-1220.281804027627"/>
    <n v="0"/>
    <n v="1242.5992427091614"/>
    <n v="3143.8660996588396"/>
    <n v="6397.8403888588218"/>
    <n v="13150.035637541123"/>
    <n v="-6990.4716073192048"/>
    <n v="-5489.0800909237551"/>
    <n v="-4442.7460041289805"/>
    <n v="-3363.4873062450197"/>
    <n v="-1688.5772200690667"/>
    <n v="1233.293428430261"/>
    <n v="7462.7044042625812"/>
    <n v="-9750.3767718001545"/>
    <n v="-8535.619802863017"/>
    <n v="-7670.2897368774302"/>
    <n v="-6763.8950196994192"/>
    <n v="-5333.1829289430407"/>
    <n v="-2779.5289453835949"/>
    <n v="2844.3632086030107"/>
    <n v="-12853.914036295611"/>
    <n v="-12132.550030570763"/>
    <n v="-11591.006406326636"/>
    <n v="-11002.415971355145"/>
    <n v="-10034.634845182973"/>
    <n v="-8209.4033524019378"/>
    <n v="-3862.830279665468"/>
  </r>
  <r>
    <x v="2"/>
    <x v="2"/>
    <n v="5.0000000000000001E-3"/>
    <s v="Option"/>
    <s v="JPY"/>
    <n v="-20"/>
    <x v="22"/>
    <s v="Put"/>
    <d v="2010-03-19T00:00:00"/>
    <n v="0.47216774083559543"/>
    <n v="5.0000000000000001E-3"/>
    <n v="406.81126774628319"/>
    <n v="-8136.2253549256639"/>
    <s v="GoldMine Sacks"/>
    <m/>
    <n v="-2865.1110308839361"/>
    <n v="8355.7862474652648"/>
    <n v="14.700417788778919"/>
    <n v="634.42730798547746"/>
    <n v="-5.098150078692246"/>
    <n v="-6.095636063201507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x v="2"/>
    <n v="5.0000000000000001E-3"/>
    <s v="Option"/>
    <s v="JPY"/>
    <n v="-20"/>
    <x v="22"/>
    <s v="Put"/>
    <d v="2010-03-19T00:00:00"/>
    <n v="0.47216774083559543"/>
    <n v="5.0000000000000001E-3"/>
    <n v="406.81126774628319"/>
    <n v="-8136.2253549256639"/>
    <s v="Exch"/>
    <m/>
    <n v="-2865.1110308839361"/>
    <n v="8355.7862474652648"/>
    <n v="14.700417788778919"/>
    <n v="634.42730798547746"/>
    <n v="-5.098150078692246"/>
    <n v="-6.095636063201507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x v="2"/>
    <n v="5.0000000000000001E-3"/>
    <s v="Option"/>
    <s v="JPY"/>
    <n v="-25"/>
    <x v="21"/>
    <s v="Call"/>
    <d v="2010-03-19T00:00:00"/>
    <n v="0.41000000000000003"/>
    <n v="5.0000000000000001E-3"/>
    <n v="705.96860456899594"/>
    <n v="-17649.215114224899"/>
    <s v="Exch"/>
    <m/>
    <n v="5359.3186948225975"/>
    <n v="11241.853599719911"/>
    <n v="17.173856348503627"/>
    <n v="-32.795007876457611"/>
    <n v="-5.1677417728495127"/>
    <n v="8.6692549626642439"/>
    <n v="-133982.96737056493"/>
    <n v="-281046.33999299776"/>
    <n v="-429.34640871259069"/>
    <n v="819.8751969114403"/>
    <n v="129.19354432123782"/>
    <n v="-216.73137406660609"/>
    <n v="15695.489187605708"/>
    <n v="10522.294060892091"/>
    <n v="5983.4019282126746"/>
    <n v="2566.2255426096635"/>
    <n v="-2790.8515554282531"/>
    <n v="-7380.4194527066102"/>
    <n v="-16013.54852137074"/>
    <n v="-36219.881136419601"/>
    <n v="4297.2323367612717"/>
    <n v="2147.7155243677089"/>
    <n v="858.85414632434731"/>
    <n v="429.38707175180753"/>
    <n v="-429.30508432737042"/>
    <n v="-858.52619776906067"/>
    <n v="-2145.6658958841672"/>
    <n v="-4289.034536876261"/>
    <n v="16474.079836556215"/>
    <n v="16028.631603069065"/>
    <n v="15695.489187605708"/>
    <n v="15335.577640712094"/>
    <n v="14749.567715976365"/>
    <n v="13664.395049630462"/>
    <n v="11171.341727359686"/>
    <n v="12187.565257108519"/>
    <n v="11198.577299440274"/>
    <n v="10522.294060892091"/>
    <n v="9834.4524416979875"/>
    <n v="8784.0870640791309"/>
    <n v="6993.1641722895274"/>
    <n v="3304.4343376053462"/>
    <n v="7978.9602614139421"/>
    <n v="6784.347812158705"/>
    <n v="5983.4019282126746"/>
    <n v="5179.46633527838"/>
    <n v="3968.9123068611366"/>
    <n v="1941.755056883926"/>
    <n v="-2135.1714994272356"/>
    <n v="2147.7155243677089"/>
    <n v="858.85414632434731"/>
    <n v="0"/>
    <n v="-858.52619776906067"/>
    <n v="-2145.6658958841672"/>
    <n v="-4289.034536876261"/>
    <n v="-8567.8936326891526"/>
    <n v="-5272.8828355259338"/>
    <n v="-6534.8250323118236"/>
    <n v="-7380.4194527066102"/>
    <n v="-8228.8383499122356"/>
    <n v="-9505.8451236540568"/>
    <n v="-11643.142036140353"/>
    <n v="-15938.547821929251"/>
    <n v="-14103.826137161195"/>
    <n v="-15240.150719607209"/>
    <n v="-16013.54852137074"/>
    <n v="-16797.69234182097"/>
    <n v="-17991.123797610409"/>
    <n v="-20017.258080818283"/>
    <n v="-24166.814441822178"/>
    <n v="-34933.084249486361"/>
    <n v="-35681.29062275702"/>
    <n v="-36219.881136419601"/>
    <n v="-36786.927774718948"/>
    <n v="-37685.189393419452"/>
    <n v="-39290.809525140365"/>
    <n v="-42810.936779173971"/>
  </r>
  <r>
    <x v="2"/>
    <x v="2"/>
    <n v="5.0000000000000001E-3"/>
    <s v="Option"/>
    <s v="JPY"/>
    <n v="10"/>
    <x v="24"/>
    <s v="Put"/>
    <d v="2010-03-19T00:00:00"/>
    <n v="0.53413924786865796"/>
    <n v="5.0000000000000001E-3"/>
    <n v="300.50652353568876"/>
    <n v="3005.0652353568876"/>
    <s v="JP Horgan"/>
    <m/>
    <n v="-2063.5656328803757"/>
    <n v="6189.3048272388996"/>
    <n v="12.318062603675854"/>
    <n v="1114.822410604223"/>
    <n v="-4.8337957475203792"/>
    <n v="-4.4042988119532156"/>
    <n v="-20635.656328803758"/>
    <n v="61893.048272388995"/>
    <n v="123.18062603675854"/>
    <n v="11148.224106042231"/>
    <n v="-48.337957475203794"/>
    <n v="-44.042988119532154"/>
    <n v="7340.1921788360141"/>
    <n v="2778.0302455608853"/>
    <n v="1198.4245566239724"/>
    <n v="438.2273221950345"/>
    <n v="-388.70218008898746"/>
    <n v="-888.54920082579611"/>
    <n v="-1534.057947375486"/>
    <n v="-2318.2012812653275"/>
    <n v="-1165.427972420166"/>
    <n v="-600.7382003272528"/>
    <n v="-244.0563608055254"/>
    <n v="-122.61394539753155"/>
    <n v="123.72903008090816"/>
    <n v="248.51984854183229"/>
    <n v="628.77321993176793"/>
    <n v="1279.5680777717644"/>
    <n v="6660.0621618112473"/>
    <n v="7067.6309661781033"/>
    <n v="7340.1921788360141"/>
    <n v="7613.3258628234671"/>
    <n v="8023.9315278744925"/>
    <n v="8710.1576362211381"/>
    <n v="10086.972654101237"/>
    <n v="2053.5182954942093"/>
    <n v="2487.7561587790615"/>
    <n v="2778.0302455608853"/>
    <n v="3068.8285452476021"/>
    <n v="3505.8483492467212"/>
    <n v="4235.9009838907286"/>
    <n v="5699.7446636231734"/>
    <n v="521.12818817246534"/>
    <n v="925.57314206219417"/>
    <n v="1198.4245566239724"/>
    <n v="1473.5289685067755"/>
    <n v="1889.8946499968906"/>
    <n v="2592.0985686038193"/>
    <n v="4019.2067794424247"/>
    <n v="-600.7382003272528"/>
    <n v="-244.0563608055254"/>
    <n v="0"/>
    <n v="248.51984854183229"/>
    <n v="628.77321993176793"/>
    <n v="1279.5680777717644"/>
    <n v="2630.0071275082246"/>
    <n v="-1398.094321463841"/>
    <n v="-1097.8160181847511"/>
    <n v="-888.54920082579611"/>
    <n v="-672.69746124900394"/>
    <n v="-337.71544401381334"/>
    <n v="246.65868568605219"/>
    <n v="1492.5408808525162"/>
    <n v="-1950.0753543600308"/>
    <n v="-1707.1239605726032"/>
    <n v="-1534.057947375486"/>
    <n v="-1352.7790039398838"/>
    <n v="-1066.636585788608"/>
    <n v="-555.90578907671897"/>
    <n v="568.87264172060213"/>
    <n v="-2570.7828072591224"/>
    <n v="-2426.5100061141529"/>
    <n v="-2318.2012812653275"/>
    <n v="-2200.4831942710289"/>
    <n v="-2006.9269690365945"/>
    <n v="-1641.8806704803876"/>
    <n v="-772.56605593309359"/>
  </r>
  <r>
    <x v="2"/>
    <x v="2"/>
    <n v="5.0000000000000001E-3"/>
    <s v="Option"/>
    <s v="JPY"/>
    <n v="-25"/>
    <x v="21"/>
    <s v="Put"/>
    <d v="2010-06-18T00:00:00"/>
    <n v="0.36000000000000004"/>
    <n v="5.0000000000000001E-3"/>
    <n v="945.69811475775714"/>
    <n v="-23642.452868943928"/>
    <s v="Exch"/>
    <m/>
    <n v="-4527.2484503304167"/>
    <n v="8336.2186768370284"/>
    <n v="26.146036003405563"/>
    <n v="-102.50678772842016"/>
    <n v="-2.9469738354638091"/>
    <n v="-23.841054899973141"/>
    <n v="113181.21125826042"/>
    <n v="-208405.46692092571"/>
    <n v="-653.65090008513903"/>
    <n v="2562.6696932105042"/>
    <n v="73.674345886595233"/>
    <n v="596.02637249932855"/>
    <n v="-31300.755347593484"/>
    <n v="-13478.113184232392"/>
    <n v="-6191.4555031509508"/>
    <n v="-2347.779908069856"/>
    <n v="2181.1331267288551"/>
    <n v="5152.4577101122759"/>
    <n v="9358.3843102093506"/>
    <n v="15393.774765995113"/>
    <n v="6548.1493900799251"/>
    <n v="3271.311416923345"/>
    <n v="1307.8049712054508"/>
    <n v="653.7778635484301"/>
    <n v="-653.52159727353865"/>
    <n v="-1306.7799144389937"/>
    <n v="-3264.9051766899447"/>
    <n v="-6522.5296362000563"/>
    <n v="-29545.780513256886"/>
    <n v="-30567.335996819609"/>
    <n v="-31300.755347593484"/>
    <n v="-32070.493874181102"/>
    <n v="-33284.235028470561"/>
    <n v="-35436.628496588834"/>
    <n v="-40087.684032638754"/>
    <n v="-10709.399728838844"/>
    <n v="-12360.072713908427"/>
    <n v="-13478.113184232392"/>
    <n v="-14607.584315769054"/>
    <n v="-16319.359670311633"/>
    <n v="-19207.943971692977"/>
    <n v="-25067.754577100277"/>
    <n v="-3088.0932454157119"/>
    <n v="-4947.8291663536311"/>
    <n v="-6191.4555031509508"/>
    <n v="-7437.3384271161058"/>
    <n v="-9309.2459605456716"/>
    <n v="-12433.949594331034"/>
    <n v="-18685.829473631973"/>
    <n v="3271.311416923345"/>
    <n v="1307.8049712054508"/>
    <n v="0"/>
    <n v="-1306.7799144389937"/>
    <n v="-3264.9051766899447"/>
    <n v="-6522.5296362000563"/>
    <n v="-13012.468738020061"/>
    <n v="8423.4849466188734"/>
    <n v="6462.9757608109121"/>
    <n v="5152.4577101122759"/>
    <n v="3839.8863015847724"/>
    <n v="1868.2864835282544"/>
    <n v="-1421.7734648096211"/>
    <n v="-8001.8095574131967"/>
    <n v="12483.420037732423"/>
    <n v="10618.021336034486"/>
    <n v="9358.3843102093506"/>
    <n v="8088.3990689786742"/>
    <n v="6167.6358846942321"/>
    <n v="2934.756582393436"/>
    <n v="-3601.9627412808177"/>
    <n v="17940.705140913145"/>
    <n v="16442.782446772799"/>
    <n v="15393.774765995113"/>
    <n v="14310.641428422525"/>
    <n v="12631.453722710228"/>
    <n v="9716.254263634346"/>
    <n v="3584.9045895452605"/>
  </r>
  <r>
    <x v="2"/>
    <x v="2"/>
    <n v="5.0000000000000001E-3"/>
    <s v="Option"/>
    <s v="JPY"/>
    <n v="-10"/>
    <x v="22"/>
    <s v="Put"/>
    <d v="2010-06-18T00:00:00"/>
    <n v="0.42216774083559544"/>
    <n v="5.0000000000000001E-3"/>
    <n v="667.7534821882723"/>
    <n v="-6677.534821882723"/>
    <s v="Exch"/>
    <m/>
    <n v="-3164.0295072936733"/>
    <n v="6386.7291114580748"/>
    <n v="23.490799399988845"/>
    <n v="529.49939843623292"/>
    <n v="-3.109424299922761"/>
    <n v="-16.691876584318617"/>
    <n v="31640.295072936733"/>
    <n v="-63867.291114580745"/>
    <n v="-234.90799399988845"/>
    <n v="-5294.9939843623288"/>
    <n v="31.09424299922761"/>
    <n v="166.91876584318618"/>
    <n v="-9282.9912251682654"/>
    <n v="-3857.8910024907191"/>
    <n v="-1748.7808969081834"/>
    <n v="-658.81246516514693"/>
    <n v="607.72340632634496"/>
    <n v="1429.6335744769294"/>
    <n v="2583.7199905202806"/>
    <n v="4233.2779795687311"/>
    <n v="2312.7009675499812"/>
    <n v="1166.8326591608275"/>
    <n v="468.69199620466588"/>
    <n v="234.63529729053334"/>
    <n v="-235.16512779804088"/>
    <n v="-470.81529933712773"/>
    <n v="-1180.2795467179476"/>
    <n v="-2369.1301866282038"/>
    <n v="-8296.4228465520719"/>
    <n v="-8885.0494946043582"/>
    <n v="-9282.9912251682654"/>
    <n v="-9684.6228727788948"/>
    <n v="-10292.879053223445"/>
    <n v="-11318.771289624914"/>
    <n v="-13399.959911081391"/>
    <n v="-2677.6797941681298"/>
    <n v="-3386.082672946427"/>
    <n v="-3857.8910024907191"/>
    <n v="-4329.3008837638763"/>
    <n v="-5035.6147149141225"/>
    <n v="-6210.4725184722884"/>
    <n v="-8550.1929663737337"/>
    <n v="-551.44544489510736"/>
    <n v="-1269.6757318509844"/>
    <n v="-1748.7808969081834"/>
    <n v="-2227.9877885995757"/>
    <n v="-2946.7924569397701"/>
    <n v="-4144.1690208672298"/>
    <n v="-6533.3648803002916"/>
    <n v="1166.8326591608275"/>
    <n v="468.69199620466588"/>
    <n v="0"/>
    <n v="-470.81529933712773"/>
    <n v="-1180.2795467179476"/>
    <n v="-2369.1301866282038"/>
    <n v="-4760.1411776733812"/>
    <n v="2528.3143546401561"/>
    <n v="1873.7277941702996"/>
    <n v="1429.6335744769294"/>
    <n v="980.3566339173949"/>
    <n v="298.22108306476366"/>
    <n v="-856.0461114423515"/>
    <n v="-3207.8921476604501"/>
    <n v="3588.1427522076865"/>
    <n v="2993.1111501935084"/>
    <n v="2583.7199905202806"/>
    <n v="2165.6135019323619"/>
    <n v="1524.3695348640495"/>
    <n v="425.04519655888998"/>
    <n v="-1854.1461301928348"/>
    <n v="5013.7730580043608"/>
    <n v="4558.3310721228481"/>
    <n v="4233.2779795687311"/>
    <n v="3892.972136836745"/>
    <n v="3357.059942939577"/>
    <n v="2406.3149230511635"/>
    <n v="343.11572046555739"/>
  </r>
  <r>
    <x v="2"/>
    <x v="2"/>
    <n v="5.0000000000000001E-3"/>
    <s v="Option"/>
    <s v="JPY"/>
    <n v="-15"/>
    <x v="22"/>
    <s v="Put"/>
    <d v="2010-06-18T00:00:00"/>
    <n v="0.42216774083559544"/>
    <n v="5.0000000000000001E-3"/>
    <n v="667.7534821882723"/>
    <n v="-10016.302232824084"/>
    <s v="GoldMine Sacks"/>
    <m/>
    <n v="-3164.0295072936733"/>
    <n v="6386.7291114580748"/>
    <n v="23.490799399988845"/>
    <n v="529.49939843623292"/>
    <n v="-3.109424299922761"/>
    <n v="-16.691876584318617"/>
    <n v="47460.442609405101"/>
    <n v="-95800.936671871124"/>
    <n v="-352.36199099983264"/>
    <n v="-7942.4909765434941"/>
    <n v="46.641364498841412"/>
    <n v="250.37814876477927"/>
    <n v="-13924.4868377524"/>
    <n v="-5786.8365037360782"/>
    <n v="-2623.1713453622751"/>
    <n v="-988.2186977477204"/>
    <n v="911.58510948951744"/>
    <n v="2144.4503617153941"/>
    <n v="3875.5799857804209"/>
    <n v="6349.9169693530976"/>
    <n v="3469.0514513249718"/>
    <n v="1750.2489887412412"/>
    <n v="703.03799430699883"/>
    <n v="351.95294593580002"/>
    <n v="-352.74769169706133"/>
    <n v="-706.22294900569159"/>
    <n v="-1770.4193200769214"/>
    <n v="-3553.6952799423057"/>
    <n v="-12444.63426982811"/>
    <n v="-13327.574241906539"/>
    <n v="-13924.4868377524"/>
    <n v="-14526.934309168344"/>
    <n v="-15439.31857983517"/>
    <n v="-16978.156934437371"/>
    <n v="-20099.939866622088"/>
    <n v="-4016.5196912521947"/>
    <n v="-5079.1240094196401"/>
    <n v="-5786.8365037360782"/>
    <n v="-6493.951325645814"/>
    <n v="-7553.4220723711842"/>
    <n v="-9315.7087777084325"/>
    <n v="-12825.289449560601"/>
    <n v="-827.16816734266104"/>
    <n v="-1904.5135977764767"/>
    <n v="-2623.1713453622751"/>
    <n v="-3341.9816828993635"/>
    <n v="-4420.1886854096556"/>
    <n v="-6216.2535313008448"/>
    <n v="-9800.0473204504378"/>
    <n v="1750.2489887412412"/>
    <n v="703.03799430699883"/>
    <n v="0"/>
    <n v="-706.22294900569159"/>
    <n v="-1770.4193200769214"/>
    <n v="-3553.6952799423057"/>
    <n v="-7140.2117665100723"/>
    <n v="3792.4715319602342"/>
    <n v="2810.5916912554494"/>
    <n v="2144.4503617153941"/>
    <n v="1470.5349508760924"/>
    <n v="447.33162459714549"/>
    <n v="-1284.0691671635273"/>
    <n v="-4811.8382214906751"/>
    <n v="5382.2141283115297"/>
    <n v="4489.6667252902625"/>
    <n v="3875.5799857804209"/>
    <n v="3248.4202528985429"/>
    <n v="2286.5543022960742"/>
    <n v="637.56779483833498"/>
    <n v="-2781.2191952892522"/>
    <n v="7520.6595870065403"/>
    <n v="6837.4966081842731"/>
    <n v="6349.9169693530976"/>
    <n v="5839.4582052551177"/>
    <n v="5035.5899144093655"/>
    <n v="3609.4723845767453"/>
    <n v="514.67358069833608"/>
  </r>
  <r>
    <x v="2"/>
    <x v="2"/>
    <n v="5.0000000000000001E-3"/>
    <s v="Option"/>
    <s v="JPY"/>
    <n v="-20"/>
    <x v="25"/>
    <s v="Call"/>
    <d v="2010-06-18T00:00:00"/>
    <n v="0.32950101005471172"/>
    <n v="5.0000000000000001E-3"/>
    <n v="438.99639307709685"/>
    <n v="-8779.9278615419371"/>
    <s v="Exch"/>
    <m/>
    <n v="3399.8507265051057"/>
    <n v="8424.1630525351666"/>
    <n v="24.183422866491583"/>
    <n v="1907.420276560372"/>
    <n v="-2.4997920932606426"/>
    <n v="12.897968192193247"/>
    <n v="-67997.014530102111"/>
    <n v="-168483.26105070332"/>
    <n v="-483.66845732983165"/>
    <n v="-38148.405531207442"/>
    <n v="49.995841865212853"/>
    <n v="-257.95936384386494"/>
    <n v="7702.2948436273646"/>
    <n v="5194.5705720452906"/>
    <n v="2986.7978810937348"/>
    <n v="1292.9976657257703"/>
    <n v="-1427.6889431714608"/>
    <n v="-3825.5067956802395"/>
    <n v="-8505.8477189728819"/>
    <n v="-20303.227693110719"/>
    <n v="4569.6895961498012"/>
    <n v="2362.5453475026643"/>
    <n v="959.23113133462721"/>
    <n v="481.70312945898331"/>
    <n v="-485.52093879759923"/>
    <n v="-974.5380846376429"/>
    <n v="-2459.8004177877192"/>
    <n v="-4982.8119152769978"/>
    <n v="8312.3667243301352"/>
    <n v="7979.7801051177621"/>
    <n v="7702.2948436273646"/>
    <n v="7381.5684042538596"/>
    <n v="6823.6968796671454"/>
    <n v="5709.0318933834078"/>
    <n v="2922.9426482399822"/>
    <n v="6645.8762460304615"/>
    <n v="5808.4691364161472"/>
    <n v="5194.5705720452906"/>
    <n v="4542.1579062380806"/>
    <n v="3501.028992060742"/>
    <n v="1629.7034715848667"/>
    <n v="-2473.1848045811421"/>
    <n v="4915.3261614853227"/>
    <n v="3783.1418961433383"/>
    <n v="2986.7978810937348"/>
    <n v="2162.7590975050953"/>
    <n v="883.10992772431746"/>
    <n v="-1341.218242967816"/>
    <n v="-6020.1472826161444"/>
    <n v="2362.5453475026643"/>
    <n v="959.23113133462721"/>
    <n v="0"/>
    <n v="-974.5380846376429"/>
    <n v="-2459.8004177877192"/>
    <n v="-4982.8119152769978"/>
    <n v="-10141.047913416241"/>
    <n v="-1128.2598116755707"/>
    <n v="-2741.7118871186176"/>
    <n v="-3825.5067956802395"/>
    <n v="-4914.3559017409734"/>
    <n v="-6555.0198598386032"/>
    <n v="-9303.2717381229304"/>
    <n v="-14825.518456954051"/>
    <n v="-5609.6926803209408"/>
    <n v="-7347.509114366394"/>
    <n v="-8505.8477189728819"/>
    <n v="-9663.8412182757111"/>
    <n v="-11399.906327139388"/>
    <n v="-14290.002585885914"/>
    <n v="-20052.918013979914"/>
    <n v="-17440.730418400592"/>
    <n v="-19152.22125530542"/>
    <n v="-20303.227693110719"/>
    <n v="-21460.475170383586"/>
    <n v="-23205.543962074378"/>
    <n v="-26131.446627903453"/>
    <n v="-32017.5382320102"/>
  </r>
  <r>
    <x v="2"/>
    <x v="2"/>
    <n v="5.0000000000000001E-3"/>
    <s v="Option"/>
    <s v="JPY"/>
    <n v="-10"/>
    <x v="25"/>
    <s v="Put"/>
    <d v="2010-06-18T00:00:00"/>
    <n v="0.32950101005471172"/>
    <n v="5.0000000000000001E-3"/>
    <n v="1639.3790116710452"/>
    <n v="-16393.79011671045"/>
    <s v="UBS"/>
    <m/>
    <n v="-6600.3442889134849"/>
    <n v="8424.1630525351666"/>
    <n v="24.183422866491583"/>
    <n v="1907.420276560372"/>
    <n v="-2.4833484957456569"/>
    <n v="-35.893589172409321"/>
    <n v="66003.442889134851"/>
    <n v="-84241.630525351662"/>
    <n v="-241.83422866491583"/>
    <n v="-19074.202765603721"/>
    <n v="24.833484957456569"/>
    <n v="358.93589172409321"/>
    <n v="-16149.242609023495"/>
    <n v="-7402.9097293959239"/>
    <n v="-3506.6985671624388"/>
    <n v="-1353.5401702208492"/>
    <n v="1286.1945314979766"/>
    <n v="3087.3441098691637"/>
    <n v="5747.2711559321397"/>
    <n v="9848.7761842818109"/>
    <n v="2284.8447980748824"/>
    <n v="1181.2726737513185"/>
    <n v="479.61556566731815"/>
    <n v="240.85156472947347"/>
    <n v="-242.7604693988178"/>
    <n v="-487.26904231883054"/>
    <n v="-1229.9002088938596"/>
    <n v="-2491.405957638508"/>
    <n v="-15844.206668672114"/>
    <n v="-16010.499978278303"/>
    <n v="-16149.242609023495"/>
    <n v="-16309.605828710246"/>
    <n v="-16588.541591003595"/>
    <n v="-17145.874084145489"/>
    <n v="-18538.918706717177"/>
    <n v="-6677.2568924033476"/>
    <n v="-7095.9604472105002"/>
    <n v="-7402.9097293959239"/>
    <n v="-7729.1160622995358"/>
    <n v="-8249.6805193881937"/>
    <n v="-9185.3432796261313"/>
    <n v="-11236.787417709156"/>
    <n v="-2542.4344269666381"/>
    <n v="-3108.5265596376485"/>
    <n v="-3506.6985671624388"/>
    <n v="-3918.7179589567495"/>
    <n v="-4558.5425438471611"/>
    <n v="-5670.7066291932188"/>
    <n v="-8010.1711490173784"/>
    <n v="1181.2726737513185"/>
    <n v="479.61556566731815"/>
    <n v="0"/>
    <n v="-487.26904231883054"/>
    <n v="-1229.9002088938596"/>
    <n v="-2491.405957638508"/>
    <n v="-5070.5239567081298"/>
    <n v="4435.9676018714981"/>
    <n v="3629.2415641499792"/>
    <n v="3087.3441098691637"/>
    <n v="2542.9195568387968"/>
    <n v="1722.587577789991"/>
    <n v="348.46163864781374"/>
    <n v="-2412.6617207677464"/>
    <n v="7195.3486752581284"/>
    <n v="6326.4404582353927"/>
    <n v="5747.2711559321397"/>
    <n v="5168.2744062807342"/>
    <n v="4300.2418518489048"/>
    <n v="2855.193722475633"/>
    <n v="-26.263991571368024"/>
    <n v="11280.024821636871"/>
    <n v="10424.279403184455"/>
    <n v="9848.7761842818109"/>
    <n v="9270.1524456453808"/>
    <n v="8397.6180497999758"/>
    <n v="6934.6667168854492"/>
    <n v="3991.620914832074"/>
  </r>
  <r>
    <x v="2"/>
    <x v="2"/>
    <n v="5.0000000000000001E-3"/>
    <s v="Option"/>
    <s v="JPY"/>
    <n v="-15"/>
    <x v="23"/>
    <s v="Call"/>
    <d v="2010-06-18T00:00:00"/>
    <n v="0.34753782583952536"/>
    <n v="5.0000000000000001E-3"/>
    <n v="784.31358243083378"/>
    <n v="-11764.703736462507"/>
    <s v="Exch"/>
    <m/>
    <n v="4942.9768123679669"/>
    <n v="8695.4049438432685"/>
    <n v="26.328501836023584"/>
    <n v="26.434128603088269"/>
    <n v="-2.8666617285441185"/>
    <n v="18.115820645479566"/>
    <n v="-74144.652185519502"/>
    <n v="-130431.07415764903"/>
    <n v="-394.92752754035376"/>
    <n v="-396.51192904632404"/>
    <n v="42.99992592816178"/>
    <n v="-271.73730968219348"/>
    <n v="9638.3496118468975"/>
    <n v="6090.123821716661"/>
    <n v="3377.2954995147074"/>
    <n v="1430.4251224767404"/>
    <n v="-1534.7102162929832"/>
    <n v="-4027.1208194458541"/>
    <n v="-8661.7284555519072"/>
    <n v="-19498.409806003801"/>
    <n v="3942.7649519475494"/>
    <n v="1973.6555042749023"/>
    <n v="789.7469322386587"/>
    <n v="394.90418454955488"/>
    <n v="-394.94399193406935"/>
    <n v="-789.90804217496134"/>
    <n v="-1974.7463427023149"/>
    <n v="-3948.4283831316998"/>
    <n v="10517.332318098903"/>
    <n v="10012.67941932806"/>
    <n v="9638.3496118468975"/>
    <n v="9237.1714458542629"/>
    <n v="8590.9548256453545"/>
    <n v="7414.7773370244058"/>
    <n v="4790.7931497422451"/>
    <n v="7634.9767724378262"/>
    <n v="6719.1937349027376"/>
    <n v="6090.123821716661"/>
    <n v="5448.8442181584514"/>
    <n v="4467.9054055405031"/>
    <n v="2793.5930619645501"/>
    <n v="-651.51150941905371"/>
    <n v="5183.7361583339971"/>
    <n v="4104.2972217125243"/>
    <n v="3377.2954995147074"/>
    <n v="2645.6100349524718"/>
    <n v="1541.0517323647559"/>
    <n v="-313.60213272254896"/>
    <n v="-4051.8473739745127"/>
    <n v="1973.6555042749023"/>
    <n v="789.7469322386587"/>
    <n v="0"/>
    <n v="-789.90804217496134"/>
    <n v="-1974.7463427023149"/>
    <n v="-3948.4283831316998"/>
    <n v="-7886.9471963252563"/>
    <n v="-1993.310314616424"/>
    <n v="-3213.7226144590159"/>
    <n v="-4027.1208194458541"/>
    <n v="-4840.2323619121807"/>
    <n v="-6059.1764458639955"/>
    <n v="-8088.2260339203503"/>
    <n v="-12133.605590786578"/>
    <n v="-6669.3486954161654"/>
    <n v="-7861.6984369220881"/>
    <n v="-8661.7284555519072"/>
    <n v="-9464.95076164495"/>
    <n v="-10674.457944061611"/>
    <n v="-12698.998447025488"/>
    <n v="-16763.662987637344"/>
    <n v="-17812.839283970723"/>
    <n v="-18808.523448756965"/>
    <n v="-19498.409806003801"/>
    <n v="-20205.641796428008"/>
    <n v="-21293.740984805663"/>
    <n v="-23164.357751232717"/>
    <n v="-27048.363475075952"/>
  </r>
  <r>
    <x v="2"/>
    <x v="2"/>
    <n v="5.0000000000000001E-3"/>
    <s v="Option"/>
    <s v="JPY"/>
    <n v="-20"/>
    <x v="21"/>
    <s v="Put"/>
    <d v="2010-06-18T00:00:00"/>
    <n v="0.36000000000000004"/>
    <n v="5.0000000000000001E-3"/>
    <n v="945.69811475775714"/>
    <n v="-18913.962295155143"/>
    <s v="Exch"/>
    <m/>
    <n v="-4527.2484503304167"/>
    <n v="8336.2186768370284"/>
    <n v="26.146036003405563"/>
    <n v="-102.50678772842016"/>
    <n v="-2.9469738354638091"/>
    <n v="-23.841054899973141"/>
    <n v="90544.969006608328"/>
    <n v="-166724.37353674058"/>
    <n v="-522.92072006811122"/>
    <n v="2050.1357545684032"/>
    <n v="58.939476709276178"/>
    <n v="476.82109799946284"/>
    <n v="-25040.604278074788"/>
    <n v="-10782.490547385914"/>
    <n v="-4953.1644025207606"/>
    <n v="-1878.2239264558848"/>
    <n v="1744.9065013830841"/>
    <n v="4121.9661680898207"/>
    <n v="7486.7074481674808"/>
    <n v="12315.01981279609"/>
    <n v="5238.5195120639401"/>
    <n v="2617.049133538676"/>
    <n v="1046.2439769643606"/>
    <n v="523.02229083874408"/>
    <n v="-522.81727781883092"/>
    <n v="-1045.423931551195"/>
    <n v="-2611.9241413519558"/>
    <n v="-5218.023708960045"/>
    <n v="-23636.624410605509"/>
    <n v="-24453.868797455689"/>
    <n v="-25040.604278074788"/>
    <n v="-25656.395099344882"/>
    <n v="-26627.388022776449"/>
    <n v="-28349.302797271066"/>
    <n v="-32070.147226111003"/>
    <n v="-8567.5197830710749"/>
    <n v="-9888.0581711267405"/>
    <n v="-10782.490547385914"/>
    <n v="-11686.067452615243"/>
    <n v="-13055.487736249306"/>
    <n v="-15366.35517735438"/>
    <n v="-20054.203661680222"/>
    <n v="-2470.4745963325695"/>
    <n v="-3958.2633330829049"/>
    <n v="-4953.1644025207606"/>
    <n v="-5949.8707416928846"/>
    <n v="-7447.396768436538"/>
    <n v="-9947.1596754648272"/>
    <n v="-14948.66357890558"/>
    <n v="2617.049133538676"/>
    <n v="1046.2439769643606"/>
    <n v="0"/>
    <n v="-1045.423931551195"/>
    <n v="-2611.9241413519558"/>
    <n v="-5218.023708960045"/>
    <n v="-10409.974990416049"/>
    <n v="6738.7879572950987"/>
    <n v="5170.3806086487293"/>
    <n v="4121.9661680898207"/>
    <n v="3071.9090412678179"/>
    <n v="1494.6291868226035"/>
    <n v="-1137.4187718476969"/>
    <n v="-6401.447645930557"/>
    <n v="9986.7360301859389"/>
    <n v="8494.4170688275881"/>
    <n v="7486.7074481674808"/>
    <n v="6470.7192551829394"/>
    <n v="4934.1087077553857"/>
    <n v="2347.8052659147488"/>
    <n v="-2881.5701930246541"/>
    <n v="14352.564112730515"/>
    <n v="13154.225957418239"/>
    <n v="12315.01981279609"/>
    <n v="11448.51314273802"/>
    <n v="10105.162978168182"/>
    <n v="7773.0034109074768"/>
    <n v="2867.9236716362084"/>
  </r>
  <r>
    <x v="2"/>
    <x v="2"/>
    <n v="5.0000000000000001E-3"/>
    <s v="Option"/>
    <s v="JPY"/>
    <n v="-20"/>
    <x v="26"/>
    <s v="Call"/>
    <d v="2010-06-18T00:00:00"/>
    <n v="0.32811057320454412"/>
    <n v="5.0000000000000001E-3"/>
    <n v="362.50006316623876"/>
    <n v="-7250.0012633247752"/>
    <s v="JP Horgan"/>
    <m/>
    <n v="2956.4549297354911"/>
    <n v="7974.4667038571006"/>
    <n v="22.795867821988697"/>
    <n v="2811.2702220085002"/>
    <n v="-2.3470987921778925"/>
    <n v="11.29969380231537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x v="2"/>
    <n v="5.0000000000000001E-3"/>
    <s v="Option"/>
    <s v="JPY"/>
    <n v="5"/>
    <x v="24"/>
    <s v="Put"/>
    <d v="2010-06-18T00:00:00"/>
    <n v="0.48413924786865792"/>
    <n v="5.0000000000000001E-3"/>
    <n v="571.29818452504742"/>
    <n v="2856.4909226252371"/>
    <s v="Exch"/>
    <m/>
    <n v="-2519.8719715572929"/>
    <n v="4993.3610176188577"/>
    <n v="21.061898385625238"/>
    <n v="1013.8209279742146"/>
    <n v="-3.1987436965611598"/>
    <n v="-13.465645337454575"/>
    <n v="-12599.359857786465"/>
    <n v="24966.80508809429"/>
    <n v="105.30949192812619"/>
    <n v="5069.1046398710732"/>
    <n v="-15.993718482805798"/>
    <n v="-67.328226687272874"/>
    <n v="3723.8645277164483"/>
    <n v="1535.6536798475736"/>
    <n v="695.63014172626254"/>
    <n v="262.18060868355224"/>
    <n v="-242.20526928958861"/>
    <n v="-570.72305158942982"/>
    <n v="-1035.2038068987292"/>
    <n v="-1712.1695290011519"/>
    <n v="-1020.9580948295229"/>
    <n v="-519.44421816853037"/>
    <n v="-209.55877944503982"/>
    <n v="-105.05034303243065"/>
    <n v="105.55745117050492"/>
    <n v="211.58958693930344"/>
    <n v="532.24142184170432"/>
    <n v="1073.6860226907675"/>
    <n v="3197.9006770579167"/>
    <n v="3513.3641050472784"/>
    <n v="3723.8645277164483"/>
    <n v="3934.4569120732876"/>
    <n v="4250.4207282705102"/>
    <n v="4776.917665505739"/>
    <n v="5827.8718850898877"/>
    <n v="976.51433426070753"/>
    <n v="1311.9086994951135"/>
    <n v="1535.6536798475736"/>
    <n v="1759.4586223950546"/>
    <n v="2095.184428909065"/>
    <n v="2654.4751639790388"/>
    <n v="3770.5150161561437"/>
    <n v="149.01625560522007"/>
    <n v="476.1947994283787"/>
    <n v="695.63014172626254"/>
    <n v="915.93526847406793"/>
    <n v="1247.7376989613458"/>
    <n v="1803.4368050403873"/>
    <n v="2920.477762104922"/>
    <n v="-519.44421816853037"/>
    <n v="-209.55877944503982"/>
    <n v="0"/>
    <n v="211.58958693930344"/>
    <n v="532.24142184170432"/>
    <n v="1073.6860226907675"/>
    <n v="2174.4706373232884"/>
    <n v="-1052.5778015164474"/>
    <n v="-766.36018365579503"/>
    <n v="-570.72305158942982"/>
    <n v="-371.72515942151222"/>
    <n v="-67.723294782392713"/>
    <n v="451.10473130264381"/>
    <n v="1521.55347839265"/>
    <n v="-1473.0542329291904"/>
    <n v="-1214.3278639218408"/>
    <n v="-1035.2038068987292"/>
    <n v="-851.38493468933689"/>
    <n v="-567.85847528130716"/>
    <n v="-77.763364726542932"/>
    <n v="951.39044507455992"/>
    <n v="-2055.8150689972454"/>
    <n v="-1855.3108205573221"/>
    <n v="-1712.1695290011519"/>
    <n v="-1562.1240853806546"/>
    <n v="-1325.2776240063031"/>
    <n v="-903.11675047820017"/>
    <n v="21.805455057743757"/>
  </r>
  <r>
    <x v="2"/>
    <x v="2"/>
    <n v="5.0000000000000001E-3"/>
    <s v="Option"/>
    <s v="JPY"/>
    <n v="-20"/>
    <x v="26"/>
    <s v="Call"/>
    <d v="2010-06-18T00:00:00"/>
    <n v="0.32811057320454412"/>
    <n v="5.0000000000000001E-3"/>
    <n v="362.50006316623876"/>
    <n v="-7250.0012633247752"/>
    <s v="Exch"/>
    <m/>
    <n v="2956.4549297354911"/>
    <n v="7974.4667038571006"/>
    <n v="22.795867821988697"/>
    <n v="2811.2702220085002"/>
    <n v="-2.3470987921778925"/>
    <n v="11.29969380231537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x v="2"/>
    <n v="5.0000000000000001E-3"/>
    <s v="Option"/>
    <s v="JPY"/>
    <n v="-10"/>
    <x v="27"/>
    <s v="Put"/>
    <d v="2010-09-17T00:00:00"/>
    <n v="0.34752036702571659"/>
    <n v="7.4999999999999997E-3"/>
    <n v="972.67276766229679"/>
    <n v="-9726.7276766229679"/>
    <s v="Darklays Capital"/>
    <m/>
    <n v="-3985.6913428553635"/>
    <n v="6704.0350970420877"/>
    <n v="31.914914212018527"/>
    <n v="-74.758062721330873"/>
    <n v="-2.1709308576052182"/>
    <n v="-33.96139801724425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5"/>
    <x v="28"/>
    <s v="Put"/>
    <d v="2010-09-17T00:00:00"/>
    <n v="0.5752835905302579"/>
    <n v="7.4999999999999997E-3"/>
    <n v="710.92406048627072"/>
    <n v="-3554.6203024313536"/>
    <s v="Exch"/>
    <m/>
    <n v="-2064.2786200217561"/>
    <n v="2994.6533813990309"/>
    <n v="23.599656844449488"/>
    <n v="1147.2250857243289"/>
    <n v="-2.6865521416535634"/>
    <n v="-19.008237537726213"/>
    <n v="10321.39310010878"/>
    <n v="-14973.266906995155"/>
    <n v="-117.99828422224743"/>
    <n v="-5736.1254286216445"/>
    <n v="13.432760708267818"/>
    <n v="95.041187688631069"/>
    <n v="-2782.5442581276047"/>
    <n v="-1196.1388060561967"/>
    <n v="-555.24279372653837"/>
    <n v="-212.52683338490215"/>
    <n v="200.54594680744458"/>
    <n v="480.28780919706037"/>
    <n v="895.26320140453663"/>
    <n v="1562.6567727896497"/>
    <n v="1144.4861486031061"/>
    <n v="582.03290806376003"/>
    <n v="234.80105656497699"/>
    <n v="117.70552734298462"/>
    <n v="-118.27930331470498"/>
    <n v="-237.09812303578019"/>
    <n v="-596.47581482905935"/>
    <n v="-1203.5116178882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7"/>
    <s v="Put"/>
    <d v="2010-09-17T00:00:00"/>
    <n v="0.34752036702571659"/>
    <n v="7.4999999999999997E-3"/>
    <n v="972.67276766229679"/>
    <n v="-9726.7276766229679"/>
    <s v="JP Horgan"/>
    <m/>
    <n v="-3985.6913428553635"/>
    <n v="6704.0350970420877"/>
    <n v="31.914914212018527"/>
    <n v="-74.758062721330873"/>
    <n v="-2.1709308576052182"/>
    <n v="-33.96139801724425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9"/>
    <s v="Put"/>
    <d v="2010-09-17T00:00:00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n v="-25.394285371184083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9"/>
    <s v="Put"/>
    <d v="2010-09-17T00:00:00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n v="-25.394285371184083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76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75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74">
      <pivotArea dataOnly="0" labelOnly="1" grandRow="1" outline="0" fieldPosition="0"/>
    </format>
    <format dxfId="73">
      <pivotArea outline="0" fieldPosition="0"/>
    </format>
    <format dxfId="72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71">
      <pivotArea dataOnly="0" labelOnly="1" grandRow="1" outline="0" fieldPosition="0"/>
    </format>
    <format dxfId="70">
      <pivotArea outline="0" fieldPosition="0"/>
    </format>
    <format dxfId="69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79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78">
      <pivotArea outline="0" fieldPosition="0"/>
    </format>
    <format dxfId="77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86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85">
      <pivotArea outline="0" fieldPosition="0"/>
    </format>
    <format dxfId="84">
      <pivotArea dataOnly="0" labelOnly="1" outline="0" fieldPosition="0">
        <references count="1">
          <reference field="8" count="0"/>
        </references>
      </pivotArea>
    </format>
    <format dxfId="8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82">
      <pivotArea dataOnly="0" labelOnly="1" grandRow="1" outline="0" fieldPosition="0"/>
    </format>
    <format dxfId="81">
      <pivotArea outline="0" fieldPosition="0"/>
    </format>
    <format dxfId="80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58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7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6">
      <pivotArea dataOnly="0" labelOnly="1" grandRow="1" outline="0" fieldPosition="0"/>
    </format>
    <format dxfId="55">
      <pivotArea outline="0" fieldPosition="0"/>
    </format>
    <format dxfId="54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53">
      <pivotArea dataOnly="0" labelOnly="1" grandRow="1" outline="0" fieldPosition="0"/>
    </format>
    <format dxfId="52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64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63">
      <pivotArea outline="0" fieldPosition="0"/>
    </format>
    <format dxfId="62">
      <pivotArea dataOnly="0" labelOnly="1" outline="0" fieldPosition="0">
        <references count="1">
          <reference field="8" count="0"/>
        </references>
      </pivotArea>
    </format>
    <format dxfId="6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60">
      <pivotArea dataOnly="0" labelOnly="1" grandRow="1" outline="0" fieldPosition="0"/>
    </format>
    <format dxfId="59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68">
      <pivotArea outline="0" fieldPosition="0"/>
    </format>
    <format dxfId="67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66">
      <pivotArea dataOnly="0" labelOnly="1" grandRow="1" outline="0" fieldPosition="0"/>
    </format>
    <format dxfId="65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A4C0E-4F18-495A-946B-429CA252CA45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3:F79" firstHeaderRow="0" firstDataRow="1" firstDataCol="1"/>
  <pivotFields count="92">
    <pivotField axis="axisRow" showAll="0">
      <items count="4">
        <item x="2"/>
        <item x="0"/>
        <item x="1"/>
        <item t="default"/>
      </items>
    </pivotField>
    <pivotField dataField="1" showAll="0">
      <items count="4">
        <item x="0"/>
        <item x="1"/>
        <item x="2"/>
        <item t="default"/>
      </items>
    </pivotField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numFmtId="164" showAll="0"/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6"/>
  </rowFields>
  <rowItems count="36">
    <i>
      <x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29"/>
    </i>
    <i>
      <x v="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Underlying Price" fld="1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0D8E4-173E-46BC-9EEA-AE86ECEFF237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39" firstHeaderRow="0" firstDataRow="1" firstDataCol="1"/>
  <pivotFields count="92">
    <pivotField axis="axisRow" showAll="0">
      <items count="4">
        <item x="2"/>
        <item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numFmtId="164" showAll="0"/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numFmtId="168" showAll="0"/>
    <pivotField numFmtId="168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6"/>
  </rowFields>
  <rowItems count="36">
    <i>
      <x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29"/>
    </i>
    <i>
      <x v="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d -20%, ImpVol -5%" fld="43" baseField="0" baseItem="0"/>
    <dataField name="Sum of Und -20%, ImpVol 20%" fld="49" baseField="0" baseItem="0"/>
  </dataFields>
  <formats count="4">
    <format dxfId="51">
      <pivotArea outline="0" collapsedLevelsAreSubtotals="1" fieldPosition="0"/>
    </format>
    <format dxfId="50">
      <pivotArea dataOnly="0" labelOnly="1" fieldPosition="0">
        <references count="2">
          <reference field="0" count="1" selected="0">
            <x v="0"/>
          </reference>
          <reference field="6" count="10"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49">
      <pivotArea dataOnly="0" labelOnly="1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48">
      <pivotArea dataOnly="0" labelOnly="1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3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 x14ac:dyDescent="0.35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 x14ac:dyDescent="0.35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 x14ac:dyDescent="0.35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 x14ac:dyDescent="0.35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 x14ac:dyDescent="0.35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 x14ac:dyDescent="0.35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 x14ac:dyDescent="0.35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 x14ac:dyDescent="0.35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 x14ac:dyDescent="0.35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 x14ac:dyDescent="0.35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 x14ac:dyDescent="0.35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 x14ac:dyDescent="0.35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8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 x14ac:dyDescent="0.35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 x14ac:dyDescent="0.35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 x14ac:dyDescent="0.35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 x14ac:dyDescent="0.35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 x14ac:dyDescent="0.35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 x14ac:dyDescent="0.35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 x14ac:dyDescent="0.35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 x14ac:dyDescent="0.35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 x14ac:dyDescent="0.35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 x14ac:dyDescent="0.35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 x14ac:dyDescent="0.35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 x14ac:dyDescent="0.35">
      <c r="C43" s="75" t="s">
        <v>7</v>
      </c>
      <c r="D43" s="83">
        <v>0</v>
      </c>
      <c r="E43" s="84"/>
      <c r="F43" s="84"/>
      <c r="G43" s="85">
        <v>0</v>
      </c>
    </row>
    <row r="44" spans="3:7" x14ac:dyDescent="0.35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 x14ac:dyDescent="0.3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 x14ac:dyDescent="0.35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 x14ac:dyDescent="0.35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 x14ac:dyDescent="0.35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 x14ac:dyDescent="0.35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 x14ac:dyDescent="0.35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 x14ac:dyDescent="0.35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 x14ac:dyDescent="0.35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 x14ac:dyDescent="0.35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 x14ac:dyDescent="0.35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 x14ac:dyDescent="0.35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 x14ac:dyDescent="0.35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 x14ac:dyDescent="0.35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11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 x14ac:dyDescent="0.35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 x14ac:dyDescent="0.35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 x14ac:dyDescent="0.35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 x14ac:dyDescent="0.35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 x14ac:dyDescent="0.35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 x14ac:dyDescent="0.35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 x14ac:dyDescent="0.35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 x14ac:dyDescent="0.35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 x14ac:dyDescent="0.35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 x14ac:dyDescent="0.35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 x14ac:dyDescent="0.35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 x14ac:dyDescent="0.35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 x14ac:dyDescent="0.35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7E31-FE9D-45B6-8081-98A6AF54A395}">
  <dimension ref="A3:H79"/>
  <sheetViews>
    <sheetView tabSelected="1" topLeftCell="C29" workbookViewId="0">
      <selection activeCell="G45" sqref="G45:G79"/>
    </sheetView>
  </sheetViews>
  <sheetFormatPr defaultRowHeight="12.75" x14ac:dyDescent="0.35"/>
  <cols>
    <col min="1" max="1" width="13.1328125" bestFit="1" customWidth="1"/>
    <col min="2" max="2" width="18.19921875" bestFit="1" customWidth="1"/>
    <col min="3" max="3" width="20.59765625" bestFit="1" customWidth="1"/>
    <col min="4" max="4" width="20.19921875" bestFit="1" customWidth="1"/>
    <col min="5" max="5" width="17.73046875" bestFit="1" customWidth="1"/>
    <col min="6" max="7" width="22.46484375" bestFit="1" customWidth="1"/>
    <col min="8" max="8" width="20.19921875" bestFit="1" customWidth="1"/>
    <col min="9" max="9" width="17.73046875" bestFit="1" customWidth="1"/>
    <col min="10" max="10" width="8.46484375" bestFit="1" customWidth="1"/>
    <col min="11" max="11" width="11.46484375" bestFit="1" customWidth="1"/>
  </cols>
  <sheetData>
    <row r="3" spans="1:3" x14ac:dyDescent="0.35">
      <c r="A3" s="96" t="s">
        <v>127</v>
      </c>
      <c r="B3" t="s">
        <v>128</v>
      </c>
      <c r="C3" t="s">
        <v>129</v>
      </c>
    </row>
    <row r="4" spans="1:3" x14ac:dyDescent="0.35">
      <c r="A4" s="3" t="s">
        <v>116</v>
      </c>
      <c r="B4" s="102">
        <v>-55690.92804107994</v>
      </c>
      <c r="C4" s="102">
        <v>-124054.13701374977</v>
      </c>
    </row>
    <row r="5" spans="1:3" x14ac:dyDescent="0.35">
      <c r="A5" s="102">
        <v>7617</v>
      </c>
      <c r="B5" s="102"/>
      <c r="C5" s="102"/>
    </row>
    <row r="6" spans="1:3" x14ac:dyDescent="0.35">
      <c r="A6" s="102">
        <v>8519</v>
      </c>
      <c r="B6" s="102">
        <v>43158.273647925402</v>
      </c>
      <c r="C6" s="102">
        <v>66349.707809697313</v>
      </c>
    </row>
    <row r="7" spans="1:3" x14ac:dyDescent="0.35">
      <c r="A7" s="102">
        <v>8819</v>
      </c>
      <c r="B7" s="102"/>
      <c r="C7" s="102"/>
    </row>
    <row r="8" spans="1:3" x14ac:dyDescent="0.35">
      <c r="A8" s="102">
        <v>9120</v>
      </c>
      <c r="B8" s="102">
        <v>-66433.001979480337</v>
      </c>
      <c r="C8" s="102">
        <v>-94810.6270783254</v>
      </c>
    </row>
    <row r="9" spans="1:3" x14ac:dyDescent="0.35">
      <c r="A9" s="102">
        <v>9721</v>
      </c>
      <c r="B9" s="102"/>
      <c r="C9" s="102"/>
    </row>
    <row r="10" spans="1:3" x14ac:dyDescent="0.35">
      <c r="A10" s="102">
        <v>10022</v>
      </c>
      <c r="B10" s="102">
        <v>-50400.472489120999</v>
      </c>
      <c r="C10" s="102">
        <v>-83163.017907919333</v>
      </c>
    </row>
    <row r="11" spans="1:3" x14ac:dyDescent="0.35">
      <c r="A11" s="102">
        <v>10323</v>
      </c>
      <c r="B11" s="102">
        <v>-8375.3875620145991</v>
      </c>
      <c r="C11" s="102">
        <v>-21142.433200000778</v>
      </c>
    </row>
    <row r="12" spans="1:3" x14ac:dyDescent="0.35">
      <c r="A12" s="102">
        <v>11225</v>
      </c>
      <c r="B12" s="102">
        <v>-7531.8399443419785</v>
      </c>
      <c r="C12" s="102">
        <v>-15615.976058477194</v>
      </c>
    </row>
    <row r="13" spans="1:3" x14ac:dyDescent="0.35">
      <c r="A13" s="102">
        <v>11525</v>
      </c>
      <c r="B13" s="102">
        <v>13866.162715800179</v>
      </c>
      <c r="C13" s="102">
        <v>4302.8718511232182</v>
      </c>
    </row>
    <row r="14" spans="1:3" x14ac:dyDescent="0.35">
      <c r="A14" s="102" t="s">
        <v>7</v>
      </c>
      <c r="B14" s="102">
        <v>20025.337570152387</v>
      </c>
      <c r="C14" s="102">
        <v>20025.337570152387</v>
      </c>
    </row>
    <row r="15" spans="1:3" x14ac:dyDescent="0.35">
      <c r="A15" s="3" t="s">
        <v>104</v>
      </c>
      <c r="B15" s="102">
        <v>-12332.374099725981</v>
      </c>
      <c r="C15" s="102">
        <v>-26018.831478947082</v>
      </c>
    </row>
    <row r="16" spans="1:3" x14ac:dyDescent="0.35">
      <c r="A16" s="102">
        <v>902</v>
      </c>
      <c r="B16" s="102">
        <v>3091.8548490471408</v>
      </c>
      <c r="C16" s="102">
        <v>5938.8722137930272</v>
      </c>
    </row>
    <row r="17" spans="1:3" x14ac:dyDescent="0.35">
      <c r="A17" s="102">
        <v>935</v>
      </c>
      <c r="B17" s="102">
        <v>16526.450922374497</v>
      </c>
      <c r="C17" s="102">
        <v>24958.916006484014</v>
      </c>
    </row>
    <row r="18" spans="1:3" x14ac:dyDescent="0.35">
      <c r="A18" s="102">
        <v>1001</v>
      </c>
      <c r="B18" s="102">
        <v>-7107.1815306761318</v>
      </c>
      <c r="C18" s="102">
        <v>-12567.627041857599</v>
      </c>
    </row>
    <row r="19" spans="1:3" x14ac:dyDescent="0.35">
      <c r="A19" s="102">
        <v>1034</v>
      </c>
      <c r="B19" s="102">
        <v>-16621.78102288182</v>
      </c>
      <c r="C19" s="102">
        <v>-21543.85364847456</v>
      </c>
    </row>
    <row r="20" spans="1:3" x14ac:dyDescent="0.35">
      <c r="A20" s="102">
        <v>1067</v>
      </c>
      <c r="B20" s="102">
        <v>82.560554161545952</v>
      </c>
      <c r="C20" s="102">
        <v>-6478.7844349881689</v>
      </c>
    </row>
    <row r="21" spans="1:3" x14ac:dyDescent="0.35">
      <c r="A21" s="102">
        <v>1100</v>
      </c>
      <c r="B21" s="102">
        <v>-2590.929214968899</v>
      </c>
      <c r="C21" s="102">
        <v>-10247.959506380337</v>
      </c>
    </row>
    <row r="22" spans="1:3" x14ac:dyDescent="0.35">
      <c r="A22" s="102">
        <v>1232</v>
      </c>
      <c r="B22" s="102">
        <v>2619.0504945189027</v>
      </c>
      <c r="C22" s="102">
        <v>83.675647128744913</v>
      </c>
    </row>
    <row r="23" spans="1:3" x14ac:dyDescent="0.35">
      <c r="A23" s="102">
        <v>1298</v>
      </c>
      <c r="B23" s="102">
        <v>-1553.0479244884082</v>
      </c>
      <c r="C23" s="102">
        <v>-405.92002971942736</v>
      </c>
    </row>
    <row r="24" spans="1:3" x14ac:dyDescent="0.35">
      <c r="A24" s="102">
        <v>1331</v>
      </c>
      <c r="B24" s="102">
        <v>-1299.806245851843</v>
      </c>
      <c r="C24" s="102">
        <v>-276.60570397181061</v>
      </c>
    </row>
    <row r="25" spans="1:3" x14ac:dyDescent="0.35">
      <c r="A25" s="102" t="s">
        <v>7</v>
      </c>
      <c r="B25" s="102">
        <v>-5479.5449809609663</v>
      </c>
      <c r="C25" s="102">
        <v>-5479.5449809609663</v>
      </c>
    </row>
    <row r="26" spans="1:3" x14ac:dyDescent="0.35">
      <c r="A26" s="3" t="s">
        <v>1</v>
      </c>
      <c r="B26" s="102">
        <v>-37688.238742922513</v>
      </c>
      <c r="C26" s="102">
        <v>-62033.873439151263</v>
      </c>
    </row>
    <row r="27" spans="1:3" x14ac:dyDescent="0.35">
      <c r="A27" s="102">
        <v>2469</v>
      </c>
      <c r="B27" s="102">
        <v>16260.253712910264</v>
      </c>
      <c r="C27" s="102">
        <v>25200.546783239024</v>
      </c>
    </row>
    <row r="28" spans="1:3" x14ac:dyDescent="0.35">
      <c r="A28" s="102">
        <v>2556</v>
      </c>
      <c r="B28" s="102">
        <v>-6931.1781478112671</v>
      </c>
      <c r="C28" s="102">
        <v>-9349.5937388688999</v>
      </c>
    </row>
    <row r="29" spans="1:3" x14ac:dyDescent="0.35">
      <c r="A29" s="102">
        <v>2731</v>
      </c>
      <c r="B29" s="102">
        <v>-4987.7919434871637</v>
      </c>
      <c r="C29" s="102">
        <v>-8620.5979978782398</v>
      </c>
    </row>
    <row r="30" spans="1:3" x14ac:dyDescent="0.35">
      <c r="A30" s="102">
        <v>2818</v>
      </c>
      <c r="B30" s="102">
        <v>-5253.4446901845022</v>
      </c>
      <c r="C30" s="102">
        <v>-12692.920702819258</v>
      </c>
    </row>
    <row r="31" spans="1:3" x14ac:dyDescent="0.35">
      <c r="A31" s="102">
        <v>2905</v>
      </c>
      <c r="B31" s="102">
        <v>-11883.892414830956</v>
      </c>
      <c r="C31" s="102">
        <v>-16135.977678987347</v>
      </c>
    </row>
    <row r="32" spans="1:3" x14ac:dyDescent="0.35">
      <c r="A32" s="102">
        <v>2992</v>
      </c>
      <c r="B32" s="102">
        <v>-13968.65978673598</v>
      </c>
      <c r="C32" s="102">
        <v>-17021.854884654469</v>
      </c>
    </row>
    <row r="33" spans="1:8" x14ac:dyDescent="0.35">
      <c r="A33" s="102">
        <v>3079</v>
      </c>
      <c r="B33" s="102">
        <v>6621.3400052521411</v>
      </c>
      <c r="C33" s="102">
        <v>-1628.6769484910865</v>
      </c>
    </row>
    <row r="34" spans="1:8" x14ac:dyDescent="0.35">
      <c r="A34" s="102">
        <v>3166</v>
      </c>
      <c r="B34" s="102">
        <v>3769.2397851730602</v>
      </c>
      <c r="C34" s="102">
        <v>2053.563948546991</v>
      </c>
    </row>
    <row r="35" spans="1:8" x14ac:dyDescent="0.35">
      <c r="A35" s="102">
        <v>3254</v>
      </c>
      <c r="B35" s="102">
        <v>-1165.495353893476</v>
      </c>
      <c r="C35" s="102">
        <v>-1370.8472623900284</v>
      </c>
    </row>
    <row r="36" spans="1:8" x14ac:dyDescent="0.35">
      <c r="A36" s="102">
        <v>3341</v>
      </c>
      <c r="B36" s="102">
        <v>-6906.7698965539366</v>
      </c>
      <c r="C36" s="102">
        <v>-10450.789451000364</v>
      </c>
    </row>
    <row r="37" spans="1:8" x14ac:dyDescent="0.35">
      <c r="A37" s="102">
        <v>3428</v>
      </c>
      <c r="B37" s="102">
        <v>-1669.3686273113308</v>
      </c>
      <c r="C37" s="102">
        <v>-444.25412039822049</v>
      </c>
    </row>
    <row r="38" spans="1:8" x14ac:dyDescent="0.35">
      <c r="A38" s="102" t="s">
        <v>7</v>
      </c>
      <c r="B38" s="102">
        <v>-11572.471385449362</v>
      </c>
      <c r="C38" s="102">
        <v>-11572.471385449362</v>
      </c>
    </row>
    <row r="39" spans="1:8" x14ac:dyDescent="0.35">
      <c r="A39" s="3" t="s">
        <v>6</v>
      </c>
      <c r="B39" s="102">
        <v>-105711.54088372843</v>
      </c>
      <c r="C39" s="102">
        <v>-212106.84193184806</v>
      </c>
    </row>
    <row r="43" spans="1:8" x14ac:dyDescent="0.35">
      <c r="A43" s="96" t="s">
        <v>127</v>
      </c>
      <c r="B43" t="s">
        <v>9</v>
      </c>
      <c r="C43" t="s">
        <v>10</v>
      </c>
      <c r="D43" t="s">
        <v>2</v>
      </c>
      <c r="E43" t="s">
        <v>4</v>
      </c>
      <c r="F43" t="s">
        <v>131</v>
      </c>
      <c r="G43" t="s">
        <v>130</v>
      </c>
      <c r="H43" t="s">
        <v>132</v>
      </c>
    </row>
    <row r="44" spans="1:8" x14ac:dyDescent="0.35">
      <c r="A44" s="3" t="s">
        <v>116</v>
      </c>
      <c r="B44" s="102">
        <v>9393.5616863319883</v>
      </c>
      <c r="C44" s="102">
        <v>-2700146.2946259687</v>
      </c>
      <c r="D44" s="102">
        <v>-6814.8133109833288</v>
      </c>
      <c r="E44" s="102">
        <v>-158751.49297538208</v>
      </c>
      <c r="F44" s="102">
        <v>260572</v>
      </c>
    </row>
    <row r="45" spans="1:8" x14ac:dyDescent="0.35">
      <c r="A45" s="101">
        <v>7617</v>
      </c>
      <c r="B45" s="102">
        <v>10321.39310010878</v>
      </c>
      <c r="C45" s="102">
        <v>-14973.266906995155</v>
      </c>
      <c r="D45" s="102">
        <v>-117.99828422224743</v>
      </c>
      <c r="E45" s="102">
        <v>-5736.1254286216445</v>
      </c>
      <c r="F45" s="102">
        <v>10022</v>
      </c>
    </row>
    <row r="46" spans="1:8" x14ac:dyDescent="0.35">
      <c r="A46" s="101">
        <v>8519</v>
      </c>
      <c r="B46" s="102">
        <v>-136413.29783060902</v>
      </c>
      <c r="C46" s="102">
        <v>396325.09472242824</v>
      </c>
      <c r="D46" s="102">
        <v>844.39324814867746</v>
      </c>
      <c r="E46" s="102">
        <v>71958.449276124447</v>
      </c>
      <c r="F46" s="102">
        <v>30066</v>
      </c>
    </row>
    <row r="47" spans="1:8" x14ac:dyDescent="0.35">
      <c r="A47" s="101">
        <v>8819</v>
      </c>
      <c r="B47" s="102">
        <v>58484.783223673468</v>
      </c>
      <c r="C47" s="102">
        <v>-98130.32782432856</v>
      </c>
      <c r="D47" s="102">
        <v>-568.41821045715176</v>
      </c>
      <c r="E47" s="102">
        <v>-14316.532281806602</v>
      </c>
      <c r="F47" s="102">
        <v>20044</v>
      </c>
    </row>
    <row r="48" spans="1:8" x14ac:dyDescent="0.35">
      <c r="A48" s="101">
        <v>9120</v>
      </c>
      <c r="B48" s="102">
        <v>222356.28922653868</v>
      </c>
      <c r="C48" s="102">
        <v>-577457.54015971511</v>
      </c>
      <c r="D48" s="102">
        <v>-1322.2908744386671</v>
      </c>
      <c r="E48" s="102">
        <v>-44958.850360179691</v>
      </c>
      <c r="F48" s="102">
        <v>50110</v>
      </c>
    </row>
    <row r="49" spans="1:6" x14ac:dyDescent="0.35">
      <c r="A49" s="101">
        <v>9721</v>
      </c>
      <c r="B49" s="102">
        <v>79713.826857107269</v>
      </c>
      <c r="C49" s="102">
        <v>-134080.70194084174</v>
      </c>
      <c r="D49" s="102">
        <v>-638.29828424037055</v>
      </c>
      <c r="E49" s="102">
        <v>1495.1612544266175</v>
      </c>
      <c r="F49" s="102">
        <v>20044</v>
      </c>
    </row>
    <row r="50" spans="1:6" x14ac:dyDescent="0.35">
      <c r="A50" s="101">
        <v>10022</v>
      </c>
      <c r="B50" s="102">
        <v>55623.840802923893</v>
      </c>
      <c r="C50" s="102">
        <v>-1105850.3244394606</v>
      </c>
      <c r="D50" s="102">
        <v>-2292.8722828059863</v>
      </c>
      <c r="E50" s="102">
        <v>6744.4809597486519</v>
      </c>
      <c r="F50" s="102">
        <v>50110</v>
      </c>
    </row>
    <row r="51" spans="1:6" x14ac:dyDescent="0.35">
      <c r="A51" s="101">
        <v>10323</v>
      </c>
      <c r="B51" s="102">
        <v>-60314.81701226221</v>
      </c>
      <c r="C51" s="102">
        <v>-594275.66834671667</v>
      </c>
      <c r="D51" s="102">
        <v>-1081.9912240932879</v>
      </c>
      <c r="E51" s="102">
        <v>-4264.6592179226727</v>
      </c>
      <c r="F51" s="102">
        <v>30066</v>
      </c>
    </row>
    <row r="52" spans="1:6" x14ac:dyDescent="0.35">
      <c r="A52" s="101">
        <v>11225</v>
      </c>
      <c r="B52" s="102">
        <v>-1993.5716409672605</v>
      </c>
      <c r="C52" s="102">
        <v>-252724.89157605497</v>
      </c>
      <c r="D52" s="102">
        <v>-725.50268599474748</v>
      </c>
      <c r="E52" s="102">
        <v>-57222.608296811159</v>
      </c>
      <c r="F52" s="102">
        <v>20044</v>
      </c>
    </row>
    <row r="53" spans="1:6" x14ac:dyDescent="0.35">
      <c r="A53" s="101">
        <v>11525</v>
      </c>
      <c r="B53" s="102">
        <v>-118258.19718941965</v>
      </c>
      <c r="C53" s="102">
        <v>-318978.66815428401</v>
      </c>
      <c r="D53" s="102">
        <v>-911.83471287954785</v>
      </c>
      <c r="E53" s="102">
        <v>-112450.80888034002</v>
      </c>
      <c r="F53" s="102">
        <v>20044</v>
      </c>
    </row>
    <row r="54" spans="1:6" x14ac:dyDescent="0.35">
      <c r="A54" s="101" t="s">
        <v>7</v>
      </c>
      <c r="B54" s="102">
        <v>-100126.68785076198</v>
      </c>
      <c r="C54" s="102">
        <v>0</v>
      </c>
      <c r="D54" s="102">
        <v>0</v>
      </c>
      <c r="E54" s="102">
        <v>0</v>
      </c>
      <c r="F54" s="102">
        <v>10022</v>
      </c>
    </row>
    <row r="55" spans="1:6" x14ac:dyDescent="0.35">
      <c r="A55" s="3" t="s">
        <v>104</v>
      </c>
      <c r="B55" s="102">
        <v>28775.302900020841</v>
      </c>
      <c r="C55" s="102">
        <v>-201241.20623928934</v>
      </c>
      <c r="D55" s="102">
        <v>-864.13894103889709</v>
      </c>
      <c r="E55" s="102">
        <v>63242.24890544243</v>
      </c>
      <c r="F55" s="102">
        <v>31900</v>
      </c>
    </row>
    <row r="56" spans="1:6" x14ac:dyDescent="0.35">
      <c r="A56" s="101">
        <v>902</v>
      </c>
      <c r="B56" s="102">
        <v>-12443.071955500263</v>
      </c>
      <c r="C56" s="102">
        <v>24088.964835912655</v>
      </c>
      <c r="D56" s="102">
        <v>108.79431816380335</v>
      </c>
      <c r="E56" s="102">
        <v>6292.354869180369</v>
      </c>
      <c r="F56" s="102">
        <v>2200</v>
      </c>
    </row>
    <row r="57" spans="1:6" x14ac:dyDescent="0.35">
      <c r="A57" s="101">
        <v>935</v>
      </c>
      <c r="B57" s="102">
        <v>-51196.065773454873</v>
      </c>
      <c r="C57" s="102">
        <v>153554.85887913461</v>
      </c>
      <c r="D57" s="102">
        <v>304.68443916024142</v>
      </c>
      <c r="E57" s="102">
        <v>27260.704022411064</v>
      </c>
      <c r="F57" s="102">
        <v>2200</v>
      </c>
    </row>
    <row r="58" spans="1:6" x14ac:dyDescent="0.35">
      <c r="A58" s="101">
        <v>1001</v>
      </c>
      <c r="B58" s="102">
        <v>17751.623927596913</v>
      </c>
      <c r="C58" s="102">
        <v>-97624.487268768702</v>
      </c>
      <c r="D58" s="102">
        <v>-254.99418840776275</v>
      </c>
      <c r="E58" s="102">
        <v>-7339.0270738171284</v>
      </c>
      <c r="F58" s="102">
        <v>4400</v>
      </c>
    </row>
    <row r="59" spans="1:6" x14ac:dyDescent="0.35">
      <c r="A59" s="101">
        <v>1034</v>
      </c>
      <c r="B59" s="102">
        <v>54596.94700790623</v>
      </c>
      <c r="C59" s="102">
        <v>-146181.06558333596</v>
      </c>
      <c r="D59" s="102">
        <v>-270.79946893913097</v>
      </c>
      <c r="E59" s="102">
        <v>-4786.1019727345638</v>
      </c>
      <c r="F59" s="102">
        <v>6600</v>
      </c>
    </row>
    <row r="60" spans="1:6" x14ac:dyDescent="0.35">
      <c r="A60" s="101">
        <v>1067</v>
      </c>
      <c r="B60" s="102">
        <v>-10436.935327729061</v>
      </c>
      <c r="C60" s="102">
        <v>-73493.496720134746</v>
      </c>
      <c r="D60" s="102">
        <v>-347.77809112600107</v>
      </c>
      <c r="E60" s="102">
        <v>1039.2413374442203</v>
      </c>
      <c r="F60" s="102">
        <v>2200</v>
      </c>
    </row>
    <row r="61" spans="1:6" x14ac:dyDescent="0.35">
      <c r="A61" s="101">
        <v>1100</v>
      </c>
      <c r="B61" s="102">
        <v>-7820.1348987727979</v>
      </c>
      <c r="C61" s="102">
        <v>-130650.85112167386</v>
      </c>
      <c r="D61" s="102">
        <v>-463.03178668504268</v>
      </c>
      <c r="E61" s="102">
        <v>2108.0840243207749</v>
      </c>
      <c r="F61" s="102">
        <v>6600</v>
      </c>
    </row>
    <row r="62" spans="1:6" x14ac:dyDescent="0.35">
      <c r="A62" s="101">
        <v>1232</v>
      </c>
      <c r="B62" s="102">
        <v>-14775.057762905857</v>
      </c>
      <c r="C62" s="102">
        <v>-8105.8827826500637</v>
      </c>
      <c r="D62" s="102">
        <v>-162.19384638828802</v>
      </c>
      <c r="E62" s="102">
        <v>-6798.9121898219973</v>
      </c>
      <c r="F62" s="102">
        <v>4400</v>
      </c>
    </row>
    <row r="63" spans="1:6" x14ac:dyDescent="0.35">
      <c r="A63" s="101">
        <v>1298</v>
      </c>
      <c r="B63" s="102">
        <v>13786.085214490433</v>
      </c>
      <c r="C63" s="102">
        <v>40219.774171795339</v>
      </c>
      <c r="D63" s="102">
        <v>115.0414543781245</v>
      </c>
      <c r="E63" s="102">
        <v>20574.988984007585</v>
      </c>
      <c r="F63" s="102">
        <v>1100</v>
      </c>
    </row>
    <row r="64" spans="1:6" x14ac:dyDescent="0.35">
      <c r="A64" s="101">
        <v>1331</v>
      </c>
      <c r="B64" s="102">
        <v>11914.187563585278</v>
      </c>
      <c r="C64" s="102">
        <v>36950.979350431393</v>
      </c>
      <c r="D64" s="102">
        <v>106.13822880515906</v>
      </c>
      <c r="E64" s="102">
        <v>24890.916904452104</v>
      </c>
      <c r="F64" s="102">
        <v>1100</v>
      </c>
    </row>
    <row r="65" spans="1:6" x14ac:dyDescent="0.35">
      <c r="A65" s="101" t="s">
        <v>7</v>
      </c>
      <c r="B65" s="102">
        <v>27397.72490480484</v>
      </c>
      <c r="C65" s="102">
        <v>0</v>
      </c>
      <c r="D65" s="102">
        <v>0</v>
      </c>
      <c r="E65" s="102">
        <v>0</v>
      </c>
      <c r="F65" s="102">
        <v>1100</v>
      </c>
    </row>
    <row r="66" spans="1:6" x14ac:dyDescent="0.35">
      <c r="A66" s="3" t="s">
        <v>1</v>
      </c>
      <c r="B66" s="102">
        <v>44208.075925949408</v>
      </c>
      <c r="C66" s="102">
        <v>-862933.0957196966</v>
      </c>
      <c r="D66" s="102">
        <v>-2004.0554834847467</v>
      </c>
      <c r="E66" s="102">
        <v>-8524.2577920095937</v>
      </c>
      <c r="F66" s="102">
        <v>81340</v>
      </c>
    </row>
    <row r="67" spans="1:6" x14ac:dyDescent="0.35">
      <c r="A67" s="101">
        <v>2469</v>
      </c>
      <c r="B67" s="102">
        <v>-51929.534478311711</v>
      </c>
      <c r="C67" s="102">
        <v>148382.58848730309</v>
      </c>
      <c r="D67" s="102">
        <v>327.39078855753672</v>
      </c>
      <c r="E67" s="102">
        <v>27098.634022334409</v>
      </c>
      <c r="F67" s="102">
        <v>8715</v>
      </c>
    </row>
    <row r="68" spans="1:6" x14ac:dyDescent="0.35">
      <c r="A68" s="101">
        <v>2556</v>
      </c>
      <c r="B68" s="102">
        <v>20329.524050812739</v>
      </c>
      <c r="C68" s="102">
        <v>-66052.92551322245</v>
      </c>
      <c r="D68" s="102">
        <v>-95.821412148392767</v>
      </c>
      <c r="E68" s="102">
        <v>-8174.1083309518372</v>
      </c>
      <c r="F68" s="102">
        <v>8715</v>
      </c>
    </row>
    <row r="69" spans="1:6" x14ac:dyDescent="0.35">
      <c r="A69" s="101">
        <v>2731</v>
      </c>
      <c r="B69" s="102">
        <v>20532.989775758797</v>
      </c>
      <c r="C69" s="102">
        <v>-35054.113512681346</v>
      </c>
      <c r="D69" s="102">
        <v>-176.99081056019929</v>
      </c>
      <c r="E69" s="102">
        <v>-984.87949675383652</v>
      </c>
      <c r="F69" s="102">
        <v>8715</v>
      </c>
    </row>
    <row r="70" spans="1:6" x14ac:dyDescent="0.35">
      <c r="A70" s="101">
        <v>2818</v>
      </c>
      <c r="B70" s="102">
        <v>-5947.6029106488859</v>
      </c>
      <c r="C70" s="102">
        <v>-180533.75674739262</v>
      </c>
      <c r="D70" s="102">
        <v>-438.4305284686759</v>
      </c>
      <c r="E70" s="102">
        <v>-633.05066124971529</v>
      </c>
      <c r="F70" s="102">
        <v>5810</v>
      </c>
    </row>
    <row r="71" spans="1:6" x14ac:dyDescent="0.35">
      <c r="A71" s="101">
        <v>2905</v>
      </c>
      <c r="B71" s="102">
        <v>45515.032389019296</v>
      </c>
      <c r="C71" s="102">
        <v>-83880.536706355226</v>
      </c>
      <c r="D71" s="102">
        <v>-263.23921620696422</v>
      </c>
      <c r="E71" s="102">
        <v>1032.3971368888783</v>
      </c>
      <c r="F71" s="102">
        <v>5810</v>
      </c>
    </row>
    <row r="72" spans="1:6" x14ac:dyDescent="0.35">
      <c r="A72" s="101">
        <v>2992</v>
      </c>
      <c r="B72" s="102">
        <v>34890.535963027753</v>
      </c>
      <c r="C72" s="102">
        <v>-201032.36773977691</v>
      </c>
      <c r="D72" s="102">
        <v>-297.79913848365555</v>
      </c>
      <c r="E72" s="102">
        <v>-1663.5627625534808</v>
      </c>
      <c r="F72" s="102">
        <v>8715</v>
      </c>
    </row>
    <row r="73" spans="1:6" x14ac:dyDescent="0.35">
      <c r="A73" s="101">
        <v>3079</v>
      </c>
      <c r="B73" s="102">
        <v>-97431.991933598343</v>
      </c>
      <c r="C73" s="102">
        <v>-392788.09651131299</v>
      </c>
      <c r="D73" s="102">
        <v>-759.78085440517123</v>
      </c>
      <c r="E73" s="102">
        <v>-17200.212601934858</v>
      </c>
      <c r="F73" s="102">
        <v>11620</v>
      </c>
    </row>
    <row r="74" spans="1:6" x14ac:dyDescent="0.35">
      <c r="A74" s="101">
        <v>3166</v>
      </c>
      <c r="B74" s="102">
        <v>-35136.760268271704</v>
      </c>
      <c r="C74" s="102">
        <v>-104432.32886561175</v>
      </c>
      <c r="D74" s="102">
        <v>-186.00995460704189</v>
      </c>
      <c r="E74" s="102">
        <v>-10864.130539745862</v>
      </c>
      <c r="F74" s="102">
        <v>5810</v>
      </c>
    </row>
    <row r="75" spans="1:6" x14ac:dyDescent="0.35">
      <c r="A75" s="101">
        <v>3254</v>
      </c>
      <c r="B75" s="102">
        <v>19557.993418232145</v>
      </c>
      <c r="C75" s="102">
        <v>97682.776862289844</v>
      </c>
      <c r="D75" s="102">
        <v>67.452939991285405</v>
      </c>
      <c r="E75" s="102">
        <v>14854.788456666131</v>
      </c>
      <c r="F75" s="102">
        <v>5810</v>
      </c>
    </row>
    <row r="76" spans="1:6" x14ac:dyDescent="0.35">
      <c r="A76" s="101">
        <v>3341</v>
      </c>
      <c r="B76" s="102">
        <v>21198.82600469562</v>
      </c>
      <c r="C76" s="102">
        <v>-88013.916749329161</v>
      </c>
      <c r="D76" s="102">
        <v>-303.18871940535848</v>
      </c>
      <c r="E76" s="102">
        <v>-33207.830581760936</v>
      </c>
      <c r="F76" s="102">
        <v>5810</v>
      </c>
    </row>
    <row r="77" spans="1:6" x14ac:dyDescent="0.35">
      <c r="A77" s="101">
        <v>3428</v>
      </c>
      <c r="B77" s="102">
        <v>14766.706987986861</v>
      </c>
      <c r="C77" s="102">
        <v>42789.581276392935</v>
      </c>
      <c r="D77" s="102">
        <v>122.36142225189043</v>
      </c>
      <c r="E77" s="102">
        <v>21217.697567051517</v>
      </c>
      <c r="F77" s="102">
        <v>2905</v>
      </c>
    </row>
    <row r="78" spans="1:6" x14ac:dyDescent="0.35">
      <c r="A78" s="101" t="s">
        <v>7</v>
      </c>
      <c r="B78" s="102">
        <v>57862.356927246838</v>
      </c>
      <c r="C78" s="102">
        <v>0</v>
      </c>
      <c r="D78" s="102">
        <v>0</v>
      </c>
      <c r="E78" s="102">
        <v>0</v>
      </c>
      <c r="F78" s="102">
        <v>2905</v>
      </c>
    </row>
    <row r="79" spans="1:6" x14ac:dyDescent="0.35">
      <c r="A79" s="3" t="s">
        <v>6</v>
      </c>
      <c r="B79" s="102">
        <v>82376.94051230223</v>
      </c>
      <c r="C79" s="102">
        <v>-3764320.5965849557</v>
      </c>
      <c r="D79" s="102">
        <v>-9683.0077355069698</v>
      </c>
      <c r="E79" s="102">
        <v>-104033.50186194928</v>
      </c>
      <c r="F79" s="102">
        <v>373812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N87"/>
  <sheetViews>
    <sheetView showGridLines="0" workbookViewId="0">
      <pane xSplit="1" ySplit="4" topLeftCell="CH59" activePane="bottomRight" state="frozen"/>
      <selection pane="topRight" activeCell="B1" sqref="B1"/>
      <selection pane="bottomLeft" activeCell="A5" sqref="A5"/>
      <selection pane="bottomRight" activeCell="L7" sqref="L7"/>
    </sheetView>
  </sheetViews>
  <sheetFormatPr defaultRowHeight="12.75" x14ac:dyDescent="0.3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 x14ac:dyDescent="0.45">
      <c r="A1" s="8" t="s">
        <v>12</v>
      </c>
      <c r="B1" s="7">
        <v>40188</v>
      </c>
      <c r="L1" s="2"/>
      <c r="M1" s="2"/>
    </row>
    <row r="2" spans="1:92" ht="13.15" customHeight="1" thickBot="1" x14ac:dyDescent="0.4">
      <c r="L2" s="2"/>
      <c r="M2" s="2"/>
    </row>
    <row r="3" spans="1:92" ht="15.4" customHeight="1" thickBot="1" x14ac:dyDescent="0.45">
      <c r="AB3" s="97" t="s">
        <v>13</v>
      </c>
      <c r="AC3" s="98"/>
      <c r="AD3" s="98"/>
      <c r="AE3" s="98"/>
      <c r="AF3" s="98"/>
      <c r="AG3" s="98"/>
      <c r="AH3" s="98"/>
      <c r="AI3" s="99"/>
      <c r="AJ3" s="97" t="s">
        <v>14</v>
      </c>
      <c r="AK3" s="98"/>
      <c r="AL3" s="98"/>
      <c r="AM3" s="98"/>
      <c r="AN3" s="98"/>
      <c r="AO3" s="98"/>
      <c r="AP3" s="98"/>
      <c r="AQ3" s="99"/>
    </row>
    <row r="4" spans="1:92" s="21" customFormat="1" ht="10.5" customHeight="1" thickBot="1" x14ac:dyDescent="0.4">
      <c r="A4" s="22" t="s">
        <v>0</v>
      </c>
      <c r="B4" s="21" t="s">
        <v>15</v>
      </c>
      <c r="C4" s="53" t="s">
        <v>16</v>
      </c>
      <c r="D4" s="21" t="s">
        <v>17</v>
      </c>
      <c r="E4" s="21" t="s">
        <v>18</v>
      </c>
      <c r="F4" s="21" t="s">
        <v>19</v>
      </c>
      <c r="G4" s="21" t="s">
        <v>5</v>
      </c>
      <c r="H4" s="21" t="s">
        <v>20</v>
      </c>
      <c r="I4" s="23" t="s">
        <v>3</v>
      </c>
      <c r="J4" s="53" t="s">
        <v>21</v>
      </c>
      <c r="K4" s="29" t="s">
        <v>22</v>
      </c>
      <c r="L4" s="54" t="s">
        <v>23</v>
      </c>
      <c r="M4" s="54" t="s">
        <v>24</v>
      </c>
      <c r="N4" s="21" t="s">
        <v>25</v>
      </c>
      <c r="O4" s="21" t="s">
        <v>26</v>
      </c>
      <c r="P4" s="61" t="s">
        <v>27</v>
      </c>
      <c r="Q4" s="61" t="s">
        <v>28</v>
      </c>
      <c r="R4" s="57" t="s">
        <v>29</v>
      </c>
      <c r="S4" s="57" t="s">
        <v>30</v>
      </c>
      <c r="T4" s="57" t="s">
        <v>31</v>
      </c>
      <c r="U4" s="54" t="s">
        <v>32</v>
      </c>
      <c r="V4" s="64" t="s">
        <v>33</v>
      </c>
      <c r="W4" s="64" t="s">
        <v>34</v>
      </c>
      <c r="X4" s="79" t="s">
        <v>35</v>
      </c>
      <c r="Y4" s="79" t="s">
        <v>36</v>
      </c>
      <c r="Z4" s="79" t="s">
        <v>37</v>
      </c>
      <c r="AA4" s="79" t="s">
        <v>38</v>
      </c>
      <c r="AB4" s="89" t="s">
        <v>39</v>
      </c>
      <c r="AC4" s="90" t="s">
        <v>40</v>
      </c>
      <c r="AD4" s="90" t="s">
        <v>41</v>
      </c>
      <c r="AE4" s="90" t="s">
        <v>42</v>
      </c>
      <c r="AF4" s="90" t="s">
        <v>43</v>
      </c>
      <c r="AG4" s="90" t="s">
        <v>44</v>
      </c>
      <c r="AH4" s="90" t="s">
        <v>45</v>
      </c>
      <c r="AI4" s="91" t="s">
        <v>46</v>
      </c>
      <c r="AJ4" s="89" t="s">
        <v>47</v>
      </c>
      <c r="AK4" s="90" t="s">
        <v>48</v>
      </c>
      <c r="AL4" s="90" t="s">
        <v>49</v>
      </c>
      <c r="AM4" s="90" t="s">
        <v>50</v>
      </c>
      <c r="AN4" s="90" t="s">
        <v>51</v>
      </c>
      <c r="AO4" s="90" t="s">
        <v>52</v>
      </c>
      <c r="AP4" s="90" t="s">
        <v>53</v>
      </c>
      <c r="AQ4" s="91" t="s">
        <v>54</v>
      </c>
      <c r="AR4" s="4" t="s">
        <v>55</v>
      </c>
      <c r="AS4" s="4" t="s">
        <v>56</v>
      </c>
      <c r="AT4" s="4" t="s">
        <v>57</v>
      </c>
      <c r="AU4" s="4" t="s">
        <v>58</v>
      </c>
      <c r="AV4" s="4" t="s">
        <v>59</v>
      </c>
      <c r="AW4" s="4" t="s">
        <v>60</v>
      </c>
      <c r="AX4" s="4" t="s">
        <v>61</v>
      </c>
      <c r="AY4" s="4" t="s">
        <v>62</v>
      </c>
      <c r="AZ4" s="4" t="s">
        <v>63</v>
      </c>
      <c r="BA4" s="4" t="s">
        <v>64</v>
      </c>
      <c r="BB4" s="4" t="s">
        <v>65</v>
      </c>
      <c r="BC4" s="4" t="s">
        <v>66</v>
      </c>
      <c r="BD4" s="4" t="s">
        <v>67</v>
      </c>
      <c r="BE4" s="4" t="s">
        <v>68</v>
      </c>
      <c r="BF4" s="4" t="s">
        <v>69</v>
      </c>
      <c r="BG4" s="4" t="s">
        <v>70</v>
      </c>
      <c r="BH4" s="4" t="s">
        <v>71</v>
      </c>
      <c r="BI4" s="4" t="s">
        <v>72</v>
      </c>
      <c r="BJ4" s="4" t="s">
        <v>73</v>
      </c>
      <c r="BK4" s="4" t="s">
        <v>74</v>
      </c>
      <c r="BL4" s="4" t="s">
        <v>75</v>
      </c>
      <c r="BM4" s="4" t="s">
        <v>76</v>
      </c>
      <c r="BN4" s="4" t="s">
        <v>77</v>
      </c>
      <c r="BO4" s="4" t="s">
        <v>78</v>
      </c>
      <c r="BP4" s="4" t="s">
        <v>79</v>
      </c>
      <c r="BQ4" s="4" t="s">
        <v>80</v>
      </c>
      <c r="BR4" s="4" t="s">
        <v>81</v>
      </c>
      <c r="BS4" s="4" t="s">
        <v>82</v>
      </c>
      <c r="BT4" s="4" t="s">
        <v>83</v>
      </c>
      <c r="BU4" s="4" t="s">
        <v>84</v>
      </c>
      <c r="BV4" s="4" t="s">
        <v>85</v>
      </c>
      <c r="BW4" s="4" t="s">
        <v>86</v>
      </c>
      <c r="BX4" s="4" t="s">
        <v>87</v>
      </c>
      <c r="BY4" s="4" t="s">
        <v>88</v>
      </c>
      <c r="BZ4" s="4" t="s">
        <v>89</v>
      </c>
      <c r="CA4" s="4" t="s">
        <v>90</v>
      </c>
      <c r="CB4" s="4" t="s">
        <v>91</v>
      </c>
      <c r="CC4" s="4" t="s">
        <v>92</v>
      </c>
      <c r="CD4" s="4" t="s">
        <v>93</v>
      </c>
      <c r="CE4" s="4" t="s">
        <v>94</v>
      </c>
      <c r="CF4" s="4" t="s">
        <v>95</v>
      </c>
      <c r="CG4" s="4" t="s">
        <v>96</v>
      </c>
      <c r="CH4" s="4" t="s">
        <v>97</v>
      </c>
      <c r="CI4" s="4" t="s">
        <v>98</v>
      </c>
      <c r="CJ4" s="4" t="s">
        <v>99</v>
      </c>
      <c r="CK4" s="4" t="s">
        <v>100</v>
      </c>
      <c r="CL4" s="4" t="s">
        <v>101</v>
      </c>
      <c r="CM4" s="4" t="s">
        <v>102</v>
      </c>
      <c r="CN4" s="4" t="s">
        <v>103</v>
      </c>
    </row>
    <row r="5" spans="1:92" x14ac:dyDescent="0.35">
      <c r="A5" s="3" t="s">
        <v>104</v>
      </c>
      <c r="B5" s="4">
        <f>VLOOKUP(A5,PriceData!$K$4:$L$6,2,FALSE)</f>
        <v>1100</v>
      </c>
      <c r="C5" s="46">
        <f>VLOOKUP(A5,PriceData!$K$4:$M$6,3,FALSE)</f>
        <v>0.02</v>
      </c>
      <c r="D5" s="4" t="s">
        <v>105</v>
      </c>
      <c r="E5" s="4" t="s">
        <v>106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107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BSTheta(B5,J5,K5, C5, (I5-$B$1)/365, G5, H5, D5)</f>
        <v>6.0049808010531155E-2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1.5012452002632788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 x14ac:dyDescent="0.35">
      <c r="A6" s="3" t="s">
        <v>104</v>
      </c>
      <c r="B6" s="4">
        <f>VLOOKUP(A6,PriceData!$K$4:$L$6,2,FALSE)</f>
        <v>1100</v>
      </c>
      <c r="C6" s="46">
        <f>VLOOKUP(A6,PriceData!$K$4:$M$6,3,FALSE)</f>
        <v>0.02</v>
      </c>
      <c r="D6" s="4" t="s">
        <v>108</v>
      </c>
      <c r="E6" s="4" t="s">
        <v>106</v>
      </c>
      <c r="F6" s="4">
        <v>200</v>
      </c>
      <c r="G6" s="4">
        <v>935</v>
      </c>
      <c r="H6" s="4" t="s">
        <v>109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107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-0.53484938408966598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-106.9698768179332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 x14ac:dyDescent="0.35">
      <c r="A7" s="3" t="s">
        <v>104</v>
      </c>
      <c r="B7" s="4">
        <f>VLOOKUP(A7,PriceData!$K$4:$L$6,2,FALSE)</f>
        <v>1100</v>
      </c>
      <c r="C7" s="46">
        <f>VLOOKUP(A7,PriceData!$K$4:$M$6,3,FALSE)</f>
        <v>0.02</v>
      </c>
      <c r="D7" s="4" t="s">
        <v>108</v>
      </c>
      <c r="E7" s="4" t="s">
        <v>106</v>
      </c>
      <c r="F7" s="4">
        <v>-50</v>
      </c>
      <c r="G7" s="4">
        <v>1001</v>
      </c>
      <c r="H7" s="4" t="s">
        <v>109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107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-0.56569004325751393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28.284502162875697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 x14ac:dyDescent="0.35">
      <c r="A8" s="3" t="s">
        <v>104</v>
      </c>
      <c r="B8" s="4">
        <f>VLOOKUP(A8,PriceData!$K$4:$L$6,2,FALSE)</f>
        <v>1100</v>
      </c>
      <c r="C8" s="46">
        <f>VLOOKUP(A8,PriceData!$K$4:$M$6,3,FALSE)</f>
        <v>0.02</v>
      </c>
      <c r="D8" s="4" t="s">
        <v>108</v>
      </c>
      <c r="E8" s="4" t="s">
        <v>106</v>
      </c>
      <c r="F8" s="4">
        <v>25</v>
      </c>
      <c r="G8" s="4">
        <v>1100</v>
      </c>
      <c r="H8" s="4" t="s">
        <v>109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110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-0.57634073587656798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-14.4085183969142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 x14ac:dyDescent="0.35">
      <c r="A9" s="3" t="s">
        <v>104</v>
      </c>
      <c r="B9" s="4">
        <f>VLOOKUP(A9,PriceData!$K$4:$L$6,2,FALSE)</f>
        <v>1100</v>
      </c>
      <c r="C9" s="46">
        <f>VLOOKUP(A9,PriceData!$K$4:$M$6,3,FALSE)</f>
        <v>0.02</v>
      </c>
      <c r="D9" s="4" t="s">
        <v>108</v>
      </c>
      <c r="E9" s="4" t="s">
        <v>106</v>
      </c>
      <c r="F9" s="4">
        <v>-25</v>
      </c>
      <c r="G9" s="4">
        <v>1034</v>
      </c>
      <c r="H9" s="4" t="s">
        <v>109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107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-0.57679726778176055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14.419931694544013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 x14ac:dyDescent="0.35">
      <c r="A10" s="3" t="s">
        <v>104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108</v>
      </c>
      <c r="E10" s="4" t="s">
        <v>106</v>
      </c>
      <c r="F10" s="4">
        <v>25</v>
      </c>
      <c r="G10" s="4">
        <v>1232</v>
      </c>
      <c r="H10" s="4" t="s">
        <v>111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107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-0.42617803435527768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-10.654450858881942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 x14ac:dyDescent="0.35">
      <c r="A11" s="3" t="s">
        <v>104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108</v>
      </c>
      <c r="E11" s="4" t="s">
        <v>106</v>
      </c>
      <c r="F11" s="4">
        <v>25</v>
      </c>
      <c r="G11" s="4">
        <v>1100</v>
      </c>
      <c r="H11" s="4" t="s">
        <v>111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107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-0.54937374616319246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-13.734343654079812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 x14ac:dyDescent="0.35">
      <c r="A12" s="3" t="s">
        <v>104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108</v>
      </c>
      <c r="E12" s="4" t="s">
        <v>106</v>
      </c>
      <c r="F12" s="4">
        <v>-50</v>
      </c>
      <c r="G12" s="4">
        <v>1034</v>
      </c>
      <c r="H12" s="4" t="s">
        <v>109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107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-0.57679726778176055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28.839863389088027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 x14ac:dyDescent="0.35">
      <c r="A13" s="3" t="s">
        <v>104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108</v>
      </c>
      <c r="E13" s="4" t="s">
        <v>106</v>
      </c>
      <c r="F13" s="4">
        <v>-50</v>
      </c>
      <c r="G13" s="4">
        <v>1034</v>
      </c>
      <c r="H13" s="4" t="s">
        <v>109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110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-0.57679726778176055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28.839863389088027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 x14ac:dyDescent="0.35">
      <c r="A14" s="3" t="s">
        <v>104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108</v>
      </c>
      <c r="E14" s="4" t="s">
        <v>106</v>
      </c>
      <c r="F14" s="4">
        <v>-50</v>
      </c>
      <c r="G14" s="4">
        <v>1100</v>
      </c>
      <c r="H14" s="4" t="s">
        <v>111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110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-0.54937374616319246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27.468687308159623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 x14ac:dyDescent="0.35">
      <c r="A15" s="3" t="s">
        <v>104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108</v>
      </c>
      <c r="E15" s="4" t="s">
        <v>106</v>
      </c>
      <c r="F15" s="4">
        <v>30</v>
      </c>
      <c r="G15" s="4">
        <v>1232</v>
      </c>
      <c r="H15" s="4" t="s">
        <v>111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107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-0.42617803435527768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-12.78534103065833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 x14ac:dyDescent="0.35">
      <c r="A16" s="3" t="s">
        <v>104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108</v>
      </c>
      <c r="E16" s="4" t="s">
        <v>106</v>
      </c>
      <c r="F16" s="4">
        <v>25</v>
      </c>
      <c r="G16" s="4">
        <v>935</v>
      </c>
      <c r="H16" s="4" t="s">
        <v>109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107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-0.53484938408966598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-13.37123460224165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 x14ac:dyDescent="0.35">
      <c r="A17" s="3" t="s">
        <v>104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108</v>
      </c>
      <c r="E17" s="4" t="s">
        <v>106</v>
      </c>
      <c r="F17" s="4">
        <v>-20</v>
      </c>
      <c r="G17" s="4">
        <v>1001</v>
      </c>
      <c r="H17" s="4" t="s">
        <v>111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112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-0.53574559989739445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10.714911997947889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 x14ac:dyDescent="0.35">
      <c r="A18" s="3" t="s">
        <v>104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108</v>
      </c>
      <c r="E18" s="4" t="s">
        <v>106</v>
      </c>
      <c r="F18" s="4">
        <v>-50</v>
      </c>
      <c r="G18" s="4">
        <v>1100</v>
      </c>
      <c r="H18" s="4" t="s">
        <v>109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107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-0.32472242880323304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16.236121440161654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 x14ac:dyDescent="0.35">
      <c r="A19" s="3" t="s">
        <v>104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108</v>
      </c>
      <c r="E19" s="4" t="s">
        <v>106</v>
      </c>
      <c r="F19" s="4">
        <v>20</v>
      </c>
      <c r="G19" s="4">
        <v>1034</v>
      </c>
      <c r="H19" s="4" t="s">
        <v>111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107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-0.31940339284285374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-6.3880678568570746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 x14ac:dyDescent="0.35">
      <c r="A20" s="3" t="s">
        <v>104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108</v>
      </c>
      <c r="E20" s="4" t="s">
        <v>106</v>
      </c>
      <c r="F20" s="4">
        <v>25</v>
      </c>
      <c r="G20" s="4">
        <v>902</v>
      </c>
      <c r="H20" s="4" t="s">
        <v>109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110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-0.3556829358286932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-8.8920733957173308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 x14ac:dyDescent="0.35">
      <c r="A21" s="3" t="s">
        <v>104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108</v>
      </c>
      <c r="E21" s="4" t="s">
        <v>106</v>
      </c>
      <c r="F21" s="4">
        <v>25</v>
      </c>
      <c r="G21" s="4">
        <v>902</v>
      </c>
      <c r="H21" s="4" t="s">
        <v>109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107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-0.3556829358286932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-8.8920733957173308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 x14ac:dyDescent="0.35">
      <c r="A22" s="3" t="s">
        <v>104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108</v>
      </c>
      <c r="E22" s="4" t="s">
        <v>106</v>
      </c>
      <c r="F22" s="4">
        <v>50</v>
      </c>
      <c r="G22" s="4">
        <v>1331</v>
      </c>
      <c r="H22" s="4" t="s">
        <v>111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107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-0.2157163549014337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-10.785817745071686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 x14ac:dyDescent="0.35">
      <c r="A23" s="3" t="s">
        <v>104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108</v>
      </c>
      <c r="E23" s="4" t="s">
        <v>106</v>
      </c>
      <c r="F23" s="4">
        <v>50</v>
      </c>
      <c r="G23" s="4">
        <v>1298</v>
      </c>
      <c r="H23" s="4" t="s">
        <v>111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107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-0.23243924890555179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-11.621962445277589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 x14ac:dyDescent="0.35">
      <c r="A24" s="3" t="s">
        <v>104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108</v>
      </c>
      <c r="E24" s="4" t="s">
        <v>106</v>
      </c>
      <c r="F24" s="4">
        <v>-30</v>
      </c>
      <c r="G24" s="4">
        <v>1232</v>
      </c>
      <c r="H24" s="4" t="s">
        <v>111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107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-0.26497304874944189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7.9491914624832569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 x14ac:dyDescent="0.35">
      <c r="A25" s="3" t="s">
        <v>104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108</v>
      </c>
      <c r="E25" s="4" t="s">
        <v>106</v>
      </c>
      <c r="F25" s="4">
        <v>-30</v>
      </c>
      <c r="G25" s="4">
        <v>1001</v>
      </c>
      <c r="H25" s="4" t="s">
        <v>109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112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-0.34150424954132458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10.245127486239737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 x14ac:dyDescent="0.35">
      <c r="A26" s="3" t="s">
        <v>104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108</v>
      </c>
      <c r="E26" s="4" t="s">
        <v>106</v>
      </c>
      <c r="F26" s="4">
        <v>-50</v>
      </c>
      <c r="G26" s="4">
        <v>1100</v>
      </c>
      <c r="H26" s="4" t="s">
        <v>111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107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-0.30988236061599356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15.494118030799678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 x14ac:dyDescent="0.35">
      <c r="A27" s="3" t="s">
        <v>104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108</v>
      </c>
      <c r="E27" s="4" t="s">
        <v>106</v>
      </c>
      <c r="F27" s="4">
        <v>-20</v>
      </c>
      <c r="G27" s="4">
        <v>1034</v>
      </c>
      <c r="H27" s="4" t="s">
        <v>109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107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-0.33693812454965388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6.7387624909930777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 x14ac:dyDescent="0.35">
      <c r="A28" s="3" t="s">
        <v>104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108</v>
      </c>
      <c r="E28" s="4" t="s">
        <v>106</v>
      </c>
      <c r="F28" s="4">
        <v>-20</v>
      </c>
      <c r="G28" s="4">
        <v>1034</v>
      </c>
      <c r="H28" s="4" t="s">
        <v>111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113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-0.31940339284285374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6.3880678568570746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 x14ac:dyDescent="0.35">
      <c r="A29" s="3" t="s">
        <v>104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108</v>
      </c>
      <c r="E29" s="4" t="s">
        <v>106</v>
      </c>
      <c r="F29" s="4">
        <v>-50</v>
      </c>
      <c r="G29" s="4">
        <v>1100</v>
      </c>
      <c r="H29" s="4" t="s">
        <v>109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107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-0.23151840944527557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11.575920472263778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 x14ac:dyDescent="0.35">
      <c r="A30" s="3" t="s">
        <v>104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108</v>
      </c>
      <c r="E30" s="4" t="s">
        <v>106</v>
      </c>
      <c r="F30" s="4">
        <v>-50</v>
      </c>
      <c r="G30" s="4">
        <v>1232</v>
      </c>
      <c r="H30" s="4" t="s">
        <v>111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112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-0.1968417271132874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9.842086355664371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 x14ac:dyDescent="0.35">
      <c r="A31" s="3" t="s">
        <v>104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108</v>
      </c>
      <c r="E31" s="4" t="s">
        <v>106</v>
      </c>
      <c r="F31" s="4">
        <v>-20</v>
      </c>
      <c r="G31" s="4">
        <v>1001</v>
      </c>
      <c r="H31" s="4" t="s">
        <v>109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107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-0.25132738565827906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5.0265477131655807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 x14ac:dyDescent="0.35">
      <c r="A32" s="3" t="s">
        <v>104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108</v>
      </c>
      <c r="E32" s="4" t="s">
        <v>106</v>
      </c>
      <c r="F32" s="4">
        <v>-50</v>
      </c>
      <c r="G32" s="4">
        <v>1067</v>
      </c>
      <c r="H32" s="4" t="s">
        <v>109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107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-0.23815434848788067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11.907717424394033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 x14ac:dyDescent="0.35">
      <c r="A33" s="3" t="s">
        <v>104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108</v>
      </c>
      <c r="E33" s="4" t="s">
        <v>106</v>
      </c>
      <c r="F33" s="4">
        <v>-50</v>
      </c>
      <c r="G33" s="4">
        <v>1067</v>
      </c>
      <c r="H33" s="4" t="s">
        <v>111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113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-0.22924842212035557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11.462421106017779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 x14ac:dyDescent="0.35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105</v>
      </c>
      <c r="E34" s="4" t="s">
        <v>114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107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0.17437970580814116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3.487594116162823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 x14ac:dyDescent="0.35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108</v>
      </c>
      <c r="E35" s="4" t="s">
        <v>114</v>
      </c>
      <c r="F35" s="4">
        <v>-20</v>
      </c>
      <c r="G35" s="4">
        <v>2992</v>
      </c>
      <c r="H35" s="4" t="s">
        <v>111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110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-1.4412554822936774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28.825109645873546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 x14ac:dyDescent="0.35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108</v>
      </c>
      <c r="E36" s="4" t="s">
        <v>114</v>
      </c>
      <c r="F36" s="4">
        <v>-30</v>
      </c>
      <c r="G36" s="4">
        <v>2818</v>
      </c>
      <c r="H36" s="4" t="s">
        <v>111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107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-1.4958468874075315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44.875406622225945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 x14ac:dyDescent="0.35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108</v>
      </c>
      <c r="E37" s="4" t="s">
        <v>114</v>
      </c>
      <c r="F37" s="4">
        <v>-20</v>
      </c>
      <c r="G37" s="4">
        <v>2992</v>
      </c>
      <c r="H37" s="4" t="s">
        <v>109</v>
      </c>
      <c r="I37" s="5">
        <v>40256</v>
      </c>
      <c r="J37" s="46">
        <f t="shared" ref="J37:J61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107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BSTheta(B37,J37,K37, C37, (I37-$B$1)/365, G37, H37, D37)</f>
        <v>-1.4360330952350513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28.720661904701025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 x14ac:dyDescent="0.35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108</v>
      </c>
      <c r="E38" s="4" t="s">
        <v>114</v>
      </c>
      <c r="F38" s="4">
        <v>-25</v>
      </c>
      <c r="G38" s="4">
        <v>2556</v>
      </c>
      <c r="H38" s="4" t="s">
        <v>109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107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-1.4318946058702244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35.79736514675561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 x14ac:dyDescent="0.35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108</v>
      </c>
      <c r="E39" s="4" t="s">
        <v>114</v>
      </c>
      <c r="F39" s="4">
        <v>-50</v>
      </c>
      <c r="G39" s="4">
        <v>3079</v>
      </c>
      <c r="H39" s="4" t="s">
        <v>111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110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-1.3680270573624032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68.401352868120156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 x14ac:dyDescent="0.35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108</v>
      </c>
      <c r="E40" s="4" t="s">
        <v>114</v>
      </c>
      <c r="F40" s="4">
        <v>25</v>
      </c>
      <c r="G40" s="4">
        <v>2469</v>
      </c>
      <c r="H40" s="4" t="s">
        <v>109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107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-1.392506241827222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-34.812656045680548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 x14ac:dyDescent="0.35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108</v>
      </c>
      <c r="E41" s="4" t="s">
        <v>114</v>
      </c>
      <c r="F41" s="4">
        <v>-20</v>
      </c>
      <c r="G41" s="4">
        <v>2992</v>
      </c>
      <c r="H41" s="4" t="s">
        <v>109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107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-1.4360330952350513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28.720661904701025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 x14ac:dyDescent="0.35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108</v>
      </c>
      <c r="E42" s="4" t="s">
        <v>114</v>
      </c>
      <c r="F42" s="4">
        <v>-10</v>
      </c>
      <c r="G42" s="4">
        <v>2556</v>
      </c>
      <c r="H42" s="4" t="s">
        <v>109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115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-1.4318946058702244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14.318946058702245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 x14ac:dyDescent="0.35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108</v>
      </c>
      <c r="E43" s="4" t="s">
        <v>114</v>
      </c>
      <c r="F43" s="4">
        <v>-10</v>
      </c>
      <c r="G43" s="4">
        <v>3079</v>
      </c>
      <c r="H43" s="4" t="s">
        <v>111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107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-1.3680270573624032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13.680270573624032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 x14ac:dyDescent="0.35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108</v>
      </c>
      <c r="E44" s="4" t="s">
        <v>114</v>
      </c>
      <c r="F44" s="4">
        <v>-25</v>
      </c>
      <c r="G44" s="4">
        <v>3166</v>
      </c>
      <c r="H44" s="4" t="s">
        <v>111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107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-1.2684950071667187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31.712375179167967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 x14ac:dyDescent="0.35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108</v>
      </c>
      <c r="E45" s="4" t="s">
        <v>114</v>
      </c>
      <c r="F45" s="4">
        <v>50</v>
      </c>
      <c r="G45" s="4">
        <v>3254</v>
      </c>
      <c r="H45" s="4" t="s">
        <v>111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112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-1.1492378459494941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-57.461892297474705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 x14ac:dyDescent="0.35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108</v>
      </c>
      <c r="E46" s="4" t="s">
        <v>114</v>
      </c>
      <c r="F46" s="4">
        <v>-20</v>
      </c>
      <c r="G46" s="4">
        <v>3079</v>
      </c>
      <c r="H46" s="4" t="s">
        <v>109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107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-1.3575822832451512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27.151645664903022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 x14ac:dyDescent="0.35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108</v>
      </c>
      <c r="E47" s="4" t="s">
        <v>114</v>
      </c>
      <c r="F47" s="4">
        <v>50</v>
      </c>
      <c r="G47" s="4">
        <v>2469</v>
      </c>
      <c r="H47" s="4" t="s">
        <v>109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107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-1.392506241827222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-69.625312091361096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 x14ac:dyDescent="0.35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108</v>
      </c>
      <c r="E48" s="4" t="s">
        <v>114</v>
      </c>
      <c r="F48" s="4">
        <v>10</v>
      </c>
      <c r="G48" s="4">
        <v>2469</v>
      </c>
      <c r="H48" s="4" t="s">
        <v>109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110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-0.91049528335083674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-9.1049528335083671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 x14ac:dyDescent="0.35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108</v>
      </c>
      <c r="E49" s="4" t="s">
        <v>114</v>
      </c>
      <c r="F49" s="4">
        <v>-20</v>
      </c>
      <c r="G49" s="4">
        <v>3254</v>
      </c>
      <c r="H49" s="4" t="s">
        <v>111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107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-0.71623772663935259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14.324754532787052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 x14ac:dyDescent="0.35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108</v>
      </c>
      <c r="E50" s="4" t="s">
        <v>114</v>
      </c>
      <c r="F50" s="4">
        <v>-40</v>
      </c>
      <c r="G50" s="4">
        <v>2818</v>
      </c>
      <c r="H50" s="4" t="s">
        <v>109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107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-0.85197658391114661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34.079063356445864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 x14ac:dyDescent="0.35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108</v>
      </c>
      <c r="E51" s="4" t="s">
        <v>114</v>
      </c>
      <c r="F51" s="4">
        <v>-50</v>
      </c>
      <c r="G51" s="4">
        <v>3079</v>
      </c>
      <c r="H51" s="4" t="s">
        <v>111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107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-0.79031422574787924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39.515711287393962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 x14ac:dyDescent="0.35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108</v>
      </c>
      <c r="E52" s="4" t="s">
        <v>114</v>
      </c>
      <c r="F52" s="4">
        <v>-25</v>
      </c>
      <c r="G52" s="4">
        <v>2905</v>
      </c>
      <c r="H52" s="4" t="s">
        <v>109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107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-0.83126746526660822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20.781686631665206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 x14ac:dyDescent="0.35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108</v>
      </c>
      <c r="E53" s="4" t="s">
        <v>114</v>
      </c>
      <c r="F53" s="4">
        <v>-20</v>
      </c>
      <c r="G53" s="4">
        <v>3341</v>
      </c>
      <c r="H53" s="4" t="s">
        <v>111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112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-0.67307369454553478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13.461473890910696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 x14ac:dyDescent="0.35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108</v>
      </c>
      <c r="E54" s="4" t="s">
        <v>114</v>
      </c>
      <c r="F54" s="4">
        <v>-10</v>
      </c>
      <c r="G54" s="4">
        <v>2905</v>
      </c>
      <c r="H54" s="4" t="s">
        <v>109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107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-0.83126746526660822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8.3126746526660824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 x14ac:dyDescent="0.35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108</v>
      </c>
      <c r="E55" s="4" t="s">
        <v>114</v>
      </c>
      <c r="F55" s="4">
        <v>20</v>
      </c>
      <c r="G55" s="4">
        <v>3428</v>
      </c>
      <c r="H55" s="4" t="s">
        <v>111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107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-0.62804280691160452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-12.56085613823209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 x14ac:dyDescent="0.35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108</v>
      </c>
      <c r="E56" s="4" t="s">
        <v>114</v>
      </c>
      <c r="F56" s="4">
        <v>-10</v>
      </c>
      <c r="G56" s="4">
        <v>3166</v>
      </c>
      <c r="H56" s="4" t="s">
        <v>111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113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-0.75617841007131448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7.5617841007131448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 x14ac:dyDescent="0.35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108</v>
      </c>
      <c r="E57" s="4" t="s">
        <v>114</v>
      </c>
      <c r="F57" s="4">
        <v>-20</v>
      </c>
      <c r="G57" s="4">
        <v>2731</v>
      </c>
      <c r="H57" s="4" t="s">
        <v>109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107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-0.86853130976168136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17.370626195233626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 x14ac:dyDescent="0.35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108</v>
      </c>
      <c r="E58" s="4" t="s">
        <v>114</v>
      </c>
      <c r="F58" s="4">
        <v>20</v>
      </c>
      <c r="G58" s="4">
        <v>2731</v>
      </c>
      <c r="H58" s="4" t="s">
        <v>109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112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-0.86853130976168136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-17.370626195233626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 x14ac:dyDescent="0.35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108</v>
      </c>
      <c r="E59" s="4" t="s">
        <v>114</v>
      </c>
      <c r="F59" s="4">
        <v>-20</v>
      </c>
      <c r="G59" s="4">
        <v>3341</v>
      </c>
      <c r="H59" s="4" t="s">
        <v>109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107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-0.45855566591517538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9.1711133183035081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 x14ac:dyDescent="0.35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108</v>
      </c>
      <c r="E60" s="4" t="s">
        <v>114</v>
      </c>
      <c r="F60" s="4">
        <v>-20</v>
      </c>
      <c r="G60" s="4">
        <v>2731</v>
      </c>
      <c r="H60" s="4" t="s">
        <v>109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107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-0.62645468839673502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12.5290937679347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 x14ac:dyDescent="0.35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108</v>
      </c>
      <c r="E61" s="4" t="s">
        <v>114</v>
      </c>
      <c r="F61" s="4">
        <v>5</v>
      </c>
      <c r="G61" s="4">
        <v>2556</v>
      </c>
      <c r="H61" s="4" t="s">
        <v>109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113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-0.66666206220882362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-3.333310311044118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 x14ac:dyDescent="0.35">
      <c r="A62" s="3" t="s">
        <v>116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105</v>
      </c>
      <c r="E62" s="4" t="s">
        <v>117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107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0.13715984637090683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-1.3715984637090683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 x14ac:dyDescent="0.35">
      <c r="A63" s="3" t="s">
        <v>116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108</v>
      </c>
      <c r="E63" s="4" t="s">
        <v>117</v>
      </c>
      <c r="F63" s="4">
        <v>-20</v>
      </c>
      <c r="G63">
        <v>10022</v>
      </c>
      <c r="H63" s="4" t="s">
        <v>111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107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-5.1677417728495127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103.35483545699026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 x14ac:dyDescent="0.35">
      <c r="A64" s="3" t="s">
        <v>116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108</v>
      </c>
      <c r="E64" s="4" t="s">
        <v>117</v>
      </c>
      <c r="F64" s="4">
        <v>-10</v>
      </c>
      <c r="G64">
        <v>9120</v>
      </c>
      <c r="H64" s="4" t="s">
        <v>109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107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-5.098150078692246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50.98150078692246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 x14ac:dyDescent="0.35">
      <c r="A65" s="3" t="s">
        <v>116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108</v>
      </c>
      <c r="E65" s="4" t="s">
        <v>117</v>
      </c>
      <c r="F65" s="4">
        <v>-20</v>
      </c>
      <c r="G65">
        <v>10022</v>
      </c>
      <c r="H65" s="4" t="s">
        <v>109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110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-5.1677417728495127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103.35483545699026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 x14ac:dyDescent="0.35">
      <c r="A66" s="3" t="s">
        <v>116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108</v>
      </c>
      <c r="E66" s="4" t="s">
        <v>117</v>
      </c>
      <c r="F66" s="4">
        <v>-20</v>
      </c>
      <c r="G66">
        <v>10323</v>
      </c>
      <c r="H66" s="4" t="s">
        <v>111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107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-5.0132425387673099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100.26485077534619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 x14ac:dyDescent="0.35">
      <c r="A67" s="3" t="s">
        <v>116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108</v>
      </c>
      <c r="E67" s="4" t="s">
        <v>117</v>
      </c>
      <c r="F67" s="4">
        <v>-20</v>
      </c>
      <c r="G67">
        <v>10323</v>
      </c>
      <c r="H67" s="4" t="s">
        <v>109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107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-5.0091230901784405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100.18246180356881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 x14ac:dyDescent="0.35">
      <c r="A68" s="3" t="s">
        <v>116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108</v>
      </c>
      <c r="E68" s="4" t="s">
        <v>117</v>
      </c>
      <c r="F68" s="4">
        <v>50</v>
      </c>
      <c r="G68">
        <v>8519</v>
      </c>
      <c r="H68" s="4" t="s">
        <v>109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107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-4.8337957475203792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-241.68978737601896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 x14ac:dyDescent="0.35">
      <c r="A69" s="3" t="s">
        <v>116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108</v>
      </c>
      <c r="E69" s="4" t="s">
        <v>117</v>
      </c>
      <c r="F69" s="4">
        <v>-20</v>
      </c>
      <c r="G69">
        <v>9120</v>
      </c>
      <c r="H69" s="4" t="s">
        <v>109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87" si="162">F69*L69</f>
        <v>-8136.2253549256639</v>
      </c>
      <c r="N69" s="4" t="s">
        <v>110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BSTheta(B69,J69,K69, C69, (I69-$B$1)/365, G69, H69, D69)</f>
        <v>-5.098150078692246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101.96300157384492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 x14ac:dyDescent="0.35">
      <c r="A70" s="3" t="s">
        <v>116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108</v>
      </c>
      <c r="E70" s="4" t="s">
        <v>117</v>
      </c>
      <c r="F70" s="4">
        <v>-20</v>
      </c>
      <c r="G70">
        <v>9120</v>
      </c>
      <c r="H70" s="4" t="s">
        <v>109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107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-5.098150078692246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101.96300157384492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 x14ac:dyDescent="0.35">
      <c r="A71" s="3" t="s">
        <v>116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108</v>
      </c>
      <c r="E71" s="4" t="s">
        <v>117</v>
      </c>
      <c r="F71" s="4">
        <v>-25</v>
      </c>
      <c r="G71">
        <v>10022</v>
      </c>
      <c r="H71" s="4" t="s">
        <v>111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107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-5.1677417728495127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129.19354432123782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 x14ac:dyDescent="0.35">
      <c r="A72" s="3" t="s">
        <v>116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108</v>
      </c>
      <c r="E72" s="4" t="s">
        <v>117</v>
      </c>
      <c r="F72" s="4">
        <v>10</v>
      </c>
      <c r="G72">
        <v>8519</v>
      </c>
      <c r="H72" s="4" t="s">
        <v>109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112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-4.8337957475203792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-48.337957475203794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 x14ac:dyDescent="0.35">
      <c r="A73" s="3" t="s">
        <v>116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108</v>
      </c>
      <c r="E73" s="4" t="s">
        <v>117</v>
      </c>
      <c r="F73" s="4">
        <v>-25</v>
      </c>
      <c r="G73">
        <v>10022</v>
      </c>
      <c r="H73" s="4" t="s">
        <v>109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107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-2.9469738354638091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73.674345886595233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 x14ac:dyDescent="0.35">
      <c r="A74" s="3" t="s">
        <v>116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108</v>
      </c>
      <c r="E74" s="4" t="s">
        <v>117</v>
      </c>
      <c r="F74" s="4">
        <v>-10</v>
      </c>
      <c r="G74">
        <v>9120</v>
      </c>
      <c r="H74" s="4" t="s">
        <v>109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107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-3.109424299922761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31.09424299922761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 x14ac:dyDescent="0.35">
      <c r="A75" s="3" t="s">
        <v>116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108</v>
      </c>
      <c r="E75" s="4" t="s">
        <v>117</v>
      </c>
      <c r="F75" s="4">
        <v>-15</v>
      </c>
      <c r="G75">
        <v>9120</v>
      </c>
      <c r="H75" s="4" t="s">
        <v>109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110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-3.109424299922761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46.641364498841412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 x14ac:dyDescent="0.35">
      <c r="A76" s="3" t="s">
        <v>116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108</v>
      </c>
      <c r="E76" s="4" t="s">
        <v>117</v>
      </c>
      <c r="F76" s="4">
        <v>-20</v>
      </c>
      <c r="G76">
        <v>11225</v>
      </c>
      <c r="H76" s="4" t="s">
        <v>111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107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-2.4997920932606426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49.995841865212853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 x14ac:dyDescent="0.35">
      <c r="A77" s="3" t="s">
        <v>116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108</v>
      </c>
      <c r="E77" s="4" t="s">
        <v>117</v>
      </c>
      <c r="F77" s="4">
        <v>-10</v>
      </c>
      <c r="G77">
        <v>11225</v>
      </c>
      <c r="H77" s="4" t="s">
        <v>109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115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-2.4833484957456569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24.833484957456569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 x14ac:dyDescent="0.35">
      <c r="A78" s="3" t="s">
        <v>116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108</v>
      </c>
      <c r="E78" s="4" t="s">
        <v>117</v>
      </c>
      <c r="F78" s="4">
        <v>-15</v>
      </c>
      <c r="G78">
        <v>10323</v>
      </c>
      <c r="H78" s="4" t="s">
        <v>111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107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-2.8666617285441185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42.99992592816178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 x14ac:dyDescent="0.35">
      <c r="A79" s="3" t="s">
        <v>116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108</v>
      </c>
      <c r="E79" s="4" t="s">
        <v>117</v>
      </c>
      <c r="F79" s="4">
        <v>-20</v>
      </c>
      <c r="G79">
        <v>10022</v>
      </c>
      <c r="H79" s="4" t="s">
        <v>109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107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-2.9469738354638091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58.939476709276178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 x14ac:dyDescent="0.35">
      <c r="A80" s="3" t="s">
        <v>116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108</v>
      </c>
      <c r="E80" s="4" t="s">
        <v>117</v>
      </c>
      <c r="F80" s="4">
        <v>-20</v>
      </c>
      <c r="G80">
        <v>11525</v>
      </c>
      <c r="H80" s="4" t="s">
        <v>111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112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-2.3470987921778925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46.941975843557849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 x14ac:dyDescent="0.35">
      <c r="A81" s="3" t="s">
        <v>116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108</v>
      </c>
      <c r="E81" s="4" t="s">
        <v>117</v>
      </c>
      <c r="F81" s="4">
        <v>5</v>
      </c>
      <c r="G81">
        <v>8519</v>
      </c>
      <c r="H81" s="4" t="s">
        <v>109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107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-3.1987436965611598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-15.993718482805798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 x14ac:dyDescent="0.35">
      <c r="A82" s="3" t="s">
        <v>116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108</v>
      </c>
      <c r="E82" s="4" t="s">
        <v>117</v>
      </c>
      <c r="F82" s="4">
        <v>-20</v>
      </c>
      <c r="G82">
        <v>11525</v>
      </c>
      <c r="H82" s="4" t="s">
        <v>111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107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-2.3470987921778925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46.941975843557849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 x14ac:dyDescent="0.35">
      <c r="A83" s="3" t="s">
        <v>116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108</v>
      </c>
      <c r="E83" s="4" t="s">
        <v>117</v>
      </c>
      <c r="F83" s="4">
        <v>-10</v>
      </c>
      <c r="G83">
        <v>9721</v>
      </c>
      <c r="H83" s="4" t="s">
        <v>109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113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-2.1709308576052182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21.70930857605218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 x14ac:dyDescent="0.35">
      <c r="A84" s="3" t="s">
        <v>116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108</v>
      </c>
      <c r="E84" s="4" t="s">
        <v>117</v>
      </c>
      <c r="F84" s="4">
        <v>-5</v>
      </c>
      <c r="G84">
        <v>7617</v>
      </c>
      <c r="H84" s="4" t="s">
        <v>109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107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-2.6865521416535634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13.432760708267818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 x14ac:dyDescent="0.35">
      <c r="A85" s="3" t="s">
        <v>116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108</v>
      </c>
      <c r="E85" s="4" t="s">
        <v>117</v>
      </c>
      <c r="F85" s="4">
        <v>-10</v>
      </c>
      <c r="G85">
        <v>9721</v>
      </c>
      <c r="H85" s="4" t="s">
        <v>109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112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-2.1709308576052182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21.70930857605218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 x14ac:dyDescent="0.35">
      <c r="A86" s="3" t="s">
        <v>116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108</v>
      </c>
      <c r="E86" s="4" t="s">
        <v>117</v>
      </c>
      <c r="F86" s="4">
        <v>-10</v>
      </c>
      <c r="G86">
        <v>8819</v>
      </c>
      <c r="H86" s="4" t="s">
        <v>109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107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-2.3674385825520252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23.674385825520254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 x14ac:dyDescent="0.35">
      <c r="A87" s="3" t="s">
        <v>116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108</v>
      </c>
      <c r="E87" s="4" t="s">
        <v>117</v>
      </c>
      <c r="F87" s="4">
        <v>-10</v>
      </c>
      <c r="G87">
        <v>8819</v>
      </c>
      <c r="H87" s="4" t="s">
        <v>109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107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-2.3674385825520252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23.674385825520254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3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 x14ac:dyDescent="0.4"/>
    <row r="3" spans="1:22" ht="13.5" customHeight="1" thickBot="1" x14ac:dyDescent="0.45">
      <c r="B3" s="100" t="s">
        <v>118</v>
      </c>
      <c r="C3" s="98"/>
      <c r="D3" s="99"/>
      <c r="F3" s="6"/>
      <c r="G3" s="100" t="s">
        <v>119</v>
      </c>
      <c r="H3" s="99"/>
      <c r="K3" s="31"/>
      <c r="L3" s="32" t="s">
        <v>120</v>
      </c>
      <c r="M3" s="33" t="s">
        <v>121</v>
      </c>
    </row>
    <row r="4" spans="1:22" ht="13.5" customHeight="1" thickBot="1" x14ac:dyDescent="0.45">
      <c r="A4" s="18" t="s">
        <v>3</v>
      </c>
      <c r="B4" s="24" t="s">
        <v>106</v>
      </c>
      <c r="C4" s="24" t="s">
        <v>114</v>
      </c>
      <c r="D4" s="25" t="s">
        <v>117</v>
      </c>
      <c r="F4" s="6"/>
      <c r="G4" s="26" t="s">
        <v>122</v>
      </c>
      <c r="H4" s="19">
        <v>1.55</v>
      </c>
      <c r="K4" s="34" t="s">
        <v>104</v>
      </c>
      <c r="L4" s="1">
        <v>1100</v>
      </c>
      <c r="M4" s="15">
        <v>0.02</v>
      </c>
    </row>
    <row r="5" spans="1:22" ht="13.5" customHeight="1" thickBot="1" x14ac:dyDescent="0.4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123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4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116</v>
      </c>
      <c r="L6" s="20">
        <v>10022</v>
      </c>
      <c r="M6" s="17">
        <v>5.0000000000000001E-3</v>
      </c>
    </row>
    <row r="7" spans="1:22" ht="13.15" customHeight="1" thickBot="1" x14ac:dyDescent="0.4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4"/>
    <row r="13" spans="1:22" ht="13.5" customHeight="1" thickBot="1" x14ac:dyDescent="0.45">
      <c r="B13" s="100" t="s">
        <v>124</v>
      </c>
      <c r="C13" s="98"/>
      <c r="D13" s="98"/>
      <c r="E13" s="99"/>
    </row>
    <row r="14" spans="1:22" ht="13.5" customHeight="1" thickBot="1" x14ac:dyDescent="0.4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35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35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4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4"/>
    <row r="22" spans="1:22" ht="13.5" customHeight="1" thickBot="1" x14ac:dyDescent="0.45">
      <c r="B22" s="100" t="s">
        <v>125</v>
      </c>
      <c r="C22" s="98"/>
      <c r="D22" s="98"/>
      <c r="E22" s="99"/>
    </row>
    <row r="23" spans="1:22" ht="13.5" customHeight="1" thickBot="1" x14ac:dyDescent="0.4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35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35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4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4"/>
    <row r="31" spans="1:22" ht="13.5" customHeight="1" thickBot="1" x14ac:dyDescent="0.45">
      <c r="B31" s="100" t="s">
        <v>126</v>
      </c>
      <c r="C31" s="98"/>
      <c r="D31" s="98"/>
      <c r="E31" s="99"/>
    </row>
    <row r="32" spans="1:22" ht="13.5" customHeight="1" thickBot="1" x14ac:dyDescent="0.4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35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35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4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2024-11-07T04:59:52Z</dcterms:modified>
</cp:coreProperties>
</file>