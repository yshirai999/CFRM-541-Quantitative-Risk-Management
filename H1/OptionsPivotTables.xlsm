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e0593d8a70af55a/Desktop/Teaching/CFRM541 QRM/QRM_Git/QRM/H1/"/>
    </mc:Choice>
  </mc:AlternateContent>
  <xr:revisionPtr revIDLastSave="9" documentId="11_1A5BE14D775746CF56D3112A39631C59AC636F09" xr6:coauthVersionLast="47" xr6:coauthVersionMax="47" xr10:uidLastSave="{92A3776B-6CF8-4188-AE73-003B809672E8}"/>
  <bookViews>
    <workbookView xWindow="-98" yWindow="-98" windowWidth="21795" windowHeight="12975" tabRatio="680" activeTab="2" xr2:uid="{00000000-000D-0000-FFFF-FFFF00000000}"/>
  </bookViews>
  <sheets>
    <sheet name="PivotTablesVolShift" sheetId="1" r:id="rId1"/>
    <sheet name="PivotTablesUnderlyingShift" sheetId="2" r:id="rId2"/>
    <sheet name="PivotTablesVolUndShift" sheetId="5" r:id="rId3"/>
    <sheet name="OptionsData" sheetId="3" r:id="rId4"/>
    <sheet name="PriceData" sheetId="4" r:id="rId5"/>
  </sheets>
  <functionGroups builtInGroupCount="19"/>
  <definedNames>
    <definedName name="HedgeRange">#REF!</definedName>
    <definedName name="NKY_StrikeList">PriceData!$B$32:$V$32</definedName>
    <definedName name="NKY_VolTable">PriceData!$A$33:$V$35</definedName>
    <definedName name="OptionLattice">#REF!</definedName>
    <definedName name="PnL">#REF!</definedName>
    <definedName name="SPX_StrikeList">PriceData!$B$14:$V$14</definedName>
    <definedName name="SPX_VolTable">PriceData!$A$15:$V$17</definedName>
    <definedName name="StockLattice">#REF!</definedName>
    <definedName name="SX5E_StrikeList">PriceData!$B$23:$V$23</definedName>
    <definedName name="SX5E_VolTable">PriceData!$A$24:$V$26</definedName>
  </definedNames>
  <calcPr calcId="191029"/>
  <pivotCaches>
    <pivotCache cacheId="0" r:id="rId6"/>
    <pivotCache cacheId="1" r:id="rId7"/>
    <pivotCache cacheId="6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4" l="1"/>
  <c r="B23" i="4"/>
  <c r="B14" i="4"/>
  <c r="H5" i="4"/>
  <c r="K87" i="3"/>
  <c r="C87" i="3"/>
  <c r="B87" i="3"/>
  <c r="K86" i="3"/>
  <c r="C86" i="3"/>
  <c r="B86" i="3"/>
  <c r="K85" i="3"/>
  <c r="C85" i="3"/>
  <c r="B85" i="3"/>
  <c r="K84" i="3"/>
  <c r="C84" i="3"/>
  <c r="B84" i="3"/>
  <c r="K83" i="3"/>
  <c r="C83" i="3"/>
  <c r="B83" i="3"/>
  <c r="K82" i="3"/>
  <c r="C82" i="3"/>
  <c r="B82" i="3"/>
  <c r="K81" i="3"/>
  <c r="C81" i="3"/>
  <c r="B81" i="3"/>
  <c r="K80" i="3"/>
  <c r="C80" i="3"/>
  <c r="B80" i="3"/>
  <c r="K79" i="3"/>
  <c r="C79" i="3"/>
  <c r="B79" i="3"/>
  <c r="K78" i="3"/>
  <c r="C78" i="3"/>
  <c r="B78" i="3"/>
  <c r="K77" i="3"/>
  <c r="C77" i="3"/>
  <c r="B77" i="3"/>
  <c r="K76" i="3"/>
  <c r="C76" i="3"/>
  <c r="B76" i="3"/>
  <c r="K75" i="3"/>
  <c r="C75" i="3"/>
  <c r="B75" i="3"/>
  <c r="K74" i="3"/>
  <c r="C74" i="3"/>
  <c r="B74" i="3"/>
  <c r="K73" i="3"/>
  <c r="C73" i="3"/>
  <c r="B73" i="3"/>
  <c r="K72" i="3"/>
  <c r="C72" i="3"/>
  <c r="B72" i="3"/>
  <c r="K71" i="3"/>
  <c r="C71" i="3"/>
  <c r="B71" i="3"/>
  <c r="K70" i="3"/>
  <c r="C70" i="3"/>
  <c r="B70" i="3"/>
  <c r="K69" i="3"/>
  <c r="C69" i="3"/>
  <c r="B69" i="3"/>
  <c r="K68" i="3"/>
  <c r="C68" i="3"/>
  <c r="B68" i="3"/>
  <c r="K67" i="3"/>
  <c r="C67" i="3"/>
  <c r="B67" i="3"/>
  <c r="K66" i="3"/>
  <c r="C66" i="3"/>
  <c r="B66" i="3"/>
  <c r="K65" i="3"/>
  <c r="C65" i="3"/>
  <c r="B65" i="3"/>
  <c r="K64" i="3"/>
  <c r="C64" i="3"/>
  <c r="B64" i="3"/>
  <c r="K63" i="3"/>
  <c r="C63" i="3"/>
  <c r="B63" i="3"/>
  <c r="C62" i="3"/>
  <c r="B62" i="3"/>
  <c r="K61" i="3"/>
  <c r="C61" i="3"/>
  <c r="B61" i="3"/>
  <c r="K60" i="3"/>
  <c r="C60" i="3"/>
  <c r="B60" i="3"/>
  <c r="K59" i="3"/>
  <c r="C59" i="3"/>
  <c r="B59" i="3"/>
  <c r="K58" i="3"/>
  <c r="C58" i="3"/>
  <c r="B58" i="3"/>
  <c r="K57" i="3"/>
  <c r="C57" i="3"/>
  <c r="B57" i="3"/>
  <c r="K56" i="3"/>
  <c r="C56" i="3"/>
  <c r="B56" i="3"/>
  <c r="K55" i="3"/>
  <c r="C55" i="3"/>
  <c r="B55" i="3"/>
  <c r="K54" i="3"/>
  <c r="C54" i="3"/>
  <c r="B54" i="3"/>
  <c r="K53" i="3"/>
  <c r="C53" i="3"/>
  <c r="B53" i="3"/>
  <c r="K52" i="3"/>
  <c r="C52" i="3"/>
  <c r="B52" i="3"/>
  <c r="K51" i="3"/>
  <c r="C51" i="3"/>
  <c r="B51" i="3"/>
  <c r="K50" i="3"/>
  <c r="C50" i="3"/>
  <c r="B50" i="3"/>
  <c r="K49" i="3"/>
  <c r="C49" i="3"/>
  <c r="B49" i="3"/>
  <c r="K48" i="3"/>
  <c r="C48" i="3"/>
  <c r="B48" i="3"/>
  <c r="K47" i="3"/>
  <c r="C47" i="3"/>
  <c r="B47" i="3"/>
  <c r="K46" i="3"/>
  <c r="C46" i="3"/>
  <c r="B46" i="3"/>
  <c r="K45" i="3"/>
  <c r="C45" i="3"/>
  <c r="B45" i="3"/>
  <c r="K44" i="3"/>
  <c r="C44" i="3"/>
  <c r="B44" i="3"/>
  <c r="K43" i="3"/>
  <c r="C43" i="3"/>
  <c r="B43" i="3"/>
  <c r="K42" i="3"/>
  <c r="C42" i="3"/>
  <c r="B42" i="3"/>
  <c r="K41" i="3"/>
  <c r="C41" i="3"/>
  <c r="B41" i="3"/>
  <c r="K40" i="3"/>
  <c r="C40" i="3"/>
  <c r="B40" i="3"/>
  <c r="K39" i="3"/>
  <c r="C39" i="3"/>
  <c r="B39" i="3"/>
  <c r="K38" i="3"/>
  <c r="C38" i="3"/>
  <c r="B38" i="3"/>
  <c r="K37" i="3"/>
  <c r="C37" i="3"/>
  <c r="B37" i="3"/>
  <c r="K36" i="3"/>
  <c r="C36" i="3"/>
  <c r="B36" i="3"/>
  <c r="K35" i="3"/>
  <c r="C35" i="3"/>
  <c r="B35" i="3"/>
  <c r="C34" i="3"/>
  <c r="B34" i="3"/>
  <c r="K33" i="3"/>
  <c r="C33" i="3"/>
  <c r="B33" i="3"/>
  <c r="K32" i="3"/>
  <c r="C32" i="3"/>
  <c r="B32" i="3"/>
  <c r="K31" i="3"/>
  <c r="C31" i="3"/>
  <c r="B31" i="3"/>
  <c r="K30" i="3"/>
  <c r="C30" i="3"/>
  <c r="B30" i="3"/>
  <c r="K29" i="3"/>
  <c r="C29" i="3"/>
  <c r="B29" i="3"/>
  <c r="K28" i="3"/>
  <c r="C28" i="3"/>
  <c r="B28" i="3"/>
  <c r="K27" i="3"/>
  <c r="C27" i="3"/>
  <c r="B27" i="3"/>
  <c r="K26" i="3"/>
  <c r="C26" i="3"/>
  <c r="B26" i="3"/>
  <c r="K25" i="3"/>
  <c r="C25" i="3"/>
  <c r="B25" i="3"/>
  <c r="K24" i="3"/>
  <c r="C24" i="3"/>
  <c r="B24" i="3"/>
  <c r="K23" i="3"/>
  <c r="C23" i="3"/>
  <c r="B23" i="3"/>
  <c r="K22" i="3"/>
  <c r="C22" i="3"/>
  <c r="B22" i="3"/>
  <c r="K21" i="3"/>
  <c r="C21" i="3"/>
  <c r="B21" i="3"/>
  <c r="K20" i="3"/>
  <c r="C20" i="3"/>
  <c r="B20" i="3"/>
  <c r="K19" i="3"/>
  <c r="C19" i="3"/>
  <c r="B19" i="3"/>
  <c r="K18" i="3"/>
  <c r="C18" i="3"/>
  <c r="B18" i="3"/>
  <c r="K17" i="3"/>
  <c r="C17" i="3"/>
  <c r="B17" i="3"/>
  <c r="K16" i="3"/>
  <c r="C16" i="3"/>
  <c r="B16" i="3"/>
  <c r="K15" i="3"/>
  <c r="C15" i="3"/>
  <c r="B15" i="3"/>
  <c r="K14" i="3"/>
  <c r="C14" i="3"/>
  <c r="B14" i="3"/>
  <c r="K13" i="3"/>
  <c r="C13" i="3"/>
  <c r="B13" i="3"/>
  <c r="K12" i="3"/>
  <c r="C12" i="3"/>
  <c r="B12" i="3"/>
  <c r="K11" i="3"/>
  <c r="C11" i="3"/>
  <c r="B11" i="3"/>
  <c r="K10" i="3"/>
  <c r="C10" i="3"/>
  <c r="B10" i="3"/>
  <c r="K9" i="3"/>
  <c r="C9" i="3"/>
  <c r="B9" i="3"/>
  <c r="K8" i="3"/>
  <c r="C8" i="3"/>
  <c r="B8" i="3"/>
  <c r="K7" i="3"/>
  <c r="C7" i="3"/>
  <c r="B7" i="3"/>
  <c r="K6" i="3"/>
  <c r="C6" i="3"/>
  <c r="B6" i="3"/>
  <c r="C5" i="3"/>
  <c r="B5" i="3"/>
  <c r="V35" i="4"/>
  <c r="F35" i="4"/>
  <c r="K34" i="4"/>
  <c r="P33" i="4"/>
  <c r="V26" i="4"/>
  <c r="F26" i="4"/>
  <c r="K25" i="4"/>
  <c r="P24" i="4"/>
  <c r="V17" i="4"/>
  <c r="F17" i="4"/>
  <c r="K16" i="4"/>
  <c r="P15" i="4"/>
  <c r="CH62" i="3"/>
  <c r="BI62" i="3"/>
  <c r="AM62" i="3"/>
  <c r="P62" i="3"/>
  <c r="U35" i="4"/>
  <c r="E35" i="4"/>
  <c r="J34" i="4"/>
  <c r="O33" i="4"/>
  <c r="U26" i="4"/>
  <c r="E26" i="4"/>
  <c r="J25" i="4"/>
  <c r="O24" i="4"/>
  <c r="U17" i="4"/>
  <c r="E17" i="4"/>
  <c r="J16" i="4"/>
  <c r="O15" i="4"/>
  <c r="CG62" i="3"/>
  <c r="BH62" i="3"/>
  <c r="AL62" i="3"/>
  <c r="L62" i="3"/>
  <c r="T35" i="4"/>
  <c r="D35" i="4"/>
  <c r="I34" i="4"/>
  <c r="N33" i="4"/>
  <c r="T26" i="4"/>
  <c r="D26" i="4"/>
  <c r="I25" i="4"/>
  <c r="J58" i="3" s="1"/>
  <c r="N24" i="4"/>
  <c r="T17" i="4"/>
  <c r="D17" i="4"/>
  <c r="I16" i="4"/>
  <c r="N15" i="4"/>
  <c r="S35" i="4"/>
  <c r="R35" i="4"/>
  <c r="B35" i="4"/>
  <c r="G34" i="4"/>
  <c r="L33" i="4"/>
  <c r="R26" i="4"/>
  <c r="B26" i="4"/>
  <c r="G25" i="4"/>
  <c r="L24" i="4"/>
  <c r="R17" i="4"/>
  <c r="B17" i="4"/>
  <c r="G16" i="4"/>
  <c r="L15" i="4"/>
  <c r="CA62" i="3"/>
  <c r="BB62" i="3"/>
  <c r="AI62" i="3"/>
  <c r="AD58" i="3"/>
  <c r="Q35" i="4"/>
  <c r="V34" i="4"/>
  <c r="F34" i="4"/>
  <c r="K33" i="4"/>
  <c r="Q26" i="4"/>
  <c r="V25" i="4"/>
  <c r="F25" i="4"/>
  <c r="K24" i="4"/>
  <c r="Q17" i="4"/>
  <c r="V16" i="4"/>
  <c r="F16" i="4"/>
  <c r="K15" i="4"/>
  <c r="J65" i="3"/>
  <c r="BZ62" i="3"/>
  <c r="BA62" i="3"/>
  <c r="AH62" i="3"/>
  <c r="AC58" i="3"/>
  <c r="P35" i="4"/>
  <c r="U34" i="4"/>
  <c r="E34" i="4"/>
  <c r="J33" i="4"/>
  <c r="P26" i="4"/>
  <c r="U25" i="4"/>
  <c r="E25" i="4"/>
  <c r="J24" i="4"/>
  <c r="P17" i="4"/>
  <c r="U16" i="4"/>
  <c r="E16" i="4"/>
  <c r="J15" i="4"/>
  <c r="J81" i="3"/>
  <c r="J79" i="3"/>
  <c r="BY62" i="3"/>
  <c r="AZ62" i="3"/>
  <c r="AG62" i="3"/>
  <c r="AB58" i="3"/>
  <c r="O35" i="4"/>
  <c r="T34" i="4"/>
  <c r="D34" i="4"/>
  <c r="I33" i="4"/>
  <c r="O26" i="4"/>
  <c r="T25" i="4"/>
  <c r="D25" i="4"/>
  <c r="I24" i="4"/>
  <c r="O17" i="4"/>
  <c r="T16" i="4"/>
  <c r="D16" i="4"/>
  <c r="I15" i="4"/>
  <c r="AH81" i="3"/>
  <c r="AC79" i="3"/>
  <c r="J66" i="3"/>
  <c r="BX62" i="3"/>
  <c r="AY62" i="3"/>
  <c r="AF62" i="3"/>
  <c r="N35" i="4"/>
  <c r="M35" i="4"/>
  <c r="L35" i="4"/>
  <c r="K35" i="4"/>
  <c r="J35" i="4"/>
  <c r="J83" i="3" s="1"/>
  <c r="I35" i="4"/>
  <c r="H35" i="4"/>
  <c r="M34" i="4"/>
  <c r="R33" i="4"/>
  <c r="B33" i="4"/>
  <c r="H26" i="4"/>
  <c r="M25" i="4"/>
  <c r="R24" i="4"/>
  <c r="B24" i="4"/>
  <c r="H17" i="4"/>
  <c r="M16" i="4"/>
  <c r="R15" i="4"/>
  <c r="B15" i="4"/>
  <c r="U81" i="3"/>
  <c r="T79" i="3"/>
  <c r="U66" i="3"/>
  <c r="T65" i="3"/>
  <c r="CM62" i="3"/>
  <c r="BN62" i="3"/>
  <c r="AO62" i="3"/>
  <c r="R62" i="3"/>
  <c r="P58" i="3"/>
  <c r="G35" i="4"/>
  <c r="L34" i="4"/>
  <c r="J78" i="3" s="1"/>
  <c r="Q33" i="4"/>
  <c r="G26" i="4"/>
  <c r="J61" i="3" s="1"/>
  <c r="L25" i="4"/>
  <c r="Q24" i="4"/>
  <c r="G17" i="4"/>
  <c r="L16" i="4"/>
  <c r="Q15" i="4"/>
  <c r="L83" i="3"/>
  <c r="T81" i="3"/>
  <c r="S79" i="3"/>
  <c r="R78" i="3"/>
  <c r="T66" i="3"/>
  <c r="S65" i="3"/>
  <c r="CL62" i="3"/>
  <c r="BJ62" i="3"/>
  <c r="AN62" i="3"/>
  <c r="Q62" i="3"/>
  <c r="S61" i="3"/>
  <c r="L58" i="3"/>
  <c r="C35" i="4"/>
  <c r="J84" i="3" s="1"/>
  <c r="G33" i="4"/>
  <c r="Q25" i="4"/>
  <c r="J55" i="3" s="1"/>
  <c r="D24" i="4"/>
  <c r="N16" i="4"/>
  <c r="U83" i="3"/>
  <c r="U79" i="3"/>
  <c r="T78" i="3"/>
  <c r="CB62" i="3"/>
  <c r="AJ62" i="3"/>
  <c r="T58" i="3"/>
  <c r="S34" i="4"/>
  <c r="F33" i="4"/>
  <c r="J68" i="3" s="1"/>
  <c r="P25" i="4"/>
  <c r="C24" i="4"/>
  <c r="H16" i="4"/>
  <c r="T83" i="3"/>
  <c r="U65" i="3"/>
  <c r="BW62" i="3"/>
  <c r="AE62" i="3"/>
  <c r="S58" i="3"/>
  <c r="S55" i="3"/>
  <c r="J52" i="3"/>
  <c r="R34" i="4"/>
  <c r="E33" i="4"/>
  <c r="O25" i="4"/>
  <c r="C16" i="4"/>
  <c r="J85" i="3"/>
  <c r="S83" i="3"/>
  <c r="P65" i="3"/>
  <c r="BV62" i="3"/>
  <c r="R58" i="3"/>
  <c r="R55" i="3"/>
  <c r="Q34" i="4"/>
  <c r="D33" i="4"/>
  <c r="N25" i="4"/>
  <c r="S17" i="4"/>
  <c r="B16" i="4"/>
  <c r="R83" i="3"/>
  <c r="AG81" i="3"/>
  <c r="L65" i="3"/>
  <c r="BR62" i="3"/>
  <c r="Q58" i="3"/>
  <c r="Q55" i="3"/>
  <c r="J36" i="3"/>
  <c r="P34" i="4"/>
  <c r="J82" i="3" s="1"/>
  <c r="C33" i="4"/>
  <c r="H25" i="4"/>
  <c r="N17" i="4"/>
  <c r="V15" i="4"/>
  <c r="AB85" i="3"/>
  <c r="Q83" i="3"/>
  <c r="AF81" i="3"/>
  <c r="BQ62" i="3"/>
  <c r="U62" i="3"/>
  <c r="P55" i="3"/>
  <c r="AI52" i="3"/>
  <c r="J35" i="3"/>
  <c r="O34" i="4"/>
  <c r="C25" i="4"/>
  <c r="M17" i="4"/>
  <c r="U15" i="4"/>
  <c r="J87" i="3"/>
  <c r="AI84" i="3"/>
  <c r="P83" i="3"/>
  <c r="AG68" i="3"/>
  <c r="BP62" i="3"/>
  <c r="T62" i="3"/>
  <c r="L55" i="3"/>
  <c r="J53" i="3"/>
  <c r="AF52" i="3"/>
  <c r="N34" i="4"/>
  <c r="S26" i="4"/>
  <c r="B25" i="4"/>
  <c r="L17" i="4"/>
  <c r="T15" i="4"/>
  <c r="AB84" i="3"/>
  <c r="J73" i="3"/>
  <c r="BO62" i="3"/>
  <c r="S62" i="3"/>
  <c r="J56" i="3"/>
  <c r="AE52" i="3"/>
  <c r="AB35" i="3"/>
  <c r="J30" i="3"/>
  <c r="H34" i="4"/>
  <c r="N26" i="4"/>
  <c r="V24" i="4"/>
  <c r="K17" i="4"/>
  <c r="S15" i="4"/>
  <c r="AI87" i="3"/>
  <c r="R84" i="3"/>
  <c r="R68" i="3"/>
  <c r="BG62" i="3"/>
  <c r="AI61" i="3"/>
  <c r="AD52" i="3"/>
  <c r="J50" i="3"/>
  <c r="J31" i="3"/>
  <c r="C34" i="4"/>
  <c r="M26" i="4"/>
  <c r="U24" i="4"/>
  <c r="J17" i="4"/>
  <c r="M15" i="4"/>
  <c r="Q84" i="3"/>
  <c r="AC83" i="3"/>
  <c r="AI82" i="3"/>
  <c r="M33" i="4"/>
  <c r="S25" i="4"/>
  <c r="F24" i="4"/>
  <c r="J47" i="3" s="1"/>
  <c r="P16" i="4"/>
  <c r="C15" i="4"/>
  <c r="L82" i="3"/>
  <c r="AE73" i="3"/>
  <c r="J67" i="3"/>
  <c r="AD65" i="3"/>
  <c r="CN62" i="3"/>
  <c r="AP62" i="3"/>
  <c r="U61" i="3"/>
  <c r="J59" i="3"/>
  <c r="AG55" i="3"/>
  <c r="AE53" i="3"/>
  <c r="Q52" i="3"/>
  <c r="U50" i="3"/>
  <c r="H33" i="4"/>
  <c r="R25" i="4"/>
  <c r="E24" i="4"/>
  <c r="O16" i="4"/>
  <c r="S85" i="3"/>
  <c r="AH83" i="3"/>
  <c r="U78" i="3"/>
  <c r="AD73" i="3"/>
  <c r="CC62" i="3"/>
  <c r="AK62" i="3"/>
  <c r="P61" i="3"/>
  <c r="U58" i="3"/>
  <c r="AC53" i="3"/>
  <c r="P52" i="3"/>
  <c r="B34" i="4"/>
  <c r="AH73" i="3"/>
  <c r="BF62" i="3"/>
  <c r="J57" i="3"/>
  <c r="J54" i="3"/>
  <c r="U47" i="3"/>
  <c r="T36" i="3"/>
  <c r="R35" i="3"/>
  <c r="AB31" i="3"/>
  <c r="V33" i="4"/>
  <c r="I17" i="4"/>
  <c r="AG73" i="3"/>
  <c r="L68" i="3"/>
  <c r="AX62" i="3"/>
  <c r="AI55" i="3"/>
  <c r="AC52" i="3"/>
  <c r="T50" i="3"/>
  <c r="J49" i="3"/>
  <c r="T47" i="3"/>
  <c r="S36" i="3"/>
  <c r="Q35" i="3"/>
  <c r="J33" i="3"/>
  <c r="J11" i="3"/>
  <c r="U33" i="4"/>
  <c r="C17" i="4"/>
  <c r="AF73" i="3"/>
  <c r="AW62" i="3"/>
  <c r="AH55" i="3"/>
  <c r="AB52" i="3"/>
  <c r="S50" i="3"/>
  <c r="S47" i="3"/>
  <c r="R36" i="3"/>
  <c r="J34" i="3"/>
  <c r="J27" i="3"/>
  <c r="AG11" i="3"/>
  <c r="T33" i="4"/>
  <c r="S16" i="4"/>
  <c r="J86" i="3"/>
  <c r="AV62" i="3"/>
  <c r="S33" i="4"/>
  <c r="R16" i="4"/>
  <c r="P81" i="3"/>
  <c r="AU62" i="3"/>
  <c r="AF58" i="3"/>
  <c r="U52" i="3"/>
  <c r="Q47" i="3"/>
  <c r="P36" i="3"/>
  <c r="J32" i="3"/>
  <c r="T31" i="3"/>
  <c r="U30" i="3"/>
  <c r="J26" i="3"/>
  <c r="J22" i="3"/>
  <c r="AE11" i="3"/>
  <c r="Q16" i="4"/>
  <c r="AQ62" i="3"/>
  <c r="AE58" i="3"/>
  <c r="T52" i="3"/>
  <c r="P47" i="3"/>
  <c r="J41" i="3"/>
  <c r="T30" i="3"/>
  <c r="AE26" i="3"/>
  <c r="AD11" i="3"/>
  <c r="L26" i="4"/>
  <c r="H15" i="4"/>
  <c r="J7" i="3" s="1"/>
  <c r="J71" i="3"/>
  <c r="R67" i="3"/>
  <c r="R52" i="3"/>
  <c r="J45" i="3"/>
  <c r="S30" i="3"/>
  <c r="AD26" i="3"/>
  <c r="J9" i="3"/>
  <c r="K26" i="4"/>
  <c r="G15" i="4"/>
  <c r="AH82" i="3"/>
  <c r="AI78" i="3"/>
  <c r="Q67" i="3"/>
  <c r="CE62" i="3"/>
  <c r="R30" i="3"/>
  <c r="AC26" i="3"/>
  <c r="AG9" i="3"/>
  <c r="J26" i="4"/>
  <c r="F15" i="4"/>
  <c r="J6" i="3" s="1"/>
  <c r="AG82" i="3"/>
  <c r="AB78" i="3"/>
  <c r="P67" i="3"/>
  <c r="AC59" i="3"/>
  <c r="J37" i="3"/>
  <c r="J29" i="3"/>
  <c r="J20" i="3"/>
  <c r="I26" i="4"/>
  <c r="J60" i="3" s="1"/>
  <c r="E15" i="4"/>
  <c r="P84" i="3"/>
  <c r="AF82" i="3"/>
  <c r="L67" i="3"/>
  <c r="AB59" i="3"/>
  <c r="AE34" i="3"/>
  <c r="AG33" i="3"/>
  <c r="J24" i="3"/>
  <c r="AG20" i="3"/>
  <c r="J19" i="3"/>
  <c r="J16" i="3"/>
  <c r="U11" i="3"/>
  <c r="AE9" i="3"/>
  <c r="H24" i="4"/>
  <c r="Q68" i="3"/>
  <c r="Q66" i="3"/>
  <c r="AC61" i="3"/>
  <c r="P60" i="3"/>
  <c r="L54" i="3"/>
  <c r="AG53" i="3"/>
  <c r="AB50" i="3"/>
  <c r="P49" i="3"/>
  <c r="J48" i="3"/>
  <c r="S41" i="3"/>
  <c r="J40" i="3"/>
  <c r="AE37" i="3"/>
  <c r="T35" i="3"/>
  <c r="R34" i="3"/>
  <c r="U33" i="3"/>
  <c r="AD32" i="3"/>
  <c r="AE31" i="3"/>
  <c r="S27" i="3"/>
  <c r="G24" i="4"/>
  <c r="J42" i="3" s="1"/>
  <c r="P40" i="3"/>
  <c r="AD37" i="3"/>
  <c r="U35" i="3"/>
  <c r="T33" i="3"/>
  <c r="AD31" i="3"/>
  <c r="U26" i="3"/>
  <c r="T22" i="3"/>
  <c r="AG16" i="3"/>
  <c r="S7" i="3"/>
  <c r="P6" i="3"/>
  <c r="U27" i="3"/>
  <c r="AF37" i="3"/>
  <c r="AH16" i="3"/>
  <c r="C26" i="4"/>
  <c r="P66" i="3"/>
  <c r="J63" i="3"/>
  <c r="Q60" i="3"/>
  <c r="L40" i="3"/>
  <c r="S35" i="3"/>
  <c r="U31" i="3"/>
  <c r="T26" i="3"/>
  <c r="S22" i="3"/>
  <c r="J17" i="3"/>
  <c r="AF16" i="3"/>
  <c r="R7" i="3"/>
  <c r="J5" i="3"/>
  <c r="Q7" i="3"/>
  <c r="AC6" i="3"/>
  <c r="T24" i="4"/>
  <c r="R29" i="3"/>
  <c r="AI27" i="3"/>
  <c r="S26" i="3"/>
  <c r="R22" i="3"/>
  <c r="AF20" i="3"/>
  <c r="AH19" i="3"/>
  <c r="AD16" i="3"/>
  <c r="Q54" i="3"/>
  <c r="AC20" i="3"/>
  <c r="J12" i="3"/>
  <c r="AD9" i="3"/>
  <c r="T11" i="3"/>
  <c r="AG37" i="3"/>
  <c r="L63" i="3"/>
  <c r="U22" i="3"/>
  <c r="S24" i="4"/>
  <c r="L84" i="3"/>
  <c r="J80" i="3"/>
  <c r="AC41" i="3"/>
  <c r="AH27" i="3"/>
  <c r="R26" i="3"/>
  <c r="J25" i="3"/>
  <c r="Q22" i="3"/>
  <c r="AE20" i="3"/>
  <c r="AG19" i="3"/>
  <c r="P7" i="3"/>
  <c r="AH32" i="3"/>
  <c r="Q26" i="3"/>
  <c r="L7" i="3"/>
  <c r="T63" i="3"/>
  <c r="M24" i="4"/>
  <c r="R41" i="3"/>
  <c r="AG26" i="3"/>
  <c r="J10" i="3"/>
  <c r="U53" i="3"/>
  <c r="P54" i="3"/>
  <c r="AH47" i="3"/>
  <c r="L41" i="3"/>
  <c r="AD34" i="3"/>
  <c r="AG32" i="3"/>
  <c r="T27" i="3"/>
  <c r="J18" i="3"/>
  <c r="S16" i="3"/>
  <c r="J13" i="3"/>
  <c r="AF11" i="3"/>
  <c r="AG6" i="3"/>
  <c r="AC34" i="3"/>
  <c r="AI10" i="3"/>
  <c r="AF6" i="3"/>
  <c r="AF31" i="3"/>
  <c r="D15" i="4"/>
  <c r="J72" i="3"/>
  <c r="R49" i="3"/>
  <c r="AF32" i="3"/>
  <c r="R27" i="3"/>
  <c r="J70" i="3"/>
  <c r="Q6" i="3"/>
  <c r="AI79" i="3"/>
  <c r="S59" i="3"/>
  <c r="Q49" i="3"/>
  <c r="AE32" i="3"/>
  <c r="J23" i="3"/>
  <c r="U20" i="3"/>
  <c r="S11" i="3"/>
  <c r="AH10" i="3"/>
  <c r="AE6" i="3"/>
  <c r="AC5" i="3"/>
  <c r="T5" i="3"/>
  <c r="AI37" i="3"/>
  <c r="AG31" i="3"/>
  <c r="Q40" i="3"/>
  <c r="T7" i="3"/>
  <c r="R59" i="3"/>
  <c r="J51" i="3"/>
  <c r="L49" i="3"/>
  <c r="R47" i="3"/>
  <c r="J38" i="3"/>
  <c r="U36" i="3"/>
  <c r="AC32" i="3"/>
  <c r="Q20" i="3"/>
  <c r="R19" i="3"/>
  <c r="R11" i="3"/>
  <c r="AG10" i="3"/>
  <c r="U9" i="3"/>
  <c r="AE5" i="3"/>
  <c r="J21" i="3"/>
  <c r="S6" i="3"/>
  <c r="AI50" i="3"/>
  <c r="U7" i="3"/>
  <c r="P5" i="3"/>
  <c r="P68" i="3"/>
  <c r="AH61" i="3"/>
  <c r="U42" i="3"/>
  <c r="Q36" i="3"/>
  <c r="Q34" i="3"/>
  <c r="AE21" i="3"/>
  <c r="AD17" i="3"/>
  <c r="J14" i="3"/>
  <c r="Q11" i="3"/>
  <c r="AF10" i="3"/>
  <c r="T9" i="3"/>
  <c r="Q9" i="3"/>
  <c r="AI53" i="3"/>
  <c r="J44" i="3"/>
  <c r="Q5" i="3"/>
  <c r="AE82" i="3"/>
  <c r="AB61" i="3"/>
  <c r="T42" i="3"/>
  <c r="AC17" i="3"/>
  <c r="P11" i="3"/>
  <c r="AD10" i="3"/>
  <c r="R5" i="3"/>
  <c r="AH53" i="3"/>
  <c r="T82" i="3"/>
  <c r="AB49" i="3"/>
  <c r="L44" i="3"/>
  <c r="S42" i="3"/>
  <c r="T21" i="3"/>
  <c r="AB17" i="3"/>
  <c r="L11" i="3"/>
  <c r="AC10" i="3"/>
  <c r="P9" i="3"/>
  <c r="U6" i="3"/>
  <c r="S5" i="3"/>
  <c r="Q42" i="3"/>
  <c r="J28" i="3"/>
  <c r="T10" i="3"/>
  <c r="T6" i="3"/>
  <c r="S24" i="3"/>
  <c r="J15" i="3"/>
  <c r="U48" i="3"/>
  <c r="R6" i="3"/>
  <c r="AH50" i="3"/>
  <c r="J39" i="3"/>
  <c r="Q25" i="3"/>
  <c r="T17" i="3"/>
  <c r="J8" i="3"/>
  <c r="AG58" i="3"/>
  <c r="AH58" i="3"/>
  <c r="Q65" i="3"/>
  <c r="R65" i="3"/>
  <c r="AI81" i="3"/>
  <c r="L81" i="3"/>
  <c r="Q81" i="3"/>
  <c r="R81" i="3"/>
  <c r="S81" i="3"/>
  <c r="AE79" i="3"/>
  <c r="AF79" i="3"/>
  <c r="L79" i="3"/>
  <c r="AG79" i="3"/>
  <c r="P79" i="3"/>
  <c r="Q79" i="3"/>
  <c r="R79" i="3"/>
  <c r="AD66" i="3"/>
  <c r="AE66" i="3"/>
  <c r="L66" i="3"/>
  <c r="R66" i="3"/>
  <c r="S66" i="3"/>
  <c r="AD83" i="3"/>
  <c r="AE83" i="3"/>
  <c r="AF83" i="3"/>
  <c r="AG83" i="3"/>
  <c r="AI83" i="3"/>
  <c r="S78" i="3"/>
  <c r="AC78" i="3"/>
  <c r="AD78" i="3"/>
  <c r="AF78" i="3"/>
  <c r="AH78" i="3"/>
  <c r="L78" i="3"/>
  <c r="P78" i="3"/>
  <c r="Q78" i="3"/>
  <c r="T61" i="3"/>
  <c r="AD61" i="3"/>
  <c r="AE61" i="3"/>
  <c r="AF61" i="3"/>
  <c r="L61" i="3"/>
  <c r="AG61" i="3"/>
  <c r="Q61" i="3"/>
  <c r="R61" i="3"/>
  <c r="AF84" i="3"/>
  <c r="AG84" i="3"/>
  <c r="S84" i="3"/>
  <c r="T84" i="3"/>
  <c r="U84" i="3"/>
  <c r="AC84" i="3"/>
  <c r="AD84" i="3"/>
  <c r="AH84" i="3"/>
  <c r="AE84" i="3"/>
  <c r="AE55" i="3"/>
  <c r="AF55" i="3"/>
  <c r="T55" i="3"/>
  <c r="U55" i="3"/>
  <c r="AC55" i="3"/>
  <c r="AD55" i="3"/>
  <c r="S68" i="3"/>
  <c r="T68" i="3"/>
  <c r="U68" i="3"/>
  <c r="AH68" i="3"/>
  <c r="AI68" i="3"/>
  <c r="AG52" i="3"/>
  <c r="AH52" i="3"/>
  <c r="L52" i="3"/>
  <c r="S52" i="3"/>
  <c r="L85" i="3"/>
  <c r="AE85" i="3"/>
  <c r="AG85" i="3"/>
  <c r="P85" i="3"/>
  <c r="Q85" i="3"/>
  <c r="R85" i="3"/>
  <c r="T85" i="3"/>
  <c r="U85" i="3"/>
  <c r="L36" i="3"/>
  <c r="AC82" i="3"/>
  <c r="AD82" i="3"/>
  <c r="P82" i="3"/>
  <c r="Q82" i="3"/>
  <c r="R82" i="3"/>
  <c r="S82" i="3"/>
  <c r="U82" i="3"/>
  <c r="L35" i="3"/>
  <c r="P35" i="3"/>
  <c r="J77" i="3"/>
  <c r="J76" i="3"/>
  <c r="L87" i="3"/>
  <c r="P87" i="3"/>
  <c r="U87" i="3"/>
  <c r="Q87" i="3"/>
  <c r="R87" i="3"/>
  <c r="S87" i="3"/>
  <c r="T87" i="3"/>
  <c r="L53" i="3"/>
  <c r="P53" i="3"/>
  <c r="Q53" i="3"/>
  <c r="R53" i="3"/>
  <c r="S53" i="3"/>
  <c r="T53" i="3"/>
  <c r="AF53" i="3"/>
  <c r="L73" i="3"/>
  <c r="P73" i="3"/>
  <c r="U73" i="3"/>
  <c r="AC73" i="3"/>
  <c r="AB73" i="3"/>
  <c r="Q73" i="3"/>
  <c r="AI73" i="3"/>
  <c r="R73" i="3"/>
  <c r="S73" i="3"/>
  <c r="T73" i="3"/>
  <c r="R56" i="3"/>
  <c r="S56" i="3"/>
  <c r="T56" i="3"/>
  <c r="U56" i="3"/>
  <c r="P56" i="3"/>
  <c r="Q56" i="3"/>
  <c r="L56" i="3"/>
  <c r="L30" i="3"/>
  <c r="P30" i="3"/>
  <c r="Q30" i="3"/>
  <c r="J75" i="3"/>
  <c r="J74" i="3"/>
  <c r="L50" i="3"/>
  <c r="P50" i="3"/>
  <c r="Q50" i="3"/>
  <c r="R50" i="3"/>
  <c r="AH31" i="3"/>
  <c r="AI31" i="3"/>
  <c r="L31" i="3"/>
  <c r="P31" i="3"/>
  <c r="Q31" i="3"/>
  <c r="R31" i="3"/>
  <c r="S31" i="3"/>
  <c r="AB47" i="3"/>
  <c r="AC47" i="3"/>
  <c r="AD47" i="3"/>
  <c r="AE47" i="3"/>
  <c r="L47" i="3"/>
  <c r="AF47" i="3"/>
  <c r="AH67" i="3"/>
  <c r="AI67" i="3"/>
  <c r="AE67" i="3"/>
  <c r="AG67" i="3"/>
  <c r="S67" i="3"/>
  <c r="T67" i="3"/>
  <c r="U67" i="3"/>
  <c r="AB67" i="3"/>
  <c r="AD67" i="3"/>
  <c r="AD59" i="3"/>
  <c r="AE59" i="3"/>
  <c r="AG59" i="3"/>
  <c r="AH59" i="3"/>
  <c r="L59" i="3"/>
  <c r="AI59" i="3"/>
  <c r="P59" i="3"/>
  <c r="Q59" i="3"/>
  <c r="T59" i="3"/>
  <c r="U59" i="3"/>
  <c r="J64" i="3"/>
  <c r="J69" i="3"/>
  <c r="L57" i="3"/>
  <c r="T57" i="3"/>
  <c r="U57" i="3"/>
  <c r="AG57" i="3"/>
  <c r="AH57" i="3"/>
  <c r="AI57" i="3"/>
  <c r="AC57" i="3"/>
  <c r="AD57" i="3"/>
  <c r="P57" i="3"/>
  <c r="Q57" i="3"/>
  <c r="R57" i="3"/>
  <c r="S57" i="3"/>
  <c r="AB57" i="3"/>
  <c r="R54" i="3"/>
  <c r="S54" i="3"/>
  <c r="AC54" i="3"/>
  <c r="AE54" i="3"/>
  <c r="AD54" i="3"/>
  <c r="T54" i="3"/>
  <c r="U54" i="3"/>
  <c r="AB54" i="3"/>
  <c r="S49" i="3"/>
  <c r="T49" i="3"/>
  <c r="U49" i="3"/>
  <c r="L33" i="3"/>
  <c r="P33" i="3"/>
  <c r="Q33" i="3"/>
  <c r="R33" i="3"/>
  <c r="S33" i="3"/>
  <c r="L34" i="3"/>
  <c r="P34" i="3"/>
  <c r="S34" i="3"/>
  <c r="T34" i="3"/>
  <c r="U34" i="3"/>
  <c r="P27" i="3"/>
  <c r="L27" i="3"/>
  <c r="Q27" i="3"/>
  <c r="L86" i="3"/>
  <c r="AI86" i="3"/>
  <c r="T86" i="3"/>
  <c r="AC86" i="3"/>
  <c r="AE86" i="3"/>
  <c r="P86" i="3"/>
  <c r="Q86" i="3"/>
  <c r="R86" i="3"/>
  <c r="S86" i="3"/>
  <c r="U86" i="3"/>
  <c r="U32" i="3"/>
  <c r="AB32" i="3"/>
  <c r="L32" i="3"/>
  <c r="AI32" i="3"/>
  <c r="P32" i="3"/>
  <c r="Q32" i="3"/>
  <c r="R32" i="3"/>
  <c r="S32" i="3"/>
  <c r="T32" i="3"/>
  <c r="AF26" i="3"/>
  <c r="L26" i="3"/>
  <c r="AH26" i="3"/>
  <c r="AI26" i="3"/>
  <c r="P26" i="3"/>
  <c r="L22" i="3"/>
  <c r="P22" i="3"/>
  <c r="P41" i="3"/>
  <c r="Q41" i="3"/>
  <c r="T41" i="3"/>
  <c r="U41" i="3"/>
  <c r="AH71" i="3"/>
  <c r="AI71" i="3"/>
  <c r="L71" i="3"/>
  <c r="T71" i="3"/>
  <c r="U71" i="3"/>
  <c r="AD71" i="3"/>
  <c r="AE71" i="3"/>
  <c r="AF71" i="3"/>
  <c r="AG71" i="3"/>
  <c r="AB71" i="3"/>
  <c r="P71" i="3"/>
  <c r="Q71" i="3"/>
  <c r="R71" i="3"/>
  <c r="S71" i="3"/>
  <c r="L45" i="3"/>
  <c r="P45" i="3"/>
  <c r="Q45" i="3"/>
  <c r="R45" i="3"/>
  <c r="S45" i="3"/>
  <c r="T45" i="3"/>
  <c r="U45" i="3"/>
  <c r="AI9" i="3"/>
  <c r="AF9" i="3"/>
  <c r="L9" i="3"/>
  <c r="R9" i="3"/>
  <c r="S9" i="3"/>
  <c r="L6" i="3"/>
  <c r="L37" i="3"/>
  <c r="P37" i="3"/>
  <c r="AB37" i="3"/>
  <c r="AC37" i="3"/>
  <c r="Q37" i="3"/>
  <c r="R37" i="3"/>
  <c r="S37" i="3"/>
  <c r="T37" i="3"/>
  <c r="U37" i="3"/>
  <c r="L29" i="3"/>
  <c r="P29" i="3"/>
  <c r="Q29" i="3"/>
  <c r="S29" i="3"/>
  <c r="T29" i="3"/>
  <c r="U29" i="3"/>
  <c r="AI20" i="3"/>
  <c r="L20" i="3"/>
  <c r="P20" i="3"/>
  <c r="R20" i="3"/>
  <c r="S20" i="3"/>
  <c r="T20" i="3"/>
  <c r="AI60" i="3"/>
  <c r="T60" i="3"/>
  <c r="U60" i="3"/>
  <c r="L60" i="3"/>
  <c r="R60" i="3"/>
  <c r="S60" i="3"/>
  <c r="L24" i="3"/>
  <c r="P24" i="3"/>
  <c r="Q24" i="3"/>
  <c r="R24" i="3"/>
  <c r="T24" i="3"/>
  <c r="U24" i="3"/>
  <c r="L19" i="3"/>
  <c r="P19" i="3"/>
  <c r="Q19" i="3"/>
  <c r="S19" i="3"/>
  <c r="T19" i="3"/>
  <c r="U19" i="3"/>
  <c r="AI16" i="3"/>
  <c r="L16" i="3"/>
  <c r="P16" i="3"/>
  <c r="Q16" i="3"/>
  <c r="R16" i="3"/>
  <c r="T16" i="3"/>
  <c r="U16" i="3"/>
  <c r="AB48" i="3"/>
  <c r="AC48" i="3"/>
  <c r="AD48" i="3"/>
  <c r="L48" i="3"/>
  <c r="AE48" i="3"/>
  <c r="AF48" i="3"/>
  <c r="P48" i="3"/>
  <c r="AG48" i="3"/>
  <c r="Q48" i="3"/>
  <c r="R48" i="3"/>
  <c r="S48" i="3"/>
  <c r="T48" i="3"/>
  <c r="AG40" i="3"/>
  <c r="AH40" i="3"/>
  <c r="R40" i="3"/>
  <c r="S40" i="3"/>
  <c r="T40" i="3"/>
  <c r="U40" i="3"/>
  <c r="AC40" i="3"/>
  <c r="AE40" i="3"/>
  <c r="AF40" i="3"/>
  <c r="R42" i="3"/>
  <c r="L42" i="3"/>
  <c r="P42" i="3"/>
  <c r="AB42" i="3"/>
  <c r="AE42" i="3"/>
  <c r="AF42" i="3"/>
  <c r="AG42" i="3"/>
  <c r="AH42" i="3"/>
  <c r="U63" i="3"/>
  <c r="AF63" i="3"/>
  <c r="P63" i="3"/>
  <c r="Q63" i="3"/>
  <c r="R63" i="3"/>
  <c r="S63" i="3"/>
  <c r="AE17" i="3"/>
  <c r="L17" i="3"/>
  <c r="AF17" i="3"/>
  <c r="P17" i="3"/>
  <c r="AG17" i="3"/>
  <c r="Q17" i="3"/>
  <c r="AH17" i="3"/>
  <c r="R17" i="3"/>
  <c r="AI17" i="3"/>
  <c r="S17" i="3"/>
  <c r="U17" i="3"/>
  <c r="L5" i="3"/>
  <c r="U5" i="3"/>
  <c r="AB5" i="3"/>
  <c r="L12" i="3"/>
  <c r="P12" i="3"/>
  <c r="Q12" i="3"/>
  <c r="R12" i="3"/>
  <c r="S12" i="3"/>
  <c r="T12" i="3"/>
  <c r="U12" i="3"/>
  <c r="S80" i="3"/>
  <c r="T80" i="3"/>
  <c r="U80" i="3"/>
  <c r="AI80" i="3"/>
  <c r="Q80" i="3"/>
  <c r="R80" i="3"/>
  <c r="AD80" i="3"/>
  <c r="AF80" i="3"/>
  <c r="L80" i="3"/>
  <c r="P80" i="3"/>
  <c r="L25" i="3"/>
  <c r="P25" i="3"/>
  <c r="R25" i="3"/>
  <c r="S25" i="3"/>
  <c r="T25" i="3"/>
  <c r="U25" i="3"/>
  <c r="J43" i="3"/>
  <c r="J46" i="3"/>
  <c r="L10" i="3"/>
  <c r="P10" i="3"/>
  <c r="Q10" i="3"/>
  <c r="R10" i="3"/>
  <c r="S10" i="3"/>
  <c r="U10" i="3"/>
  <c r="AB10" i="3"/>
  <c r="L18" i="3"/>
  <c r="P18" i="3"/>
  <c r="Q18" i="3"/>
  <c r="R18" i="3"/>
  <c r="S18" i="3"/>
  <c r="T18" i="3"/>
  <c r="U18" i="3"/>
  <c r="L13" i="3"/>
  <c r="AI13" i="3"/>
  <c r="P13" i="3"/>
  <c r="Q13" i="3"/>
  <c r="R13" i="3"/>
  <c r="S13" i="3"/>
  <c r="T13" i="3"/>
  <c r="U13" i="3"/>
  <c r="L72" i="3"/>
  <c r="P72" i="3"/>
  <c r="U72" i="3"/>
  <c r="AF72" i="3"/>
  <c r="AG72" i="3"/>
  <c r="AH72" i="3"/>
  <c r="AI72" i="3"/>
  <c r="AD72" i="3"/>
  <c r="AE72" i="3"/>
  <c r="Q72" i="3"/>
  <c r="R72" i="3"/>
  <c r="S72" i="3"/>
  <c r="T72" i="3"/>
  <c r="AB72" i="3"/>
  <c r="AC72" i="3"/>
  <c r="L70" i="3"/>
  <c r="P70" i="3"/>
  <c r="Q70" i="3"/>
  <c r="R70" i="3"/>
  <c r="S70" i="3"/>
  <c r="T70" i="3"/>
  <c r="U70" i="3"/>
  <c r="T23" i="3"/>
  <c r="L23" i="3"/>
  <c r="P23" i="3"/>
  <c r="Q23" i="3"/>
  <c r="R23" i="3"/>
  <c r="S23" i="3"/>
  <c r="U23" i="3"/>
  <c r="L51" i="3"/>
  <c r="Q51" i="3"/>
  <c r="P51" i="3"/>
  <c r="AI51" i="3"/>
  <c r="R51" i="3"/>
  <c r="S51" i="3"/>
  <c r="T51" i="3"/>
  <c r="U51" i="3"/>
  <c r="AB51" i="3"/>
  <c r="AH51" i="3"/>
  <c r="L38" i="3"/>
  <c r="P38" i="3"/>
  <c r="R38" i="3"/>
  <c r="Q38" i="3"/>
  <c r="S38" i="3"/>
  <c r="T38" i="3"/>
  <c r="U38" i="3"/>
  <c r="AC38" i="3"/>
  <c r="AD38" i="3"/>
  <c r="AF38" i="3"/>
  <c r="AG38" i="3"/>
  <c r="AF21" i="3"/>
  <c r="AG21" i="3"/>
  <c r="AH21" i="3"/>
  <c r="L21" i="3"/>
  <c r="P21" i="3"/>
  <c r="Q21" i="3"/>
  <c r="R21" i="3"/>
  <c r="S21" i="3"/>
  <c r="U21" i="3"/>
  <c r="P14" i="3"/>
  <c r="Q14" i="3"/>
  <c r="R14" i="3"/>
  <c r="S14" i="3"/>
  <c r="T14" i="3"/>
  <c r="U14" i="3"/>
  <c r="AH14" i="3"/>
  <c r="AE14" i="3"/>
  <c r="AF14" i="3"/>
  <c r="AG14" i="3"/>
  <c r="L14" i="3"/>
  <c r="AG44" i="3"/>
  <c r="AC44" i="3"/>
  <c r="AF44" i="3"/>
  <c r="P44" i="3"/>
  <c r="Q44" i="3"/>
  <c r="R44" i="3"/>
  <c r="S44" i="3"/>
  <c r="T44" i="3"/>
  <c r="U44" i="3"/>
  <c r="AB28" i="3"/>
  <c r="AF28" i="3"/>
  <c r="AH28" i="3"/>
  <c r="AG28" i="3"/>
  <c r="L28" i="3"/>
  <c r="P28" i="3"/>
  <c r="U28" i="3"/>
  <c r="AC28" i="3"/>
  <c r="AD28" i="3"/>
  <c r="AE28" i="3"/>
  <c r="Q28" i="3"/>
  <c r="R28" i="3"/>
  <c r="S28" i="3"/>
  <c r="T28" i="3"/>
  <c r="T15" i="3"/>
  <c r="AC15" i="3"/>
  <c r="AD15" i="3"/>
  <c r="AE15" i="3"/>
  <c r="AG15" i="3"/>
  <c r="AH15" i="3"/>
  <c r="AI15" i="3"/>
  <c r="L15" i="3"/>
  <c r="P15" i="3"/>
  <c r="Q15" i="3"/>
  <c r="R15" i="3"/>
  <c r="S15" i="3"/>
  <c r="U15" i="3"/>
  <c r="AB15" i="3"/>
  <c r="L39" i="3"/>
  <c r="P39" i="3"/>
  <c r="Q39" i="3"/>
  <c r="R39" i="3"/>
  <c r="S39" i="3"/>
  <c r="T39" i="3"/>
  <c r="U39" i="3"/>
  <c r="AC39" i="3"/>
  <c r="AE39" i="3"/>
  <c r="AF39" i="3"/>
  <c r="AG39" i="3"/>
  <c r="AH39" i="3"/>
  <c r="AI39" i="3"/>
  <c r="P8" i="3"/>
  <c r="Q8" i="3"/>
  <c r="L8" i="3"/>
  <c r="R8" i="3"/>
  <c r="AH8" i="3"/>
  <c r="AG8" i="3"/>
  <c r="AI8" i="3"/>
  <c r="S8" i="3"/>
  <c r="T8" i="3"/>
  <c r="U8" i="3"/>
  <c r="AH77" i="3"/>
  <c r="AB77" i="3"/>
  <c r="AC77" i="3"/>
  <c r="T77" i="3"/>
  <c r="U77" i="3"/>
  <c r="S77" i="3"/>
  <c r="Q77" i="3"/>
  <c r="R77" i="3"/>
  <c r="AD77" i="3"/>
  <c r="AE77" i="3"/>
  <c r="AF77" i="3"/>
  <c r="AG77" i="3"/>
  <c r="L77" i="3"/>
  <c r="AI77" i="3"/>
  <c r="P77" i="3"/>
  <c r="T76" i="3"/>
  <c r="U76" i="3"/>
  <c r="R76" i="3"/>
  <c r="S76" i="3"/>
  <c r="Q76" i="3"/>
  <c r="P76" i="3"/>
  <c r="L76" i="3"/>
  <c r="AI75" i="3"/>
  <c r="L75" i="3"/>
  <c r="P75" i="3"/>
  <c r="Q75" i="3"/>
  <c r="R75" i="3"/>
  <c r="S75" i="3"/>
  <c r="AH75" i="3"/>
  <c r="AE75" i="3"/>
  <c r="AF75" i="3"/>
  <c r="T75" i="3"/>
  <c r="U75" i="3"/>
  <c r="AB75" i="3"/>
  <c r="AC75" i="3"/>
  <c r="L74" i="3"/>
  <c r="T74" i="3"/>
  <c r="U74" i="3"/>
  <c r="R74" i="3"/>
  <c r="S74" i="3"/>
  <c r="P74" i="3"/>
  <c r="Q74" i="3"/>
  <c r="Q64" i="3"/>
  <c r="R64" i="3"/>
  <c r="S64" i="3"/>
  <c r="T64" i="3"/>
  <c r="U64" i="3"/>
  <c r="P64" i="3"/>
  <c r="L64" i="3"/>
  <c r="U69" i="3"/>
  <c r="AB69" i="3"/>
  <c r="AC69" i="3"/>
  <c r="AD69" i="3"/>
  <c r="AE69" i="3"/>
  <c r="L69" i="3"/>
  <c r="T69" i="3"/>
  <c r="AF69" i="3"/>
  <c r="AG69" i="3"/>
  <c r="P69" i="3"/>
  <c r="AH69" i="3"/>
  <c r="Q69" i="3"/>
  <c r="AI69" i="3"/>
  <c r="R69" i="3"/>
  <c r="S69" i="3"/>
  <c r="R43" i="3"/>
  <c r="S43" i="3"/>
  <c r="T43" i="3"/>
  <c r="U43" i="3"/>
  <c r="AB43" i="3"/>
  <c r="AF43" i="3"/>
  <c r="AH43" i="3"/>
  <c r="AI43" i="3"/>
  <c r="L43" i="3"/>
  <c r="P43" i="3"/>
  <c r="Q43" i="3"/>
  <c r="S46" i="3"/>
  <c r="U46" i="3"/>
  <c r="AH46" i="3"/>
  <c r="T46" i="3"/>
  <c r="AI46" i="3"/>
  <c r="P46" i="3"/>
  <c r="Q46" i="3"/>
  <c r="R46" i="3"/>
  <c r="AC46" i="3"/>
  <c r="AD46" i="3"/>
  <c r="AE46" i="3"/>
  <c r="AF46" i="3"/>
  <c r="L46" i="3"/>
  <c r="AG46" i="3"/>
  <c r="M46" i="3" l="1"/>
  <c r="X46" i="3"/>
  <c r="W46" i="3"/>
  <c r="V46" i="3"/>
  <c r="Z46" i="3"/>
  <c r="AA46" i="3"/>
  <c r="Y46" i="3"/>
  <c r="W43" i="3"/>
  <c r="V43" i="3"/>
  <c r="M43" i="3"/>
  <c r="AA43" i="3"/>
  <c r="Z43" i="3"/>
  <c r="Y43" i="3"/>
  <c r="X43" i="3"/>
  <c r="Y69" i="3"/>
  <c r="X69" i="3"/>
  <c r="W69" i="3"/>
  <c r="V69" i="3"/>
  <c r="Z69" i="3"/>
  <c r="M69" i="3"/>
  <c r="AA69" i="3"/>
  <c r="M64" i="3"/>
  <c r="V64" i="3"/>
  <c r="AA64" i="3"/>
  <c r="Z64" i="3"/>
  <c r="Y64" i="3"/>
  <c r="X64" i="3"/>
  <c r="W64" i="3"/>
  <c r="W74" i="3"/>
  <c r="V74" i="3"/>
  <c r="Y74" i="3"/>
  <c r="X74" i="3"/>
  <c r="AA74" i="3"/>
  <c r="Z74" i="3"/>
  <c r="M74" i="3"/>
  <c r="AA75" i="3"/>
  <c r="Z75" i="3"/>
  <c r="Y75" i="3"/>
  <c r="X75" i="3"/>
  <c r="W75" i="3"/>
  <c r="V75" i="3"/>
  <c r="M75" i="3"/>
  <c r="M76" i="3"/>
  <c r="V76" i="3"/>
  <c r="W76" i="3"/>
  <c r="Y76" i="3"/>
  <c r="X76" i="3"/>
  <c r="AA76" i="3"/>
  <c r="Z76" i="3"/>
  <c r="V77" i="3"/>
  <c r="M77" i="3"/>
  <c r="X77" i="3"/>
  <c r="W77" i="3"/>
  <c r="Y77" i="3"/>
  <c r="AA77" i="3"/>
  <c r="Z77" i="3"/>
  <c r="AA8" i="3"/>
  <c r="Z8" i="3"/>
  <c r="Y8" i="3"/>
  <c r="X8" i="3"/>
  <c r="M8" i="3"/>
  <c r="W8" i="3"/>
  <c r="V8" i="3"/>
  <c r="AA39" i="3"/>
  <c r="Z39" i="3"/>
  <c r="Y39" i="3"/>
  <c r="X39" i="3"/>
  <c r="W39" i="3"/>
  <c r="V39" i="3"/>
  <c r="M39" i="3"/>
  <c r="AA15" i="3"/>
  <c r="Y15" i="3"/>
  <c r="X15" i="3"/>
  <c r="W15" i="3"/>
  <c r="V15" i="3"/>
  <c r="M15" i="3"/>
  <c r="Z15" i="3"/>
  <c r="Z28" i="3"/>
  <c r="Y28" i="3"/>
  <c r="X28" i="3"/>
  <c r="W28" i="3"/>
  <c r="AA28" i="3"/>
  <c r="V28" i="3"/>
  <c r="M28" i="3"/>
  <c r="AA44" i="3"/>
  <c r="Z44" i="3"/>
  <c r="Y44" i="3"/>
  <c r="X44" i="3"/>
  <c r="W44" i="3"/>
  <c r="V44" i="3"/>
  <c r="M14" i="3"/>
  <c r="AA14" i="3"/>
  <c r="Z14" i="3"/>
  <c r="Y14" i="3"/>
  <c r="X14" i="3"/>
  <c r="W14" i="3"/>
  <c r="V14" i="3"/>
  <c r="AA21" i="3"/>
  <c r="Y21" i="3"/>
  <c r="X21" i="3"/>
  <c r="W21" i="3"/>
  <c r="V21" i="3"/>
  <c r="M21" i="3"/>
  <c r="AA38" i="3"/>
  <c r="Z38" i="3"/>
  <c r="Y38" i="3"/>
  <c r="W38" i="3"/>
  <c r="X38" i="3"/>
  <c r="V38" i="3"/>
  <c r="M38" i="3"/>
  <c r="AA51" i="3"/>
  <c r="Z51" i="3"/>
  <c r="Y51" i="3"/>
  <c r="X51" i="3"/>
  <c r="V51" i="3"/>
  <c r="W51" i="3"/>
  <c r="M51" i="3"/>
  <c r="AA23" i="3"/>
  <c r="Y23" i="3"/>
  <c r="X23" i="3"/>
  <c r="W23" i="3"/>
  <c r="V23" i="3"/>
  <c r="M23" i="3"/>
  <c r="Z23" i="3"/>
  <c r="AA70" i="3"/>
  <c r="Z70" i="3"/>
  <c r="Y70" i="3"/>
  <c r="X70" i="3"/>
  <c r="W70" i="3"/>
  <c r="V70" i="3"/>
  <c r="M70" i="3"/>
  <c r="Z72" i="3"/>
  <c r="Y72" i="3"/>
  <c r="X72" i="3"/>
  <c r="W72" i="3"/>
  <c r="AA72" i="3"/>
  <c r="V72" i="3"/>
  <c r="M72" i="3"/>
  <c r="AA13" i="3"/>
  <c r="Z13" i="3"/>
  <c r="Y13" i="3"/>
  <c r="X13" i="3"/>
  <c r="W13" i="3"/>
  <c r="V13" i="3"/>
  <c r="M13" i="3"/>
  <c r="AA18" i="3"/>
  <c r="Z18" i="3"/>
  <c r="Y18" i="3"/>
  <c r="X18" i="3"/>
  <c r="W18" i="3"/>
  <c r="V18" i="3"/>
  <c r="M18" i="3"/>
  <c r="AA10" i="3"/>
  <c r="Y10" i="3"/>
  <c r="X10" i="3"/>
  <c r="W10" i="3"/>
  <c r="V10" i="3"/>
  <c r="M10" i="3"/>
  <c r="AA25" i="3"/>
  <c r="Z25" i="3"/>
  <c r="Y25" i="3"/>
  <c r="X25" i="3"/>
  <c r="V25" i="3"/>
  <c r="M25" i="3"/>
  <c r="V80" i="3"/>
  <c r="M80" i="3"/>
  <c r="X80" i="3"/>
  <c r="W80" i="3"/>
  <c r="AA80" i="3"/>
  <c r="Z80" i="3"/>
  <c r="Y80" i="3"/>
  <c r="AA12" i="3"/>
  <c r="Z12" i="3"/>
  <c r="Y12" i="3"/>
  <c r="X12" i="3"/>
  <c r="W12" i="3"/>
  <c r="V12" i="3"/>
  <c r="M12" i="3"/>
  <c r="AA5" i="3"/>
  <c r="M5" i="3"/>
  <c r="AA17" i="3"/>
  <c r="Y17" i="3"/>
  <c r="X17" i="3"/>
  <c r="W17" i="3"/>
  <c r="V17" i="3"/>
  <c r="M17" i="3"/>
  <c r="Y63" i="3"/>
  <c r="X63" i="3"/>
  <c r="W63" i="3"/>
  <c r="V63" i="3"/>
  <c r="AA63" i="3"/>
  <c r="V42" i="3"/>
  <c r="M42" i="3"/>
  <c r="X42" i="3"/>
  <c r="AA40" i="3"/>
  <c r="Z40" i="3"/>
  <c r="Y40" i="3"/>
  <c r="X40" i="3"/>
  <c r="Z48" i="3"/>
  <c r="Y48" i="3"/>
  <c r="X48" i="3"/>
  <c r="W48" i="3"/>
  <c r="V48" i="3"/>
  <c r="M48" i="3"/>
  <c r="AA16" i="3"/>
  <c r="Z16" i="3"/>
  <c r="X16" i="3"/>
  <c r="W16" i="3"/>
  <c r="V16" i="3"/>
  <c r="M16" i="3"/>
  <c r="AA19" i="3"/>
  <c r="Z19" i="3"/>
  <c r="Y19" i="3"/>
  <c r="W19" i="3"/>
  <c r="V19" i="3"/>
  <c r="M19" i="3"/>
  <c r="AA24" i="3"/>
  <c r="Z24" i="3"/>
  <c r="X24" i="3"/>
  <c r="W24" i="3"/>
  <c r="V24" i="3"/>
  <c r="M24" i="3"/>
  <c r="Y60" i="3"/>
  <c r="X60" i="3"/>
  <c r="M60" i="3"/>
  <c r="AA60" i="3"/>
  <c r="Z60" i="3"/>
  <c r="Z20" i="3"/>
  <c r="Y20" i="3"/>
  <c r="X20" i="3"/>
  <c r="V20" i="3"/>
  <c r="M20" i="3"/>
  <c r="AA29" i="3"/>
  <c r="Z29" i="3"/>
  <c r="Y29" i="3"/>
  <c r="W29" i="3"/>
  <c r="V29" i="3"/>
  <c r="M29" i="3"/>
  <c r="AA37" i="3"/>
  <c r="Z37" i="3"/>
  <c r="Y37" i="3"/>
  <c r="X37" i="3"/>
  <c r="W37" i="3"/>
  <c r="V37" i="3"/>
  <c r="M37" i="3"/>
  <c r="M6" i="3"/>
  <c r="Y9" i="3"/>
  <c r="X9" i="3"/>
  <c r="M9" i="3"/>
  <c r="AA45" i="3"/>
  <c r="Z45" i="3"/>
  <c r="Y45" i="3"/>
  <c r="X45" i="3"/>
  <c r="W45" i="3"/>
  <c r="V45" i="3"/>
  <c r="M45" i="3"/>
  <c r="Y71" i="3"/>
  <c r="X71" i="3"/>
  <c r="W71" i="3"/>
  <c r="V71" i="3"/>
  <c r="AA71" i="3"/>
  <c r="Z71" i="3"/>
  <c r="M71" i="3"/>
  <c r="AA41" i="3"/>
  <c r="Z41" i="3"/>
  <c r="W41" i="3"/>
  <c r="V41" i="3"/>
  <c r="V22" i="3"/>
  <c r="M22" i="3"/>
  <c r="V26" i="3"/>
  <c r="M26" i="3"/>
  <c r="Z32" i="3"/>
  <c r="Y32" i="3"/>
  <c r="X32" i="3"/>
  <c r="W32" i="3"/>
  <c r="V32" i="3"/>
  <c r="M32" i="3"/>
  <c r="AA32" i="3"/>
  <c r="AA86" i="3"/>
  <c r="Y86" i="3"/>
  <c r="X86" i="3"/>
  <c r="W86" i="3"/>
  <c r="V86" i="3"/>
  <c r="Z86" i="3"/>
  <c r="M86" i="3"/>
  <c r="W27" i="3"/>
  <c r="M27" i="3"/>
  <c r="V27" i="3"/>
  <c r="AA34" i="3"/>
  <c r="Z34" i="3"/>
  <c r="Y34" i="3"/>
  <c r="V34" i="3"/>
  <c r="M34" i="3"/>
  <c r="Y33" i="3"/>
  <c r="X33" i="3"/>
  <c r="W33" i="3"/>
  <c r="V33" i="3"/>
  <c r="M33" i="3"/>
  <c r="AA49" i="3"/>
  <c r="Z49" i="3"/>
  <c r="Y49" i="3"/>
  <c r="AA54" i="3"/>
  <c r="Z54" i="3"/>
  <c r="Y54" i="3"/>
  <c r="X54" i="3"/>
  <c r="Y57" i="3"/>
  <c r="X57" i="3"/>
  <c r="W57" i="3"/>
  <c r="V57" i="3"/>
  <c r="AA57" i="3"/>
  <c r="Z57" i="3"/>
  <c r="M57" i="3"/>
  <c r="AA59" i="3"/>
  <c r="Z59" i="3"/>
  <c r="W59" i="3"/>
  <c r="V59" i="3"/>
  <c r="M59" i="3"/>
  <c r="AA67" i="3"/>
  <c r="Z67" i="3"/>
  <c r="Y67" i="3"/>
  <c r="M47" i="3"/>
  <c r="Y31" i="3"/>
  <c r="X31" i="3"/>
  <c r="W31" i="3"/>
  <c r="V31" i="3"/>
  <c r="M31" i="3"/>
  <c r="X50" i="3"/>
  <c r="W50" i="3"/>
  <c r="V50" i="3"/>
  <c r="M50" i="3"/>
  <c r="W30" i="3"/>
  <c r="V30" i="3"/>
  <c r="M30" i="3"/>
  <c r="M56" i="3"/>
  <c r="W56" i="3"/>
  <c r="V56" i="3"/>
  <c r="AA56" i="3"/>
  <c r="Z56" i="3"/>
  <c r="Y56" i="3"/>
  <c r="X56" i="3"/>
  <c r="Z73" i="3"/>
  <c r="Y73" i="3"/>
  <c r="X73" i="3"/>
  <c r="W73" i="3"/>
  <c r="AA73" i="3"/>
  <c r="V73" i="3"/>
  <c r="M73" i="3"/>
  <c r="Z53" i="3"/>
  <c r="Y53" i="3"/>
  <c r="X53" i="3"/>
  <c r="W53" i="3"/>
  <c r="V53" i="3"/>
  <c r="M53" i="3"/>
  <c r="Z87" i="3"/>
  <c r="Y87" i="3"/>
  <c r="X87" i="3"/>
  <c r="W87" i="3"/>
  <c r="AA87" i="3"/>
  <c r="V87" i="3"/>
  <c r="M87" i="3"/>
  <c r="V35" i="3"/>
  <c r="M35" i="3"/>
  <c r="AA82" i="3"/>
  <c r="Y82" i="3"/>
  <c r="X82" i="3"/>
  <c r="W82" i="3"/>
  <c r="V82" i="3"/>
  <c r="M36" i="3"/>
  <c r="AA85" i="3"/>
  <c r="Z85" i="3"/>
  <c r="X85" i="3"/>
  <c r="W85" i="3"/>
  <c r="V85" i="3"/>
  <c r="M85" i="3"/>
  <c r="Y52" i="3"/>
  <c r="M52" i="3"/>
  <c r="AA68" i="3"/>
  <c r="Z68" i="3"/>
  <c r="Y68" i="3"/>
  <c r="AA55" i="3"/>
  <c r="Z55" i="3"/>
  <c r="AA84" i="3"/>
  <c r="Z84" i="3"/>
  <c r="Y84" i="3"/>
  <c r="X61" i="3"/>
  <c r="W61" i="3"/>
  <c r="M61" i="3"/>
  <c r="Z61" i="3"/>
  <c r="W78" i="3"/>
  <c r="V78" i="3"/>
  <c r="M78" i="3"/>
  <c r="Y78" i="3"/>
  <c r="Y66" i="3"/>
  <c r="X66" i="3"/>
  <c r="M66" i="3"/>
  <c r="X79" i="3"/>
  <c r="W79" i="3"/>
  <c r="V79" i="3"/>
  <c r="M79" i="3"/>
  <c r="Y81" i="3"/>
  <c r="X81" i="3"/>
  <c r="W81" i="3"/>
  <c r="M81" i="3"/>
  <c r="X65" i="3"/>
  <c r="W65" i="3"/>
  <c r="Z17" i="3"/>
  <c r="W25" i="3"/>
  <c r="X6" i="3"/>
  <c r="AA48" i="3"/>
  <c r="Y24" i="3"/>
  <c r="Z6" i="3"/>
  <c r="Z10" i="3"/>
  <c r="W42" i="3"/>
  <c r="Y5" i="3"/>
  <c r="AA6" i="3"/>
  <c r="V9" i="3"/>
  <c r="M11" i="3"/>
  <c r="Z21" i="3"/>
  <c r="Y42" i="3"/>
  <c r="M44" i="3"/>
  <c r="Z82" i="3"/>
  <c r="X5" i="3"/>
  <c r="V11" i="3"/>
  <c r="Z42" i="3"/>
  <c r="W5" i="3"/>
  <c r="W9" i="3"/>
  <c r="Z9" i="3"/>
  <c r="W11" i="3"/>
  <c r="W34" i="3"/>
  <c r="W36" i="3"/>
  <c r="AA42" i="3"/>
  <c r="V68" i="3"/>
  <c r="V5" i="3"/>
  <c r="AA7" i="3"/>
  <c r="Y6" i="3"/>
  <c r="AA9" i="3"/>
  <c r="X11" i="3"/>
  <c r="X19" i="3"/>
  <c r="W20" i="3"/>
  <c r="AA36" i="3"/>
  <c r="X47" i="3"/>
  <c r="M49" i="3"/>
  <c r="X59" i="3"/>
  <c r="Z7" i="3"/>
  <c r="W40" i="3"/>
  <c r="Z5" i="3"/>
  <c r="Y11" i="3"/>
  <c r="AA20" i="3"/>
  <c r="W49" i="3"/>
  <c r="Y59" i="3"/>
  <c r="W6" i="3"/>
  <c r="X27" i="3"/>
  <c r="X49" i="3"/>
  <c r="Y16" i="3"/>
  <c r="Z27" i="3"/>
  <c r="M41" i="3"/>
  <c r="V54" i="3"/>
  <c r="AA53" i="3"/>
  <c r="X41" i="3"/>
  <c r="Z63" i="3"/>
  <c r="M7" i="3"/>
  <c r="W26" i="3"/>
  <c r="V7" i="3"/>
  <c r="W22" i="3"/>
  <c r="X26" i="3"/>
  <c r="M84" i="3"/>
  <c r="AA22" i="3"/>
  <c r="M63" i="3"/>
  <c r="Z11" i="3"/>
  <c r="W54" i="3"/>
  <c r="X22" i="3"/>
  <c r="Y26" i="3"/>
  <c r="X29" i="3"/>
  <c r="W7" i="3"/>
  <c r="X7" i="3"/>
  <c r="Y22" i="3"/>
  <c r="Z26" i="3"/>
  <c r="AA31" i="3"/>
  <c r="Y35" i="3"/>
  <c r="M40" i="3"/>
  <c r="W60" i="3"/>
  <c r="V66" i="3"/>
  <c r="AA27" i="3"/>
  <c r="V6" i="3"/>
  <c r="Y7" i="3"/>
  <c r="Z22" i="3"/>
  <c r="AA26" i="3"/>
  <c r="Z33" i="3"/>
  <c r="AA35" i="3"/>
  <c r="V40" i="3"/>
  <c r="Y27" i="3"/>
  <c r="AA33" i="3"/>
  <c r="X34" i="3"/>
  <c r="Z35" i="3"/>
  <c r="Y41" i="3"/>
  <c r="V49" i="3"/>
  <c r="M54" i="3"/>
  <c r="V60" i="3"/>
  <c r="W66" i="3"/>
  <c r="W68" i="3"/>
  <c r="AA11" i="3"/>
  <c r="M67" i="3"/>
  <c r="V84" i="3"/>
  <c r="V67" i="3"/>
  <c r="X30" i="3"/>
  <c r="W67" i="3"/>
  <c r="Y30" i="3"/>
  <c r="X52" i="3"/>
  <c r="X67" i="3"/>
  <c r="Z30" i="3"/>
  <c r="V47" i="3"/>
  <c r="Z52" i="3"/>
  <c r="AA30" i="3"/>
  <c r="Z31" i="3"/>
  <c r="V36" i="3"/>
  <c r="W47" i="3"/>
  <c r="AA52" i="3"/>
  <c r="V81" i="3"/>
  <c r="X36" i="3"/>
  <c r="Y47" i="3"/>
  <c r="Y50" i="3"/>
  <c r="W35" i="3"/>
  <c r="Y36" i="3"/>
  <c r="Z47" i="3"/>
  <c r="Z50" i="3"/>
  <c r="M68" i="3"/>
  <c r="X35" i="3"/>
  <c r="Z36" i="3"/>
  <c r="AA47" i="3"/>
  <c r="V52" i="3"/>
  <c r="AA58" i="3"/>
  <c r="V61" i="3"/>
  <c r="AA78" i="3"/>
  <c r="Y85" i="3"/>
  <c r="AA50" i="3"/>
  <c r="W52" i="3"/>
  <c r="AA61" i="3"/>
  <c r="M82" i="3"/>
  <c r="W84" i="3"/>
  <c r="X68" i="3"/>
  <c r="X84" i="3"/>
  <c r="Y62" i="3"/>
  <c r="M55" i="3"/>
  <c r="Z62" i="3"/>
  <c r="V83" i="3"/>
  <c r="V55" i="3"/>
  <c r="AA62" i="3"/>
  <c r="W83" i="3"/>
  <c r="W55" i="3"/>
  <c r="W58" i="3"/>
  <c r="M65" i="3"/>
  <c r="X83" i="3"/>
  <c r="X55" i="3"/>
  <c r="X58" i="3"/>
  <c r="V65" i="3"/>
  <c r="Y83" i="3"/>
  <c r="Y55" i="3"/>
  <c r="Y58" i="3"/>
  <c r="AA65" i="3"/>
  <c r="Z83" i="3"/>
  <c r="Z58" i="3"/>
  <c r="Z78" i="3"/>
  <c r="AA79" i="3"/>
  <c r="AA83" i="3"/>
  <c r="M58" i="3"/>
  <c r="Y61" i="3"/>
  <c r="W62" i="3"/>
  <c r="Y65" i="3"/>
  <c r="Z66" i="3"/>
  <c r="X78" i="3"/>
  <c r="Y79" i="3"/>
  <c r="Z81" i="3"/>
  <c r="M83" i="3"/>
  <c r="V58" i="3"/>
  <c r="X62" i="3"/>
  <c r="Z65" i="3"/>
  <c r="AA66" i="3"/>
  <c r="Z79" i="3"/>
  <c r="AA81" i="3"/>
  <c r="M62" i="3"/>
  <c r="V62" i="3"/>
  <c r="C14" i="4"/>
  <c r="D14" i="4"/>
  <c r="C23" i="4"/>
  <c r="D23" i="4"/>
  <c r="C32" i="4"/>
  <c r="D32" i="4"/>
  <c r="BN46" i="3"/>
  <c r="CL46" i="3"/>
  <c r="BC43" i="3"/>
  <c r="CA69" i="3"/>
  <c r="CC69" i="3"/>
  <c r="BC64" i="3"/>
  <c r="BQ74" i="3"/>
  <c r="AS75" i="3"/>
  <c r="AP76" i="3"/>
  <c r="CE77" i="3"/>
  <c r="AP8" i="3"/>
  <c r="AJ8" i="3"/>
  <c r="BB39" i="3"/>
  <c r="BS39" i="3"/>
  <c r="AK15" i="3"/>
  <c r="CI44" i="3"/>
  <c r="CA14" i="3"/>
  <c r="AN14" i="3"/>
  <c r="AQ21" i="3"/>
  <c r="CL21" i="3"/>
  <c r="CG21" i="3"/>
  <c r="CC38" i="3"/>
  <c r="BK51" i="3"/>
  <c r="AR51" i="3"/>
  <c r="AP23" i="3"/>
  <c r="AQ70" i="3"/>
  <c r="AV72" i="3"/>
  <c r="BJ72" i="3"/>
  <c r="AQ18" i="3"/>
  <c r="AY10" i="3"/>
  <c r="AZ10" i="3"/>
  <c r="AP25" i="3"/>
  <c r="AQ12" i="3"/>
  <c r="AW5" i="3"/>
  <c r="BJ63" i="3"/>
  <c r="BW42" i="3"/>
  <c r="BD40" i="3"/>
  <c r="BY40" i="3"/>
  <c r="AT16" i="3"/>
  <c r="BK16" i="3"/>
  <c r="BU19" i="3"/>
  <c r="CC60" i="3"/>
  <c r="BE60" i="3"/>
  <c r="BJ60" i="3"/>
  <c r="CD20" i="3"/>
  <c r="BV20" i="3"/>
  <c r="AM29" i="3"/>
  <c r="AP37" i="3"/>
  <c r="CJ6" i="3"/>
  <c r="AJ9" i="3"/>
  <c r="CE9" i="3"/>
  <c r="AT45" i="3"/>
  <c r="CH71" i="3"/>
  <c r="AW71" i="3"/>
  <c r="AY71" i="3"/>
  <c r="BJ7" i="3"/>
  <c r="AT41" i="3"/>
  <c r="AR22" i="3"/>
  <c r="CJ26" i="3"/>
  <c r="BD26" i="3"/>
  <c r="AJ27" i="3"/>
  <c r="CL11" i="3"/>
  <c r="AS11" i="3"/>
  <c r="BM33" i="3"/>
  <c r="CA49" i="3"/>
  <c r="AM54" i="3"/>
  <c r="BP57" i="3"/>
  <c r="AJ59" i="3"/>
  <c r="AU59" i="3"/>
  <c r="BA59" i="3"/>
  <c r="BT47" i="3"/>
  <c r="AP47" i="3"/>
  <c r="CI50" i="3"/>
  <c r="BP50" i="3"/>
  <c r="AL30" i="3"/>
  <c r="CH56" i="3"/>
  <c r="AN73" i="3"/>
  <c r="BD73" i="3"/>
  <c r="AR53" i="3"/>
  <c r="CA53" i="3"/>
  <c r="AK53" i="3"/>
  <c r="CJ82" i="3"/>
  <c r="BJ82" i="3"/>
  <c r="CC36" i="3"/>
  <c r="BO52" i="3"/>
  <c r="BN52" i="3"/>
  <c r="BI52" i="3"/>
  <c r="BZ68" i="3"/>
  <c r="CN68" i="3"/>
  <c r="AX55" i="3"/>
  <c r="AL55" i="3"/>
  <c r="BR61" i="3"/>
  <c r="AN61" i="3"/>
  <c r="AX78" i="3"/>
  <c r="AQ83" i="3"/>
  <c r="BI79" i="3"/>
  <c r="AV79" i="3"/>
  <c r="BE81" i="3"/>
  <c r="AV81" i="3"/>
  <c r="BY65" i="3"/>
  <c r="CL65" i="3"/>
  <c r="BW58" i="3"/>
  <c r="BL58" i="3"/>
  <c r="BG5" i="3"/>
  <c r="BQ25" i="3"/>
  <c r="AL13" i="3"/>
  <c r="AU19" i="3"/>
  <c r="BW19" i="3"/>
  <c r="AF19" i="3"/>
  <c r="CK25" i="3"/>
  <c r="AZ23" i="3"/>
  <c r="AV23" i="3"/>
  <c r="BM46" i="3"/>
  <c r="BU46" i="3"/>
  <c r="AM69" i="3"/>
  <c r="BQ69" i="3"/>
  <c r="AT64" i="3"/>
  <c r="BF74" i="3"/>
  <c r="CD75" i="3"/>
  <c r="AL76" i="3"/>
  <c r="AU77" i="3"/>
  <c r="BP8" i="3"/>
  <c r="CF8" i="3"/>
  <c r="CG39" i="3"/>
  <c r="AK39" i="3"/>
  <c r="CE15" i="3"/>
  <c r="BO15" i="3"/>
  <c r="AM44" i="3"/>
  <c r="AZ14" i="3"/>
  <c r="BP14" i="3"/>
  <c r="BX21" i="3"/>
  <c r="BN21" i="3"/>
  <c r="CF21" i="3"/>
  <c r="BS38" i="3"/>
  <c r="CK51" i="3"/>
  <c r="AQ51" i="3"/>
  <c r="AN23" i="3"/>
  <c r="AP70" i="3"/>
  <c r="BZ72" i="3"/>
  <c r="CB72" i="3"/>
  <c r="AP18" i="3"/>
  <c r="CE10" i="3"/>
  <c r="BY10" i="3"/>
  <c r="AO25" i="3"/>
  <c r="AN12" i="3"/>
  <c r="CN5" i="3"/>
  <c r="BD17" i="3"/>
  <c r="BI63" i="3"/>
  <c r="BU42" i="3"/>
  <c r="CL40" i="3"/>
  <c r="BX40" i="3"/>
  <c r="BV16" i="3"/>
  <c r="BF16" i="3"/>
  <c r="CJ19" i="3"/>
  <c r="AX60" i="3"/>
  <c r="AQ60" i="3"/>
  <c r="CK20" i="3"/>
  <c r="BE20" i="3"/>
  <c r="BU20" i="3"/>
  <c r="BS29" i="3"/>
  <c r="BZ37" i="3"/>
  <c r="CI6" i="3"/>
  <c r="CA9" i="3"/>
  <c r="AU9" i="3"/>
  <c r="AM45" i="3"/>
  <c r="BM71" i="3"/>
  <c r="CK71" i="3"/>
  <c r="AX71" i="3"/>
  <c r="BI7" i="3"/>
  <c r="AS41" i="3"/>
  <c r="CC26" i="3"/>
  <c r="BN26" i="3"/>
  <c r="BG26" i="3"/>
  <c r="CA27" i="3"/>
  <c r="BI11" i="3"/>
  <c r="AP11" i="3"/>
  <c r="BL33" i="3"/>
  <c r="BH49" i="3"/>
  <c r="CB54" i="3"/>
  <c r="BO57" i="3"/>
  <c r="BW59" i="3"/>
  <c r="CE59" i="3"/>
  <c r="BQ59" i="3"/>
  <c r="BR47" i="3"/>
  <c r="BW47" i="3"/>
  <c r="AU50" i="3"/>
  <c r="BO50" i="3"/>
  <c r="AK30" i="3"/>
  <c r="BB56" i="3"/>
  <c r="BN73" i="3"/>
  <c r="CK73" i="3"/>
  <c r="CG53" i="3"/>
  <c r="AW53" i="3"/>
  <c r="BN82" i="3"/>
  <c r="BI82" i="3"/>
  <c r="BF36" i="3"/>
  <c r="AS52" i="3"/>
  <c r="BM52" i="3"/>
  <c r="BB52" i="3"/>
  <c r="BA68" i="3"/>
  <c r="AM68" i="3"/>
  <c r="BV55" i="3"/>
  <c r="BW55" i="3"/>
  <c r="AQ55" i="3"/>
  <c r="BN61" i="3"/>
  <c r="BK61" i="3"/>
  <c r="AV78" i="3"/>
  <c r="AK83" i="3"/>
  <c r="CM79" i="3"/>
  <c r="AU79" i="3"/>
  <c r="AK81" i="3"/>
  <c r="AL81" i="3"/>
  <c r="AT65" i="3"/>
  <c r="CK65" i="3"/>
  <c r="CG58" i="3"/>
  <c r="BB58" i="3"/>
  <c r="CL17" i="3"/>
  <c r="CE35" i="3"/>
  <c r="AK13" i="3"/>
  <c r="AE19" i="3"/>
  <c r="BG19" i="3"/>
  <c r="BD19" i="3"/>
  <c r="BG35" i="3"/>
  <c r="AI23" i="3"/>
  <c r="AE23" i="3"/>
  <c r="AG29" i="3"/>
  <c r="BH29" i="3"/>
  <c r="BA29" i="3"/>
  <c r="AY18" i="3"/>
  <c r="AK17" i="3"/>
  <c r="AB7" i="3"/>
  <c r="BJ10" i="3"/>
  <c r="AX24" i="3"/>
  <c r="BR24" i="3"/>
  <c r="AV24" i="3"/>
  <c r="BT7" i="3"/>
  <c r="AG7" i="3"/>
  <c r="BD5" i="3"/>
  <c r="BL10" i="3"/>
  <c r="BK46" i="3"/>
  <c r="BS46" i="3"/>
  <c r="BT69" i="3"/>
  <c r="CG69" i="3"/>
  <c r="AS64" i="3"/>
  <c r="AX74" i="3"/>
  <c r="AT74" i="3"/>
  <c r="AR75" i="3"/>
  <c r="AJ76" i="3"/>
  <c r="AR77" i="3"/>
  <c r="BR8" i="3"/>
  <c r="BV8" i="3"/>
  <c r="BA39" i="3"/>
  <c r="BR39" i="3"/>
  <c r="AZ15" i="3"/>
  <c r="AJ15" i="3"/>
  <c r="BU28" i="3"/>
  <c r="BT44" i="3"/>
  <c r="BU14" i="3"/>
  <c r="BN14" i="3"/>
  <c r="AY21" i="3"/>
  <c r="AL21" i="3"/>
  <c r="BT21" i="3"/>
  <c r="BB38" i="3"/>
  <c r="BH51" i="3"/>
  <c r="AK51" i="3"/>
  <c r="AO70" i="3"/>
  <c r="AR72" i="3"/>
  <c r="BR72" i="3"/>
  <c r="AO18" i="3"/>
  <c r="AX10" i="3"/>
  <c r="AN25" i="3"/>
  <c r="AM12" i="3"/>
  <c r="CC5" i="3"/>
  <c r="BZ17" i="3"/>
  <c r="BH63" i="3"/>
  <c r="BR42" i="3"/>
  <c r="BC40" i="3"/>
  <c r="BR40" i="3"/>
  <c r="AQ16" i="3"/>
  <c r="BJ16" i="3"/>
  <c r="CK19" i="3"/>
  <c r="CB60" i="3"/>
  <c r="AP60" i="3"/>
  <c r="BO20" i="3"/>
  <c r="AK20" i="3"/>
  <c r="AX20" i="3"/>
  <c r="AQ29" i="3"/>
  <c r="BP37" i="3"/>
  <c r="AM6" i="3"/>
  <c r="CH9" i="3"/>
  <c r="BB9" i="3"/>
  <c r="BU9" i="3"/>
  <c r="AJ45" i="3"/>
  <c r="CE71" i="3"/>
  <c r="BQ71" i="3"/>
  <c r="AQ71" i="3"/>
  <c r="BA7" i="3"/>
  <c r="AR41" i="3"/>
  <c r="CA26" i="3"/>
  <c r="AU26" i="3"/>
  <c r="BW26" i="3"/>
  <c r="CM32" i="3"/>
  <c r="BZ27" i="3"/>
  <c r="AJ11" i="3"/>
  <c r="AO11" i="3"/>
  <c r="BK33" i="3"/>
  <c r="AZ49" i="3"/>
  <c r="BZ54" i="3"/>
  <c r="AK57" i="3"/>
  <c r="BC59" i="3"/>
  <c r="AM59" i="3"/>
  <c r="BI46" i="3"/>
  <c r="AU46" i="3"/>
  <c r="AL69" i="3"/>
  <c r="BW64" i="3"/>
  <c r="AR64" i="3"/>
  <c r="AV74" i="3"/>
  <c r="BV74" i="3"/>
  <c r="BQ75" i="3"/>
  <c r="CH76" i="3"/>
  <c r="CC77" i="3"/>
  <c r="AO8" i="3"/>
  <c r="BO8" i="3"/>
  <c r="CF39" i="3"/>
  <c r="BQ39" i="3"/>
  <c r="CD15" i="3"/>
  <c r="BI15" i="3"/>
  <c r="CM28" i="3"/>
  <c r="AL44" i="3"/>
  <c r="CH14" i="3"/>
  <c r="AX14" i="3"/>
  <c r="BM14" i="3"/>
  <c r="BV21" i="3"/>
  <c r="CK21" i="3"/>
  <c r="BF21" i="3"/>
  <c r="AZ38" i="3"/>
  <c r="CJ51" i="3"/>
  <c r="CB51" i="3"/>
  <c r="AN70" i="3"/>
  <c r="BX72" i="3"/>
  <c r="BQ72" i="3"/>
  <c r="AN18" i="3"/>
  <c r="CD10" i="3"/>
  <c r="BY12" i="3"/>
  <c r="AP5" i="3"/>
  <c r="BY17" i="3"/>
  <c r="BF42" i="3"/>
  <c r="CJ40" i="3"/>
  <c r="AN40" i="3"/>
  <c r="BU16" i="3"/>
  <c r="AJ19" i="3"/>
  <c r="BX24" i="3"/>
  <c r="AT60" i="3"/>
  <c r="AK60" i="3"/>
  <c r="AQ20" i="3"/>
  <c r="CC20" i="3"/>
  <c r="BT20" i="3"/>
  <c r="CH37" i="3"/>
  <c r="BO37" i="3"/>
  <c r="BI6" i="3"/>
  <c r="BL9" i="3"/>
  <c r="BZ9" i="3"/>
  <c r="AW9" i="3"/>
  <c r="AN45" i="3"/>
  <c r="BK71" i="3"/>
  <c r="AV71" i="3"/>
  <c r="AO71" i="3"/>
  <c r="AZ7" i="3"/>
  <c r="AQ41" i="3"/>
  <c r="BZ26" i="3"/>
  <c r="CI26" i="3"/>
  <c r="BC26" i="3"/>
  <c r="AX32" i="3"/>
  <c r="AP86" i="3"/>
  <c r="BH27" i="3"/>
  <c r="CK11" i="3"/>
  <c r="AL11" i="3"/>
  <c r="AS33" i="3"/>
  <c r="AX49" i="3"/>
  <c r="CN46" i="3"/>
  <c r="CG46" i="3"/>
  <c r="BS69" i="3"/>
  <c r="AN64" i="3"/>
  <c r="AQ64" i="3"/>
  <c r="CL74" i="3"/>
  <c r="BT74" i="3"/>
  <c r="BN75" i="3"/>
  <c r="BK76" i="3"/>
  <c r="CA77" i="3"/>
  <c r="AN8" i="3"/>
  <c r="BF8" i="3"/>
  <c r="AZ39" i="3"/>
  <c r="BP39" i="3"/>
  <c r="AY15" i="3"/>
  <c r="BH15" i="3"/>
  <c r="CL28" i="3"/>
  <c r="BS44" i="3"/>
  <c r="BK14" i="3"/>
  <c r="BT14" i="3"/>
  <c r="AP14" i="3"/>
  <c r="AX21" i="3"/>
  <c r="BM21" i="3"/>
  <c r="CE21" i="3"/>
  <c r="AY38" i="3"/>
  <c r="BG51" i="3"/>
  <c r="CC51" i="3"/>
  <c r="BG70" i="3"/>
  <c r="AQ72" i="3"/>
  <c r="BP72" i="3"/>
  <c r="BT18" i="3"/>
  <c r="AV10" i="3"/>
  <c r="BH80" i="3"/>
  <c r="BX12" i="3"/>
  <c r="CM5" i="3"/>
  <c r="AU17" i="3"/>
  <c r="BD42" i="3"/>
  <c r="BB40" i="3"/>
  <c r="BP40" i="3"/>
  <c r="AP16" i="3"/>
  <c r="BF19" i="3"/>
  <c r="BW24" i="3"/>
  <c r="BS60" i="3"/>
  <c r="CM60" i="3"/>
  <c r="CJ20" i="3"/>
  <c r="BD20" i="3"/>
  <c r="BS20" i="3"/>
  <c r="AY37" i="3"/>
  <c r="BM37" i="3"/>
  <c r="AW6" i="3"/>
  <c r="AO9" i="3"/>
  <c r="BA9" i="3"/>
  <c r="BR9" i="3"/>
  <c r="AS45" i="3"/>
  <c r="AN71" i="3"/>
  <c r="BZ71" i="3"/>
  <c r="AN7" i="3"/>
  <c r="AS7" i="3"/>
  <c r="AO41" i="3"/>
  <c r="BT26" i="3"/>
  <c r="BM26" i="3"/>
  <c r="AX46" i="3"/>
  <c r="CE46" i="3"/>
  <c r="BR69" i="3"/>
  <c r="BR64" i="3"/>
  <c r="AL64" i="3"/>
  <c r="AU74" i="3"/>
  <c r="CJ74" i="3"/>
  <c r="CA75" i="3"/>
  <c r="AX76" i="3"/>
  <c r="BX77" i="3"/>
  <c r="CL8" i="3"/>
  <c r="AY8" i="3"/>
  <c r="CE39" i="3"/>
  <c r="BO39" i="3"/>
  <c r="CC15" i="3"/>
  <c r="AW15" i="3"/>
  <c r="AX28" i="3"/>
  <c r="AK44" i="3"/>
  <c r="AL14" i="3"/>
  <c r="AW14" i="3"/>
  <c r="BL14" i="3"/>
  <c r="BU21" i="3"/>
  <c r="AK21" i="3"/>
  <c r="AX38" i="3"/>
  <c r="CI51" i="3"/>
  <c r="CA51" i="3"/>
  <c r="AM70" i="3"/>
  <c r="AR70" i="3"/>
  <c r="BW72" i="3"/>
  <c r="BN72" i="3"/>
  <c r="BU18" i="3"/>
  <c r="CC10" i="3"/>
  <c r="AY80" i="3"/>
  <c r="BW12" i="3"/>
  <c r="AQ5" i="3"/>
  <c r="AV17" i="3"/>
  <c r="BC42" i="3"/>
  <c r="CH40" i="3"/>
  <c r="BW40" i="3"/>
  <c r="BO16" i="3"/>
  <c r="BE19" i="3"/>
  <c r="BJ24" i="3"/>
  <c r="AO60" i="3"/>
  <c r="AJ60" i="3"/>
  <c r="BN20" i="3"/>
  <c r="AJ20" i="3"/>
  <c r="BR20" i="3"/>
  <c r="CG37" i="3"/>
  <c r="BL37" i="3"/>
  <c r="BH6" i="3"/>
  <c r="CG9" i="3"/>
  <c r="AZ9" i="3"/>
  <c r="BQ9" i="3"/>
  <c r="AR45" i="3"/>
  <c r="CD71" i="3"/>
  <c r="BW71" i="3"/>
  <c r="CL7" i="3"/>
  <c r="AM7" i="3"/>
  <c r="BA26" i="3"/>
  <c r="AT26" i="3"/>
  <c r="AX26" i="3"/>
  <c r="AV32" i="3"/>
  <c r="BI27" i="3"/>
  <c r="CN34" i="3"/>
  <c r="CD11" i="3"/>
  <c r="AN11" i="3"/>
  <c r="AQ33" i="3"/>
  <c r="AO54" i="3"/>
  <c r="AZ57" i="3"/>
  <c r="CG59" i="3"/>
  <c r="CI59" i="3"/>
  <c r="CM46" i="3"/>
  <c r="CK46" i="3"/>
  <c r="BG69" i="3"/>
  <c r="AM64" i="3"/>
  <c r="AK64" i="3"/>
  <c r="CG74" i="3"/>
  <c r="BZ74" i="3"/>
  <c r="BY75" i="3"/>
  <c r="CF76" i="3"/>
  <c r="BM77" i="3"/>
  <c r="AK8" i="3"/>
  <c r="AX8" i="3"/>
  <c r="BN8" i="3"/>
  <c r="AY39" i="3"/>
  <c r="BN39" i="3"/>
  <c r="AX15" i="3"/>
  <c r="BB15" i="3"/>
  <c r="AW28" i="3"/>
  <c r="AU44" i="3"/>
  <c r="CG14" i="3"/>
  <c r="BS14" i="3"/>
  <c r="BC14" i="3"/>
  <c r="AW21" i="3"/>
  <c r="BD21" i="3"/>
  <c r="AW38" i="3"/>
  <c r="BC51" i="3"/>
  <c r="CE51" i="3"/>
  <c r="CD70" i="3"/>
  <c r="BT70" i="3"/>
  <c r="AN72" i="3"/>
  <c r="CN13" i="3"/>
  <c r="AR18" i="3"/>
  <c r="AT10" i="3"/>
  <c r="AV80" i="3"/>
  <c r="BR12" i="3"/>
  <c r="CB5" i="3"/>
  <c r="BV42" i="3"/>
  <c r="AW46" i="3"/>
  <c r="CI46" i="3"/>
  <c r="CN69" i="3"/>
  <c r="BK64" i="3"/>
  <c r="CM64" i="3"/>
  <c r="AR74" i="3"/>
  <c r="BX74" i="3"/>
  <c r="BX75" i="3"/>
  <c r="CD76" i="3"/>
  <c r="BK77" i="3"/>
  <c r="CE8" i="3"/>
  <c r="CJ8" i="3"/>
  <c r="BM8" i="3"/>
  <c r="CD39" i="3"/>
  <c r="AQ39" i="3"/>
  <c r="BY15" i="3"/>
  <c r="BA15" i="3"/>
  <c r="AV28" i="3"/>
  <c r="AS44" i="3"/>
  <c r="BE14" i="3"/>
  <c r="AV14" i="3"/>
  <c r="AU14" i="3"/>
  <c r="BS21" i="3"/>
  <c r="AV21" i="3"/>
  <c r="AT38" i="3"/>
  <c r="CH51" i="3"/>
  <c r="AV51" i="3"/>
  <c r="CC70" i="3"/>
  <c r="BR70" i="3"/>
  <c r="BT72" i="3"/>
  <c r="CE13" i="3"/>
  <c r="BV18" i="3"/>
  <c r="CB10" i="3"/>
  <c r="AT80" i="3"/>
  <c r="BH12" i="3"/>
  <c r="AJ5" i="3"/>
  <c r="BZ40" i="3"/>
  <c r="BV40" i="3"/>
  <c r="CD16" i="3"/>
  <c r="BN16" i="3"/>
  <c r="AP19" i="3"/>
  <c r="BH24" i="3"/>
  <c r="AN60" i="3"/>
  <c r="BQ46" i="3"/>
  <c r="BU43" i="3"/>
  <c r="AT69" i="3"/>
  <c r="AJ64" i="3"/>
  <c r="BP64" i="3"/>
  <c r="CD74" i="3"/>
  <c r="CK75" i="3"/>
  <c r="BW75" i="3"/>
  <c r="CA76" i="3"/>
  <c r="AW77" i="3"/>
  <c r="BB8" i="3"/>
  <c r="BW8" i="3"/>
  <c r="BD8" i="3"/>
  <c r="AX39" i="3"/>
  <c r="BT39" i="3"/>
  <c r="AT15" i="3"/>
  <c r="BZ15" i="3"/>
  <c r="AU28" i="3"/>
  <c r="CM44" i="3"/>
  <c r="AJ44" i="3"/>
  <c r="AK14" i="3"/>
  <c r="CK14" i="3"/>
  <c r="AQ14" i="3"/>
  <c r="AP21" i="3"/>
  <c r="BC21" i="3"/>
  <c r="BA38" i="3"/>
  <c r="BB51" i="3"/>
  <c r="CF51" i="3"/>
  <c r="BQ70" i="3"/>
  <c r="AL72" i="3"/>
  <c r="BS13" i="3"/>
  <c r="AS10" i="3"/>
  <c r="AK25" i="3"/>
  <c r="BD80" i="3"/>
  <c r="BA12" i="3"/>
  <c r="BN5" i="3"/>
  <c r="BY5" i="3"/>
  <c r="AZ40" i="3"/>
  <c r="BT40" i="3"/>
  <c r="AY16" i="3"/>
  <c r="CM16" i="3"/>
  <c r="AO19" i="3"/>
  <c r="BG24" i="3"/>
  <c r="BQ60" i="3"/>
  <c r="CJ60" i="3"/>
  <c r="BM20" i="3"/>
  <c r="BW20" i="3"/>
  <c r="BQ20" i="3"/>
  <c r="AV37" i="3"/>
  <c r="BX37" i="3"/>
  <c r="BL6" i="3"/>
  <c r="CF9" i="3"/>
  <c r="AT9" i="3"/>
  <c r="BE9" i="3"/>
  <c r="CC71" i="3"/>
  <c r="BS71" i="3"/>
  <c r="AO7" i="3"/>
  <c r="AL7" i="3"/>
  <c r="AQ22" i="3"/>
  <c r="AZ26" i="3"/>
  <c r="AS26" i="3"/>
  <c r="AO26" i="3"/>
  <c r="AS32" i="3"/>
  <c r="BY27" i="3"/>
  <c r="BH34" i="3"/>
  <c r="AX11" i="3"/>
  <c r="CJ11" i="3"/>
  <c r="AP33" i="3"/>
  <c r="CM57" i="3"/>
  <c r="BA57" i="3"/>
  <c r="CF59" i="3"/>
  <c r="CH59" i="3"/>
  <c r="BP46" i="3"/>
  <c r="BA43" i="3"/>
  <c r="BP69" i="3"/>
  <c r="BJ64" i="3"/>
  <c r="BD64" i="3"/>
  <c r="AP74" i="3"/>
  <c r="BK75" i="3"/>
  <c r="BU75" i="3"/>
  <c r="BX76" i="3"/>
  <c r="CC8" i="3"/>
  <c r="BE8" i="3"/>
  <c r="BG8" i="3"/>
  <c r="CB39" i="3"/>
  <c r="BM39" i="3"/>
  <c r="BX15" i="3"/>
  <c r="CF15" i="3"/>
  <c r="CN28" i="3"/>
  <c r="AQ44" i="3"/>
  <c r="BR44" i="3"/>
  <c r="CF14" i="3"/>
  <c r="AM14" i="3"/>
  <c r="BR21" i="3"/>
  <c r="BB21" i="3"/>
  <c r="BZ51" i="3"/>
  <c r="CG51" i="3"/>
  <c r="BP70" i="3"/>
  <c r="BH72" i="3"/>
  <c r="BP13" i="3"/>
  <c r="BZ10" i="3"/>
  <c r="AJ25" i="3"/>
  <c r="BB80" i="3"/>
  <c r="AU12" i="3"/>
  <c r="BM5" i="3"/>
  <c r="BO5" i="3"/>
  <c r="BH40" i="3"/>
  <c r="CC16" i="3"/>
  <c r="AV16" i="3"/>
  <c r="AN19" i="3"/>
  <c r="AT24" i="3"/>
  <c r="AM60" i="3"/>
  <c r="BG60" i="3"/>
  <c r="AO20" i="3"/>
  <c r="BB20" i="3"/>
  <c r="BL20" i="3"/>
  <c r="CE37" i="3"/>
  <c r="AZ37" i="3"/>
  <c r="CN6" i="3"/>
  <c r="BJ9" i="3"/>
  <c r="CK9" i="3"/>
  <c r="BM9" i="3"/>
  <c r="CF71" i="3"/>
  <c r="BG71" i="3"/>
  <c r="BL71" i="3"/>
  <c r="BW7" i="3"/>
  <c r="AP22" i="3"/>
  <c r="BR26" i="3"/>
  <c r="CG26" i="3"/>
  <c r="AL26" i="3"/>
  <c r="CB32" i="3"/>
  <c r="BX27" i="3"/>
  <c r="AL34" i="3"/>
  <c r="CA11" i="3"/>
  <c r="BU11" i="3"/>
  <c r="AN33" i="3"/>
  <c r="CM54" i="3"/>
  <c r="AY57" i="3"/>
  <c r="BV57" i="3"/>
  <c r="BK59" i="3"/>
  <c r="BN59" i="3"/>
  <c r="AZ59" i="3"/>
  <c r="BV67" i="3"/>
  <c r="CN47" i="3"/>
  <c r="AY31" i="3"/>
  <c r="AQ50" i="3"/>
  <c r="AX30" i="3"/>
  <c r="BW73" i="3"/>
  <c r="CE73" i="3"/>
  <c r="BP53" i="3"/>
  <c r="BE53" i="3"/>
  <c r="BT53" i="3"/>
  <c r="AQ82" i="3"/>
  <c r="CF82" i="3"/>
  <c r="BO82" i="3"/>
  <c r="BS52" i="3"/>
  <c r="CI52" i="3"/>
  <c r="AL68" i="3"/>
  <c r="CL68" i="3"/>
  <c r="BS68" i="3"/>
  <c r="CM55" i="3"/>
  <c r="AY55" i="3"/>
  <c r="CH61" i="3"/>
  <c r="BL61" i="3"/>
  <c r="CD78" i="3"/>
  <c r="BR79" i="3"/>
  <c r="CB79" i="3"/>
  <c r="CH81" i="3"/>
  <c r="CK81" i="3"/>
  <c r="AX81" i="3"/>
  <c r="AN65" i="3"/>
  <c r="CM65" i="3"/>
  <c r="CH58" i="3"/>
  <c r="CM23" i="3"/>
  <c r="BV22" i="3"/>
  <c r="BM41" i="3"/>
  <c r="AZ19" i="3"/>
  <c r="AC19" i="3"/>
  <c r="BS12" i="3"/>
  <c r="BC17" i="3"/>
  <c r="BC23" i="3"/>
  <c r="AG23" i="3"/>
  <c r="AV46" i="3"/>
  <c r="AZ43" i="3"/>
  <c r="BM69" i="3"/>
  <c r="BI64" i="3"/>
  <c r="BZ64" i="3"/>
  <c r="CB74" i="3"/>
  <c r="BI75" i="3"/>
  <c r="AK75" i="3"/>
  <c r="BV76" i="3"/>
  <c r="AZ8" i="3"/>
  <c r="CK8" i="3"/>
  <c r="AW39" i="3"/>
  <c r="BK39" i="3"/>
  <c r="AS15" i="3"/>
  <c r="BJ15" i="3"/>
  <c r="BS28" i="3"/>
  <c r="CL44" i="3"/>
  <c r="AX44" i="3"/>
  <c r="BD14" i="3"/>
  <c r="CJ14" i="3"/>
  <c r="AO21" i="3"/>
  <c r="BA21" i="3"/>
  <c r="BM38" i="3"/>
  <c r="AP51" i="3"/>
  <c r="BN70" i="3"/>
  <c r="CF72" i="3"/>
  <c r="CN72" i="3"/>
  <c r="AM13" i="3"/>
  <c r="AR10" i="3"/>
  <c r="CJ25" i="3"/>
  <c r="CH80" i="3"/>
  <c r="AT12" i="3"/>
  <c r="BL5" i="3"/>
  <c r="AZ5" i="3"/>
  <c r="AW40" i="3"/>
  <c r="CN48" i="3"/>
  <c r="AX16" i="3"/>
  <c r="CL16" i="3"/>
  <c r="AM19" i="3"/>
  <c r="AS24" i="3"/>
  <c r="BP60" i="3"/>
  <c r="BF60" i="3"/>
  <c r="CF20" i="3"/>
  <c r="CN20" i="3"/>
  <c r="BA20" i="3"/>
  <c r="AU37" i="3"/>
  <c r="CC6" i="3"/>
  <c r="AM9" i="3"/>
  <c r="AQ9" i="3"/>
  <c r="AV9" i="3"/>
  <c r="CJ71" i="3"/>
  <c r="AL71" i="3"/>
  <c r="BD71" i="3"/>
  <c r="BU7" i="3"/>
  <c r="CG41" i="3"/>
  <c r="AO22" i="3"/>
  <c r="AY26" i="3"/>
  <c r="BK26" i="3"/>
  <c r="CB26" i="3"/>
  <c r="CA32" i="3"/>
  <c r="BW27" i="3"/>
  <c r="AW11" i="3"/>
  <c r="BL11" i="3"/>
  <c r="BO54" i="3"/>
  <c r="CD57" i="3"/>
  <c r="BU57" i="3"/>
  <c r="AN59" i="3"/>
  <c r="AP59" i="3"/>
  <c r="CM59" i="3"/>
  <c r="AT67" i="3"/>
  <c r="CJ47" i="3"/>
  <c r="CF31" i="3"/>
  <c r="BY50" i="3"/>
  <c r="BA56" i="3"/>
  <c r="AU73" i="3"/>
  <c r="CD73" i="3"/>
  <c r="AU53" i="3"/>
  <c r="CE53" i="3"/>
  <c r="BQ53" i="3"/>
  <c r="BR82" i="3"/>
  <c r="BK82" i="3"/>
  <c r="CE82" i="3"/>
  <c r="AR52" i="3"/>
  <c r="CH52" i="3"/>
  <c r="CK68" i="3"/>
  <c r="BH68" i="3"/>
  <c r="BQ68" i="3"/>
  <c r="BJ55" i="3"/>
  <c r="AT55" i="3"/>
  <c r="BH61" i="3"/>
  <c r="CF61" i="3"/>
  <c r="AO79" i="3"/>
  <c r="CA79" i="3"/>
  <c r="BM81" i="3"/>
  <c r="BP81" i="3"/>
  <c r="BQ81" i="3"/>
  <c r="BL65" i="3"/>
  <c r="BG65" i="3"/>
  <c r="AJ58" i="3"/>
  <c r="BS30" i="3"/>
  <c r="CN26" i="3"/>
  <c r="CM70" i="3"/>
  <c r="CE19" i="3"/>
  <c r="CN19" i="3"/>
  <c r="AJ13" i="3"/>
  <c r="CB17" i="3"/>
  <c r="BT23" i="3"/>
  <c r="CE23" i="3"/>
  <c r="CE29" i="3"/>
  <c r="BZ29" i="3"/>
  <c r="BX29" i="3"/>
  <c r="AL35" i="3"/>
  <c r="CK17" i="3"/>
  <c r="BN17" i="3"/>
  <c r="CI10" i="3"/>
  <c r="AZ18" i="3"/>
  <c r="CL24" i="3"/>
  <c r="AG24" i="3"/>
  <c r="CM25" i="3"/>
  <c r="BN7" i="3"/>
  <c r="AT5" i="3"/>
  <c r="BQ5" i="3"/>
  <c r="CJ17" i="3"/>
  <c r="AS46" i="3"/>
  <c r="AY43" i="3"/>
  <c r="CI69" i="3"/>
  <c r="BK69" i="3"/>
  <c r="BE64" i="3"/>
  <c r="BQ64" i="3"/>
  <c r="AN74" i="3"/>
  <c r="BC75" i="3"/>
  <c r="AQ75" i="3"/>
  <c r="BN76" i="3"/>
  <c r="BU8" i="3"/>
  <c r="AM8" i="3"/>
  <c r="AO39" i="3"/>
  <c r="AV39" i="3"/>
  <c r="BR15" i="3"/>
  <c r="CN15" i="3"/>
  <c r="AP44" i="3"/>
  <c r="BQ44" i="3"/>
  <c r="AJ14" i="3"/>
  <c r="CI14" i="3"/>
  <c r="BP21" i="3"/>
  <c r="BE21" i="3"/>
  <c r="CH38" i="3"/>
  <c r="BQ51" i="3"/>
  <c r="BP51" i="3"/>
  <c r="BM70" i="3"/>
  <c r="CM72" i="3"/>
  <c r="BG72" i="3"/>
  <c r="AN13" i="3"/>
  <c r="BW10" i="3"/>
  <c r="CI25" i="3"/>
  <c r="CE80" i="3"/>
  <c r="AS12" i="3"/>
  <c r="BF5" i="3"/>
  <c r="CA5" i="3"/>
  <c r="AO40" i="3"/>
  <c r="AP40" i="3"/>
  <c r="BJ48" i="3"/>
  <c r="CB16" i="3"/>
  <c r="CE16" i="3"/>
  <c r="AL19" i="3"/>
  <c r="BK24" i="3"/>
  <c r="AL60" i="3"/>
  <c r="CI60" i="3"/>
  <c r="BG20" i="3"/>
  <c r="AU20" i="3"/>
  <c r="AZ20" i="3"/>
  <c r="CC37" i="3"/>
  <c r="CL6" i="3"/>
  <c r="BM6" i="3"/>
  <c r="CC9" i="3"/>
  <c r="CJ9" i="3"/>
  <c r="BO71" i="3"/>
  <c r="CB71" i="3"/>
  <c r="BC71" i="3"/>
  <c r="BV7" i="3"/>
  <c r="CF41" i="3"/>
  <c r="AL22" i="3"/>
  <c r="BP26" i="3"/>
  <c r="AQ26" i="3"/>
  <c r="BY26" i="3"/>
  <c r="BZ32" i="3"/>
  <c r="BD27" i="3"/>
  <c r="BZ11" i="3"/>
  <c r="BF11" i="3"/>
  <c r="BN54" i="3"/>
  <c r="AX57" i="3"/>
  <c r="BT57" i="3"/>
  <c r="CC59" i="3"/>
  <c r="CL59" i="3"/>
  <c r="AY59" i="3"/>
  <c r="AS67" i="3"/>
  <c r="BV47" i="3"/>
  <c r="CE31" i="3"/>
  <c r="AP50" i="3"/>
  <c r="AQ30" i="3"/>
  <c r="AZ56" i="3"/>
  <c r="BU73" i="3"/>
  <c r="BT73" i="3"/>
  <c r="CK53" i="3"/>
  <c r="BA53" i="3"/>
  <c r="BJ53" i="3"/>
  <c r="AW82" i="3"/>
  <c r="AK82" i="3"/>
  <c r="CD82" i="3"/>
  <c r="BR52" i="3"/>
  <c r="CF52" i="3"/>
  <c r="BG68" i="3"/>
  <c r="AJ68" i="3"/>
  <c r="BK68" i="3"/>
  <c r="AN55" i="3"/>
  <c r="BZ55" i="3"/>
  <c r="CG61" i="3"/>
  <c r="CE61" i="3"/>
  <c r="BO79" i="3"/>
  <c r="BY79" i="3"/>
  <c r="AN81" i="3"/>
  <c r="AQ81" i="3"/>
  <c r="BG81" i="3"/>
  <c r="AM65" i="3"/>
  <c r="BC65" i="3"/>
  <c r="CN58" i="3"/>
  <c r="BY21" i="3"/>
  <c r="CE14" i="3"/>
  <c r="CL73" i="3"/>
  <c r="AY19" i="3"/>
  <c r="BX19" i="3"/>
  <c r="BN13" i="3"/>
  <c r="AS18" i="3"/>
  <c r="CJ23" i="3"/>
  <c r="BN23" i="3"/>
  <c r="BO29" i="3"/>
  <c r="BJ29" i="3"/>
  <c r="BC29" i="3"/>
  <c r="AK35" i="3"/>
  <c r="BE17" i="3"/>
  <c r="AX17" i="3"/>
  <c r="BC10" i="3"/>
  <c r="BY18" i="3"/>
  <c r="BT24" i="3"/>
  <c r="AR46" i="3"/>
  <c r="AT43" i="3"/>
  <c r="CM69" i="3"/>
  <c r="BJ69" i="3"/>
  <c r="BY64" i="3"/>
  <c r="CF64" i="3"/>
  <c r="CA74" i="3"/>
  <c r="AX75" i="3"/>
  <c r="AO75" i="3"/>
  <c r="AN76" i="3"/>
  <c r="AW8" i="3"/>
  <c r="CH8" i="3"/>
  <c r="CI39" i="3"/>
  <c r="CK39" i="3"/>
  <c r="AT39" i="3"/>
  <c r="AR15" i="3"/>
  <c r="BN15" i="3"/>
  <c r="CK44" i="3"/>
  <c r="BP44" i="3"/>
  <c r="CC14" i="3"/>
  <c r="BR14" i="3"/>
  <c r="AN21" i="3"/>
  <c r="AJ21" i="3"/>
  <c r="CG38" i="3"/>
  <c r="BN51" i="3"/>
  <c r="BO51" i="3"/>
  <c r="CN70" i="3"/>
  <c r="AZ72" i="3"/>
  <c r="AT72" i="3"/>
  <c r="BO13" i="3"/>
  <c r="BH10" i="3"/>
  <c r="BI10" i="3"/>
  <c r="BU25" i="3"/>
  <c r="CL80" i="3"/>
  <c r="AL12" i="3"/>
  <c r="AX5" i="3"/>
  <c r="BX5" i="3"/>
  <c r="CD63" i="3"/>
  <c r="BA42" i="3"/>
  <c r="BG40" i="3"/>
  <c r="AM40" i="3"/>
  <c r="BI48" i="3"/>
  <c r="AW16" i="3"/>
  <c r="CA16" i="3"/>
  <c r="AK19" i="3"/>
  <c r="AR24" i="3"/>
  <c r="CH60" i="3"/>
  <c r="CA60" i="3"/>
  <c r="AM20" i="3"/>
  <c r="CM20" i="3"/>
  <c r="AP29" i="3"/>
  <c r="AT37" i="3"/>
  <c r="AP6" i="3"/>
  <c r="BK6" i="3"/>
  <c r="BD9" i="3"/>
  <c r="BS9" i="3"/>
  <c r="CN45" i="3"/>
  <c r="AU71" i="3"/>
  <c r="BE71" i="3"/>
  <c r="BB71" i="3"/>
  <c r="BS7" i="3"/>
  <c r="CE41" i="3"/>
  <c r="AJ22" i="3"/>
  <c r="AW26" i="3"/>
  <c r="BQ26" i="3"/>
  <c r="CF26" i="3"/>
  <c r="BY32" i="3"/>
  <c r="BA27" i="3"/>
  <c r="AV11" i="3"/>
  <c r="BT11" i="3"/>
  <c r="BM54" i="3"/>
  <c r="CC57" i="3"/>
  <c r="BQ57" i="3"/>
  <c r="BE59" i="3"/>
  <c r="AX59" i="3"/>
  <c r="BR59" i="3"/>
  <c r="AR67" i="3"/>
  <c r="AW47" i="3"/>
  <c r="CD31" i="3"/>
  <c r="BR50" i="3"/>
  <c r="AP30" i="3"/>
  <c r="AU56" i="3"/>
  <c r="AS73" i="3"/>
  <c r="BK73" i="3"/>
  <c r="BO53" i="3"/>
  <c r="CC53" i="3"/>
  <c r="BI53" i="3"/>
  <c r="BQ82" i="3"/>
  <c r="BY82" i="3"/>
  <c r="CC82" i="3"/>
  <c r="AM52" i="3"/>
  <c r="CB52" i="3"/>
  <c r="CJ68" i="3"/>
  <c r="AQ68" i="3"/>
  <c r="BE68" i="3"/>
  <c r="CL55" i="3"/>
  <c r="BQ55" i="3"/>
  <c r="BG61" i="3"/>
  <c r="CD61" i="3"/>
  <c r="AM79" i="3"/>
  <c r="BL79" i="3"/>
  <c r="CG81" i="3"/>
  <c r="CJ81" i="3"/>
  <c r="BA81" i="3"/>
  <c r="CJ65" i="3"/>
  <c r="AR65" i="3"/>
  <c r="CM58" i="3"/>
  <c r="CF7" i="3"/>
  <c r="CE50" i="3"/>
  <c r="BS56" i="3"/>
  <c r="BO19" i="3"/>
  <c r="BH19" i="3"/>
  <c r="CM13" i="3"/>
  <c r="BW18" i="3"/>
  <c r="BS23" i="3"/>
  <c r="AW23" i="3"/>
  <c r="AY29" i="3"/>
  <c r="CJ29" i="3"/>
  <c r="AH29" i="3"/>
  <c r="AJ35" i="3"/>
  <c r="AO17" i="3"/>
  <c r="CC17" i="3"/>
  <c r="AM10" i="3"/>
  <c r="BQ19" i="3"/>
  <c r="BC24" i="3"/>
  <c r="BO24" i="3"/>
  <c r="CM29" i="3"/>
  <c r="AQ46" i="3"/>
  <c r="CN43" i="3"/>
  <c r="AS69" i="3"/>
  <c r="BH69" i="3"/>
  <c r="AP64" i="3"/>
  <c r="CL64" i="3"/>
  <c r="AK74" i="3"/>
  <c r="CI75" i="3"/>
  <c r="AM75" i="3"/>
  <c r="CG77" i="3"/>
  <c r="BT8" i="3"/>
  <c r="AL8" i="3"/>
  <c r="BC39" i="3"/>
  <c r="AN39" i="3"/>
  <c r="AP39" i="3"/>
  <c r="BQ15" i="3"/>
  <c r="CH15" i="3"/>
  <c r="AO44" i="3"/>
  <c r="BN44" i="3"/>
  <c r="BB14" i="3"/>
  <c r="CD14" i="3"/>
  <c r="CN21" i="3"/>
  <c r="CJ21" i="3"/>
  <c r="CF38" i="3"/>
  <c r="AJ51" i="3"/>
  <c r="AW51" i="3"/>
  <c r="AL70" i="3"/>
  <c r="CJ72" i="3"/>
  <c r="AK72" i="3"/>
  <c r="BC13" i="3"/>
  <c r="BG10" i="3"/>
  <c r="BQ10" i="3"/>
  <c r="AM25" i="3"/>
  <c r="CJ80" i="3"/>
  <c r="AK12" i="3"/>
  <c r="AV5" i="3"/>
  <c r="BV5" i="3"/>
  <c r="CB63" i="3"/>
  <c r="AY42" i="3"/>
  <c r="CN40" i="3"/>
  <c r="AL40" i="3"/>
  <c r="BE48" i="3"/>
  <c r="BZ16" i="3"/>
  <c r="BM16" i="3"/>
  <c r="BL19" i="3"/>
  <c r="AQ24" i="3"/>
  <c r="BD60" i="3"/>
  <c r="BT60" i="3"/>
  <c r="CE20" i="3"/>
  <c r="AN20" i="3"/>
  <c r="AL29" i="3"/>
  <c r="CB37" i="3"/>
  <c r="CK6" i="3"/>
  <c r="BY6" i="3"/>
  <c r="AK9" i="3"/>
  <c r="AP9" i="3"/>
  <c r="CJ45" i="3"/>
  <c r="CI71" i="3"/>
  <c r="AK71" i="3"/>
  <c r="CG71" i="3"/>
  <c r="BY7" i="3"/>
  <c r="CD41" i="3"/>
  <c r="AM22" i="3"/>
  <c r="CM26" i="3"/>
  <c r="BJ26" i="3"/>
  <c r="AN26" i="3"/>
  <c r="BW32" i="3"/>
  <c r="AP27" i="3"/>
  <c r="CM11" i="3"/>
  <c r="AT11" i="3"/>
  <c r="BN11" i="3"/>
  <c r="BG49" i="3"/>
  <c r="BH54" i="3"/>
  <c r="AW57" i="3"/>
  <c r="AK59" i="3"/>
  <c r="CK59" i="3"/>
  <c r="BP59" i="3"/>
  <c r="AK67" i="3"/>
  <c r="AV47" i="3"/>
  <c r="CA31" i="3"/>
  <c r="AK50" i="3"/>
  <c r="AO30" i="3"/>
  <c r="AT56" i="3"/>
  <c r="BQ73" i="3"/>
  <c r="BI73" i="3"/>
  <c r="AS53" i="3"/>
  <c r="AY53" i="3"/>
  <c r="AN53" i="3"/>
  <c r="AV82" i="3"/>
  <c r="AY82" i="3"/>
  <c r="CB82" i="3"/>
  <c r="BQ52" i="3"/>
  <c r="BU52" i="3"/>
  <c r="BF68" i="3"/>
  <c r="AP68" i="3"/>
  <c r="BI55" i="3"/>
  <c r="AJ55" i="3"/>
  <c r="BP61" i="3"/>
  <c r="CC61" i="3"/>
  <c r="BM79" i="3"/>
  <c r="BB79" i="3"/>
  <c r="BL81" i="3"/>
  <c r="BO81" i="3"/>
  <c r="AZ81" i="3"/>
  <c r="BA65" i="3"/>
  <c r="AQ65" i="3"/>
  <c r="CL58" i="3"/>
  <c r="CD13" i="3"/>
  <c r="CG27" i="3"/>
  <c r="BJ80" i="3"/>
  <c r="AI19" i="3"/>
  <c r="AR19" i="3"/>
  <c r="AT17" i="3"/>
  <c r="BM19" i="3"/>
  <c r="BB23" i="3"/>
  <c r="AF23" i="3"/>
  <c r="AI29" i="3"/>
  <c r="BN29" i="3"/>
  <c r="BW29" i="3"/>
  <c r="AQ35" i="3"/>
  <c r="BU17" i="3"/>
  <c r="BM17" i="3"/>
  <c r="CH10" i="3"/>
  <c r="BV46" i="3"/>
  <c r="AP46" i="3"/>
  <c r="BP43" i="3"/>
  <c r="CK69" i="3"/>
  <c r="AQ69" i="3"/>
  <c r="BX64" i="3"/>
  <c r="CG64" i="3"/>
  <c r="BD74" i="3"/>
  <c r="AU75" i="3"/>
  <c r="BS75" i="3"/>
  <c r="AU76" i="3"/>
  <c r="AO77" i="3"/>
  <c r="AQ8" i="3"/>
  <c r="CM8" i="3"/>
  <c r="AJ39" i="3"/>
  <c r="CJ39" i="3"/>
  <c r="AL39" i="3"/>
  <c r="AL15" i="3"/>
  <c r="CG15" i="3"/>
  <c r="CJ44" i="3"/>
  <c r="AZ44" i="3"/>
  <c r="CB14" i="3"/>
  <c r="AO14" i="3"/>
  <c r="BO21" i="3"/>
  <c r="CI21" i="3"/>
  <c r="CE38" i="3"/>
  <c r="BM51" i="3"/>
  <c r="AU51" i="3"/>
  <c r="CG70" i="3"/>
  <c r="AX72" i="3"/>
  <c r="AJ72" i="3"/>
  <c r="AO13" i="3"/>
  <c r="BA10" i="3"/>
  <c r="BP10" i="3"/>
  <c r="AL25" i="3"/>
  <c r="CN80" i="3"/>
  <c r="CL12" i="3"/>
  <c r="AU5" i="3"/>
  <c r="AY5" i="3"/>
  <c r="CA63" i="3"/>
  <c r="BY42" i="3"/>
  <c r="BF40" i="3"/>
  <c r="AK40" i="3"/>
  <c r="BD48" i="3"/>
  <c r="AU16" i="3"/>
  <c r="BE16" i="3"/>
  <c r="AQ19" i="3"/>
  <c r="CD60" i="3"/>
  <c r="BL60" i="3"/>
  <c r="BF20" i="3"/>
  <c r="CL20" i="3"/>
  <c r="AN29" i="3"/>
  <c r="AS37" i="3"/>
  <c r="AO6" i="3"/>
  <c r="BJ6" i="3"/>
  <c r="CB9" i="3"/>
  <c r="CI9" i="3"/>
  <c r="AV45" i="3"/>
  <c r="BN71" i="3"/>
  <c r="CM71" i="3"/>
  <c r="CA71" i="3"/>
  <c r="BB7" i="3"/>
  <c r="CC41" i="3"/>
  <c r="BE22" i="3"/>
  <c r="BO26" i="3"/>
  <c r="AK26" i="3"/>
  <c r="CE26" i="3"/>
  <c r="BP32" i="3"/>
  <c r="AN27" i="3"/>
  <c r="BJ11" i="3"/>
  <c r="BY11" i="3"/>
  <c r="BM11" i="3"/>
  <c r="AJ46" i="3"/>
  <c r="BA14" i="3"/>
  <c r="CD38" i="3"/>
  <c r="AQ25" i="3"/>
  <c r="AN16" i="3"/>
  <c r="AL20" i="3"/>
  <c r="BX6" i="3"/>
  <c r="AT71" i="3"/>
  <c r="AN22" i="3"/>
  <c r="AT32" i="3"/>
  <c r="BG11" i="3"/>
  <c r="BZ57" i="3"/>
  <c r="AT59" i="3"/>
  <c r="BQ67" i="3"/>
  <c r="BJ31" i="3"/>
  <c r="BM50" i="3"/>
  <c r="AY30" i="3"/>
  <c r="CA73" i="3"/>
  <c r="BX53" i="3"/>
  <c r="AL82" i="3"/>
  <c r="BC52" i="3"/>
  <c r="BV68" i="3"/>
  <c r="AM55" i="3"/>
  <c r="AQ61" i="3"/>
  <c r="CH78" i="3"/>
  <c r="BK79" i="3"/>
  <c r="AO81" i="3"/>
  <c r="BT81" i="3"/>
  <c r="BK65" i="3"/>
  <c r="BA58" i="3"/>
  <c r="BE66" i="3"/>
  <c r="CF19" i="3"/>
  <c r="BW23" i="3"/>
  <c r="BQ23" i="3"/>
  <c r="BM23" i="3"/>
  <c r="CA29" i="3"/>
  <c r="AD29" i="3"/>
  <c r="CL25" i="3"/>
  <c r="AW17" i="3"/>
  <c r="BC12" i="3"/>
  <c r="BD24" i="3"/>
  <c r="AF24" i="3"/>
  <c r="BD7" i="3"/>
  <c r="AF7" i="3"/>
  <c r="CH5" i="3"/>
  <c r="BW13" i="3"/>
  <c r="BU12" i="3"/>
  <c r="AX12" i="3"/>
  <c r="AH5" i="3"/>
  <c r="BU22" i="3"/>
  <c r="BJ30" i="3"/>
  <c r="BP30" i="3"/>
  <c r="CC30" i="3"/>
  <c r="BU35" i="3"/>
  <c r="CF35" i="3"/>
  <c r="AF35" i="3"/>
  <c r="AM5" i="3"/>
  <c r="AQ10" i="3"/>
  <c r="BA11" i="3"/>
  <c r="BE18" i="3"/>
  <c r="AP34" i="3"/>
  <c r="CK36" i="3"/>
  <c r="BY36" i="3"/>
  <c r="AC36" i="3"/>
  <c r="CH22" i="3"/>
  <c r="CD22" i="3"/>
  <c r="BW22" i="3"/>
  <c r="BT28" i="3"/>
  <c r="CB18" i="3"/>
  <c r="BE13" i="3"/>
  <c r="BE35" i="3"/>
  <c r="BK28" i="3"/>
  <c r="AM28" i="3"/>
  <c r="BY25" i="3"/>
  <c r="BM25" i="3"/>
  <c r="BA25" i="3"/>
  <c r="CE6" i="3"/>
  <c r="BQ13" i="3"/>
  <c r="AT13" i="3"/>
  <c r="AQ6" i="3"/>
  <c r="CA8" i="3"/>
  <c r="AB8" i="3"/>
  <c r="CM15" i="3"/>
  <c r="AM15" i="3"/>
  <c r="BC16" i="3"/>
  <c r="BO18" i="3"/>
  <c r="BU31" i="3"/>
  <c r="AT31" i="3"/>
  <c r="BJ34" i="3"/>
  <c r="AY34" i="3"/>
  <c r="BY31" i="3"/>
  <c r="BI38" i="3"/>
  <c r="BK27" i="3"/>
  <c r="AJ42" i="3"/>
  <c r="BD10" i="3"/>
  <c r="BJ21" i="3"/>
  <c r="CL9" i="3"/>
  <c r="CL15" i="3"/>
  <c r="AW33" i="3"/>
  <c r="AU38" i="3"/>
  <c r="CL38" i="3"/>
  <c r="AU43" i="3"/>
  <c r="CG43" i="3"/>
  <c r="CH49" i="3"/>
  <c r="AD21" i="3"/>
  <c r="AV42" i="3"/>
  <c r="BO27" i="3"/>
  <c r="BS32" i="3"/>
  <c r="BS33" i="3"/>
  <c r="BN33" i="3"/>
  <c r="AP43" i="3"/>
  <c r="AC33" i="3"/>
  <c r="BX41" i="3"/>
  <c r="AZ41" i="3"/>
  <c r="BU45" i="3"/>
  <c r="CB45" i="3"/>
  <c r="AD45" i="3"/>
  <c r="AL33" i="3"/>
  <c r="AJ48" i="3"/>
  <c r="BT49" i="3"/>
  <c r="BW49" i="3"/>
  <c r="CI49" i="3"/>
  <c r="AV49" i="3"/>
  <c r="AF15" i="3"/>
  <c r="BD43" i="3"/>
  <c r="BQ14" i="3"/>
  <c r="CH72" i="3"/>
  <c r="BW16" i="3"/>
  <c r="BX20" i="3"/>
  <c r="BJ71" i="3"/>
  <c r="BC22" i="3"/>
  <c r="BD11" i="3"/>
  <c r="AW59" i="3"/>
  <c r="AU67" i="3"/>
  <c r="BC31" i="3"/>
  <c r="BK50" i="3"/>
  <c r="AK56" i="3"/>
  <c r="AX73" i="3"/>
  <c r="BD53" i="3"/>
  <c r="BT82" i="3"/>
  <c r="AK52" i="3"/>
  <c r="BD68" i="3"/>
  <c r="BY55" i="3"/>
  <c r="BO61" i="3"/>
  <c r="CF78" i="3"/>
  <c r="BG79" i="3"/>
  <c r="AM81" i="3"/>
  <c r="BS81" i="3"/>
  <c r="BJ65" i="3"/>
  <c r="AZ58" i="3"/>
  <c r="CK18" i="3"/>
  <c r="BP19" i="3"/>
  <c r="BS25" i="3"/>
  <c r="BA23" i="3"/>
  <c r="CC23" i="3"/>
  <c r="BK29" i="3"/>
  <c r="BV29" i="3"/>
  <c r="CL29" i="3"/>
  <c r="CA17" i="3"/>
  <c r="CA12" i="3"/>
  <c r="CM24" i="3"/>
  <c r="CF24" i="3"/>
  <c r="CE7" i="3"/>
  <c r="BK7" i="3"/>
  <c r="BB5" i="3"/>
  <c r="BH17" i="3"/>
  <c r="BE12" i="3"/>
  <c r="CC12" i="3"/>
  <c r="BG7" i="3"/>
  <c r="BE23" i="3"/>
  <c r="AT30" i="3"/>
  <c r="CJ30" i="3"/>
  <c r="BC30" i="3"/>
  <c r="BC35" i="3"/>
  <c r="BO35" i="3"/>
  <c r="BK35" i="3"/>
  <c r="AL5" i="3"/>
  <c r="BN10" i="3"/>
  <c r="AZ11" i="3"/>
  <c r="CG18" i="3"/>
  <c r="AO34" i="3"/>
  <c r="BT36" i="3"/>
  <c r="AS36" i="3"/>
  <c r="CB36" i="3"/>
  <c r="BQ22" i="3"/>
  <c r="BM22" i="3"/>
  <c r="BG23" i="3"/>
  <c r="AT29" i="3"/>
  <c r="BL18" i="3"/>
  <c r="CI13" i="3"/>
  <c r="AL17" i="3"/>
  <c r="AR28" i="3"/>
  <c r="BX28" i="3"/>
  <c r="BI25" i="3"/>
  <c r="CE25" i="3"/>
  <c r="CM6" i="3"/>
  <c r="AI6" i="3"/>
  <c r="BA13" i="3"/>
  <c r="AD13" i="3"/>
  <c r="AL6" i="3"/>
  <c r="BK8" i="3"/>
  <c r="BC8" i="3"/>
  <c r="BW15" i="3"/>
  <c r="BM15" i="3"/>
  <c r="BB16" i="3"/>
  <c r="CN18" i="3"/>
  <c r="BE31" i="3"/>
  <c r="BO31" i="3"/>
  <c r="AX36" i="3"/>
  <c r="AI34" i="3"/>
  <c r="AB34" i="3"/>
  <c r="CI38" i="3"/>
  <c r="CD27" i="3"/>
  <c r="AQ42" i="3"/>
  <c r="BT10" i="3"/>
  <c r="CA21" i="3"/>
  <c r="AR14" i="3"/>
  <c r="AM16" i="3"/>
  <c r="CA33" i="3"/>
  <c r="AE38" i="3"/>
  <c r="BU38" i="3"/>
  <c r="AE43" i="3"/>
  <c r="BL43" i="3"/>
  <c r="AC9" i="3"/>
  <c r="AU21" i="3"/>
  <c r="AD43" i="3"/>
  <c r="CJ27" i="3"/>
  <c r="BC32" i="3"/>
  <c r="BC33" i="3"/>
  <c r="AX33" i="3"/>
  <c r="AJ43" i="3"/>
  <c r="BG33" i="3"/>
  <c r="BF41" i="3"/>
  <c r="AH41" i="3"/>
  <c r="BE45" i="3"/>
  <c r="BF45" i="3"/>
  <c r="BS45" i="3"/>
  <c r="AK33" i="3"/>
  <c r="AN48" i="3"/>
  <c r="BC49" i="3"/>
  <c r="AU49" i="3"/>
  <c r="BI49" i="3"/>
  <c r="AF27" i="3"/>
  <c r="AV15" i="3"/>
  <c r="BA74" i="3"/>
  <c r="BS8" i="3"/>
  <c r="BL72" i="3"/>
  <c r="AO16" i="3"/>
  <c r="BC20" i="3"/>
  <c r="CG75" i="3"/>
  <c r="AR76" i="3"/>
  <c r="CI8" i="3"/>
  <c r="BL51" i="3"/>
  <c r="BL16" i="3"/>
  <c r="CH20" i="3"/>
  <c r="BK9" i="3"/>
  <c r="BR71" i="3"/>
  <c r="BS26" i="3"/>
  <c r="BW11" i="3"/>
  <c r="CD59" i="3"/>
  <c r="BA31" i="3"/>
  <c r="AW50" i="3"/>
  <c r="AW56" i="3"/>
  <c r="BG73" i="3"/>
  <c r="BF53" i="3"/>
  <c r="AN87" i="3"/>
  <c r="BD82" i="3"/>
  <c r="BA75" i="3"/>
  <c r="AM77" i="3"/>
  <c r="AT51" i="3"/>
  <c r="CM40" i="3"/>
  <c r="AV19" i="3"/>
  <c r="AW20" i="3"/>
  <c r="AN9" i="3"/>
  <c r="BU71" i="3"/>
  <c r="AV26" i="3"/>
  <c r="AQ11" i="3"/>
  <c r="AL59" i="3"/>
  <c r="BP47" i="3"/>
  <c r="CC31" i="3"/>
  <c r="AJ50" i="3"/>
  <c r="AY56" i="3"/>
  <c r="BE73" i="3"/>
  <c r="CM53" i="3"/>
  <c r="AK87" i="3"/>
  <c r="BB82" i="3"/>
  <c r="BK63" i="3"/>
  <c r="BA40" i="3"/>
  <c r="CI19" i="3"/>
  <c r="AV20" i="3"/>
  <c r="BC9" i="3"/>
  <c r="BT71" i="3"/>
  <c r="CH26" i="3"/>
  <c r="AQ27" i="3"/>
  <c r="AM11" i="3"/>
  <c r="AL54" i="3"/>
  <c r="BU59" i="3"/>
  <c r="BN47" i="3"/>
  <c r="BG50" i="3"/>
  <c r="BQ50" i="3"/>
  <c r="CI56" i="3"/>
  <c r="CJ73" i="3"/>
  <c r="CB53" i="3"/>
  <c r="BA82" i="3"/>
  <c r="AV52" i="3"/>
  <c r="BX68" i="3"/>
  <c r="BF55" i="3"/>
  <c r="AT61" i="3"/>
  <c r="AQ79" i="3"/>
  <c r="AJ81" i="3"/>
  <c r="BX65" i="3"/>
  <c r="AK65" i="3"/>
  <c r="CL52" i="3"/>
  <c r="BJ19" i="3"/>
  <c r="BQ18" i="3"/>
  <c r="CK23" i="3"/>
  <c r="CB23" i="3"/>
  <c r="BI29" i="3"/>
  <c r="AL23" i="3"/>
  <c r="CG17" i="3"/>
  <c r="BN19" i="3"/>
  <c r="CI17" i="3"/>
  <c r="CJ24" i="3"/>
  <c r="BL24" i="3"/>
  <c r="AV7" i="3"/>
  <c r="BJ5" i="3"/>
  <c r="BS6" i="3"/>
  <c r="BI22" i="3"/>
  <c r="BP12" i="3"/>
  <c r="AG12" i="3"/>
  <c r="CN10" i="3"/>
  <c r="AK24" i="3"/>
  <c r="AS30" i="3"/>
  <c r="CH30" i="3"/>
  <c r="AG30" i="3"/>
  <c r="CI35" i="3"/>
  <c r="AU35" i="3"/>
  <c r="CC35" i="3"/>
  <c r="AT6" i="3"/>
  <c r="AR11" i="3"/>
  <c r="BP11" i="3"/>
  <c r="CC24" i="3"/>
  <c r="CG36" i="3"/>
  <c r="BB36" i="3"/>
  <c r="BN36" i="3"/>
  <c r="AB36" i="3"/>
  <c r="BP22" i="3"/>
  <c r="BL22" i="3"/>
  <c r="CF13" i="3"/>
  <c r="CH18" i="3"/>
  <c r="BK18" i="3"/>
  <c r="AL18" i="3"/>
  <c r="CM18" i="3"/>
  <c r="CB28" i="3"/>
  <c r="BD28" i="3"/>
  <c r="CH39" i="3"/>
  <c r="BV12" i="3"/>
  <c r="AJ40" i="3"/>
  <c r="BI24" i="3"/>
  <c r="AO29" i="3"/>
  <c r="BT9" i="3"/>
  <c r="BA71" i="3"/>
  <c r="BL26" i="3"/>
  <c r="BG27" i="3"/>
  <c r="BK11" i="3"/>
  <c r="AN54" i="3"/>
  <c r="BT59" i="3"/>
  <c r="BM47" i="3"/>
  <c r="CG50" i="3"/>
  <c r="BA73" i="3"/>
  <c r="AX53" i="3"/>
  <c r="AZ82" i="3"/>
  <c r="BZ52" i="3"/>
  <c r="AZ68" i="3"/>
  <c r="BE55" i="3"/>
  <c r="AS61" i="3"/>
  <c r="BU79" i="3"/>
  <c r="CC81" i="3"/>
  <c r="AS65" i="3"/>
  <c r="AJ65" i="3"/>
  <c r="CB15" i="3"/>
  <c r="CL61" i="3"/>
  <c r="AT19" i="3"/>
  <c r="CH19" i="3"/>
  <c r="CI23" i="3"/>
  <c r="BK23" i="3"/>
  <c r="CH29" i="3"/>
  <c r="AJ23" i="3"/>
  <c r="BQ17" i="3"/>
  <c r="AC7" i="3"/>
  <c r="BH22" i="3"/>
  <c r="BA24" i="3"/>
  <c r="AU24" i="3"/>
  <c r="AE7" i="3"/>
  <c r="AD5" i="3"/>
  <c r="BE7" i="3"/>
  <c r="AS23" i="3"/>
  <c r="AZ12" i="3"/>
  <c r="BL12" i="3"/>
  <c r="AD12" i="3"/>
  <c r="AJ24" i="3"/>
  <c r="AC30" i="3"/>
  <c r="BM30" i="3"/>
  <c r="BR30" i="3"/>
  <c r="BR35" i="3"/>
  <c r="BZ35" i="3"/>
  <c r="AW35" i="3"/>
  <c r="BU6" i="3"/>
  <c r="AB11" i="3"/>
  <c r="CE11" i="3"/>
  <c r="AD25" i="3"/>
  <c r="BQ36" i="3"/>
  <c r="CI36" i="3"/>
  <c r="BM36" i="3"/>
  <c r="BF18" i="3"/>
  <c r="AY22" i="3"/>
  <c r="AU22" i="3"/>
  <c r="AM17" i="3"/>
  <c r="BR18" i="3"/>
  <c r="AM39" i="3"/>
  <c r="BS40" i="3"/>
  <c r="AW37" i="3"/>
  <c r="AY9" i="3"/>
  <c r="AP7" i="3"/>
  <c r="BI26" i="3"/>
  <c r="BF27" i="3"/>
  <c r="BT33" i="3"/>
  <c r="BY54" i="3"/>
  <c r="BS59" i="3"/>
  <c r="BH47" i="3"/>
  <c r="AT50" i="3"/>
  <c r="BZ73" i="3"/>
  <c r="CM73" i="3"/>
  <c r="BZ53" i="3"/>
  <c r="AT82" i="3"/>
  <c r="AU52" i="3"/>
  <c r="BW68" i="3"/>
  <c r="BD55" i="3"/>
  <c r="AR61" i="3"/>
  <c r="AP79" i="3"/>
  <c r="BC81" i="3"/>
  <c r="BU65" i="3"/>
  <c r="CA58" i="3"/>
  <c r="CK29" i="3"/>
  <c r="BY39" i="3"/>
  <c r="AD19" i="3"/>
  <c r="CN22" i="3"/>
  <c r="BR23" i="3"/>
  <c r="AT23" i="3"/>
  <c r="CG29" i="3"/>
  <c r="BU29" i="3"/>
  <c r="BA17" i="3"/>
  <c r="AP10" i="3"/>
  <c r="AR23" i="3"/>
  <c r="CI24" i="3"/>
  <c r="AD24" i="3"/>
  <c r="CD7" i="3"/>
  <c r="CK5" i="3"/>
  <c r="BH5" i="3"/>
  <c r="AC24" i="3"/>
  <c r="AV12" i="3"/>
  <c r="BZ12" i="3"/>
  <c r="BF12" i="3"/>
  <c r="AO24" i="3"/>
  <c r="CN30" i="3"/>
  <c r="CG30" i="3"/>
  <c r="AW30" i="3"/>
  <c r="BA35" i="3"/>
  <c r="AT35" i="3"/>
  <c r="CB35" i="3"/>
  <c r="AJ7" i="3"/>
  <c r="CI11" i="3"/>
  <c r="AC11" i="3"/>
  <c r="AZ25" i="3"/>
  <c r="BA36" i="3"/>
  <c r="BR36" i="3"/>
  <c r="AG36" i="3"/>
  <c r="CJ22" i="3"/>
  <c r="AH22" i="3"/>
  <c r="AD22" i="3"/>
  <c r="BL17" i="3"/>
  <c r="BB18" i="3"/>
  <c r="AE18" i="3"/>
  <c r="BH18" i="3"/>
  <c r="BZ22" i="3"/>
  <c r="AP28" i="3"/>
  <c r="AZ29" i="3"/>
  <c r="AR25" i="3"/>
  <c r="CB25" i="3"/>
  <c r="BO6" i="3"/>
  <c r="BP7" i="3"/>
  <c r="BL13" i="3"/>
  <c r="CF10" i="3"/>
  <c r="CF37" i="3"/>
  <c r="AL9" i="3"/>
  <c r="CK7" i="3"/>
  <c r="BB26" i="3"/>
  <c r="AK27" i="3"/>
  <c r="AR33" i="3"/>
  <c r="AP54" i="3"/>
  <c r="CA59" i="3"/>
  <c r="CN59" i="3"/>
  <c r="AX47" i="3"/>
  <c r="CC50" i="3"/>
  <c r="AN30" i="3"/>
  <c r="BY73" i="3"/>
  <c r="AQ73" i="3"/>
  <c r="AP53" i="3"/>
  <c r="BP82" i="3"/>
  <c r="AJ82" i="3"/>
  <c r="AQ85" i="3"/>
  <c r="AT52" i="3"/>
  <c r="AY68" i="3"/>
  <c r="AZ55" i="3"/>
  <c r="BQ61" i="3"/>
  <c r="BY66" i="3"/>
  <c r="AY79" i="3"/>
  <c r="CB81" i="3"/>
  <c r="AP65" i="3"/>
  <c r="BQ58" i="3"/>
  <c r="CG12" i="3"/>
  <c r="CN82" i="3"/>
  <c r="BY19" i="3"/>
  <c r="BX23" i="3"/>
  <c r="CH23" i="3"/>
  <c r="AC23" i="3"/>
  <c r="BG29" i="3"/>
  <c r="AN35" i="3"/>
  <c r="CF17" i="3"/>
  <c r="BS10" i="3"/>
  <c r="CD24" i="3"/>
  <c r="BQ24" i="3"/>
  <c r="AB24" i="3"/>
  <c r="AX7" i="3"/>
  <c r="BU5" i="3"/>
  <c r="AS6" i="3"/>
  <c r="BZ24" i="3"/>
  <c r="CE12" i="3"/>
  <c r="AQ13" i="3"/>
  <c r="CH12" i="3"/>
  <c r="CA24" i="3"/>
  <c r="BX30" i="3"/>
  <c r="BK30" i="3"/>
  <c r="BT30" i="3"/>
  <c r="CH35" i="3"/>
  <c r="BY35" i="3"/>
  <c r="AV35" i="3"/>
  <c r="AI5" i="3"/>
  <c r="BS11" i="3"/>
  <c r="AU11" i="3"/>
  <c r="BQ28" i="3"/>
  <c r="BX36" i="3"/>
  <c r="AZ36" i="3"/>
  <c r="BL36" i="3"/>
  <c r="BT22" i="3"/>
  <c r="CF22" i="3"/>
  <c r="CB22" i="3"/>
  <c r="AC18" i="3"/>
  <c r="CD18" i="3"/>
  <c r="BZ18" i="3"/>
  <c r="CL18" i="3"/>
  <c r="BJ23" i="3"/>
  <c r="CA28" i="3"/>
  <c r="AW36" i="3"/>
  <c r="AB25" i="3"/>
  <c r="BF25" i="3"/>
  <c r="AH6" i="3"/>
  <c r="BD6" i="3"/>
  <c r="AV13" i="3"/>
  <c r="AM21" i="3"/>
  <c r="BO10" i="3"/>
  <c r="BK48" i="3"/>
  <c r="BR60" i="3"/>
  <c r="CA37" i="3"/>
  <c r="BO9" i="3"/>
  <c r="BX7" i="3"/>
  <c r="AP26" i="3"/>
  <c r="CB27" i="3"/>
  <c r="BW33" i="3"/>
  <c r="BJ57" i="3"/>
  <c r="BM59" i="3"/>
  <c r="BG59" i="3"/>
  <c r="BX47" i="3"/>
  <c r="AS50" i="3"/>
  <c r="AM30" i="3"/>
  <c r="AW73" i="3"/>
  <c r="BV53" i="3"/>
  <c r="BY53" i="3"/>
  <c r="AU82" i="3"/>
  <c r="BZ82" i="3"/>
  <c r="CM52" i="3"/>
  <c r="CJ52" i="3"/>
  <c r="CM68" i="3"/>
  <c r="AV55" i="3"/>
  <c r="CH55" i="3"/>
  <c r="AM61" i="3"/>
  <c r="CB61" i="3"/>
  <c r="BW66" i="3"/>
  <c r="AW79" i="3"/>
  <c r="BB81" i="3"/>
  <c r="BT65" i="3"/>
  <c r="BP58" i="3"/>
  <c r="CB33" i="3"/>
  <c r="CJ75" i="3"/>
  <c r="BI19" i="3"/>
  <c r="BT25" i="3"/>
  <c r="BP23" i="3"/>
  <c r="CC29" i="3"/>
  <c r="CF29" i="3"/>
  <c r="AO35" i="3"/>
  <c r="BP17" i="3"/>
  <c r="AL10" i="3"/>
  <c r="BN24" i="3"/>
  <c r="AZ24" i="3"/>
  <c r="BY24" i="3"/>
  <c r="AH7" i="3"/>
  <c r="BE5" i="3"/>
  <c r="AJ10" i="3"/>
  <c r="AX25" i="3"/>
  <c r="BO12" i="3"/>
  <c r="CH17" i="3"/>
  <c r="AY13" i="3"/>
  <c r="AY25" i="3"/>
  <c r="BH30" i="3"/>
  <c r="CF30" i="3"/>
  <c r="CJ35" i="3"/>
  <c r="BQ35" i="3"/>
  <c r="AS35" i="3"/>
  <c r="BT29" i="3"/>
  <c r="BK5" i="3"/>
  <c r="BC11" i="3"/>
  <c r="BV11" i="3"/>
  <c r="AR29" i="3"/>
  <c r="BG36" i="3"/>
  <c r="AI36" i="3"/>
  <c r="AF36" i="3"/>
  <c r="BD22" i="3"/>
  <c r="BO22" i="3"/>
  <c r="BK22" i="3"/>
  <c r="BG18" i="3"/>
  <c r="BN18" i="3"/>
  <c r="BJ18" i="3"/>
  <c r="AX19" i="3"/>
  <c r="AI25" i="3"/>
  <c r="BH28" i="3"/>
  <c r="BZ23" i="3"/>
  <c r="CH25" i="3"/>
  <c r="BZ25" i="3"/>
  <c r="CG6" i="3"/>
  <c r="CA6" i="3"/>
  <c r="AF13" i="3"/>
  <c r="AQ17" i="3"/>
  <c r="CG8" i="3"/>
  <c r="AC8" i="3"/>
  <c r="BQ12" i="3"/>
  <c r="CJ15" i="3"/>
  <c r="AB16" i="3"/>
  <c r="AZ16" i="3"/>
  <c r="BP29" i="3"/>
  <c r="BS31" i="3"/>
  <c r="BL31" i="3"/>
  <c r="BR34" i="3"/>
  <c r="AG34" i="3"/>
  <c r="BJ27" i="3"/>
  <c r="CM21" i="3"/>
  <c r="AN36" i="3"/>
  <c r="BL48" i="3"/>
  <c r="BJ20" i="3"/>
  <c r="BU34" i="3"/>
  <c r="CK10" i="3"/>
  <c r="AT27" i="3"/>
  <c r="AM37" i="3"/>
  <c r="BG38" i="3"/>
  <c r="AL42" i="3"/>
  <c r="AV43" i="3"/>
  <c r="BF43" i="3"/>
  <c r="AT14" i="3"/>
  <c r="BD33" i="3"/>
  <c r="BS27" i="3"/>
  <c r="BE32" i="3"/>
  <c r="BA32" i="3"/>
  <c r="BP33" i="3"/>
  <c r="AP38" i="3"/>
  <c r="BY48" i="3"/>
  <c r="BB41" i="3"/>
  <c r="BC41" i="3"/>
  <c r="AE41" i="3"/>
  <c r="BN45" i="3"/>
  <c r="BA45" i="3"/>
  <c r="AE27" i="3"/>
  <c r="BR38" i="3"/>
  <c r="BO49" i="3"/>
  <c r="AH49" i="3"/>
  <c r="BN49" i="3"/>
  <c r="AL41" i="3"/>
  <c r="BN9" i="3"/>
  <c r="BP15" i="3"/>
  <c r="CD21" i="3"/>
  <c r="AY60" i="3"/>
  <c r="BI37" i="3"/>
  <c r="BP9" i="3"/>
  <c r="AT7" i="3"/>
  <c r="CD26" i="3"/>
  <c r="BK34" i="3"/>
  <c r="BV33" i="3"/>
  <c r="BC57" i="3"/>
  <c r="AO59" i="3"/>
  <c r="BF59" i="3"/>
  <c r="AN47" i="3"/>
  <c r="CA50" i="3"/>
  <c r="AJ30" i="3"/>
  <c r="AO73" i="3"/>
  <c r="AZ53" i="3"/>
  <c r="AO53" i="3"/>
  <c r="AS82" i="3"/>
  <c r="CA82" i="3"/>
  <c r="CG52" i="3"/>
  <c r="AX52" i="3"/>
  <c r="BJ68" i="3"/>
  <c r="BU55" i="3"/>
  <c r="CD55" i="3"/>
  <c r="BM61" i="3"/>
  <c r="BN78" i="3"/>
  <c r="AQ66" i="3"/>
  <c r="CE79" i="3"/>
  <c r="AP81" i="3"/>
  <c r="AO65" i="3"/>
  <c r="BN58" i="3"/>
  <c r="CN37" i="3"/>
  <c r="CE55" i="3"/>
  <c r="AS19" i="3"/>
  <c r="BR29" i="3"/>
  <c r="AY23" i="3"/>
  <c r="BM29" i="3"/>
  <c r="BF29" i="3"/>
  <c r="AP35" i="3"/>
  <c r="AZ17" i="3"/>
  <c r="AO10" i="3"/>
  <c r="AH24" i="3"/>
  <c r="AI24" i="3"/>
  <c r="AW25" i="3"/>
  <c r="CC7" i="3"/>
  <c r="CJ5" i="3"/>
  <c r="CM10" i="3"/>
  <c r="BC28" i="3"/>
  <c r="AY12" i="3"/>
  <c r="BX18" i="3"/>
  <c r="BX13" i="3"/>
  <c r="BN28" i="3"/>
  <c r="AR30" i="3"/>
  <c r="BF30" i="3"/>
  <c r="BT35" i="3"/>
  <c r="AZ35" i="3"/>
  <c r="BX35" i="3"/>
  <c r="AC35" i="3"/>
  <c r="CL5" i="3"/>
  <c r="AI11" i="3"/>
  <c r="AE12" i="3"/>
  <c r="AE30" i="3"/>
  <c r="CM36" i="3"/>
  <c r="CH36" i="3"/>
  <c r="BK36" i="3"/>
  <c r="CK22" i="3"/>
  <c r="AX22" i="3"/>
  <c r="AT22" i="3"/>
  <c r="AW19" i="3"/>
  <c r="AX18" i="3"/>
  <c r="AT18" i="3"/>
  <c r="CB19" i="3"/>
  <c r="AL28" i="3"/>
  <c r="AO28" i="3"/>
  <c r="BB17" i="3"/>
  <c r="BO25" i="3"/>
  <c r="BE25" i="3"/>
  <c r="BQ6" i="3"/>
  <c r="BQ7" i="3"/>
  <c r="CA13" i="3"/>
  <c r="BS17" i="3"/>
  <c r="BQ8" i="3"/>
  <c r="BY8" i="3"/>
  <c r="AH13" i="3"/>
  <c r="BT15" i="3"/>
  <c r="BH16" i="3"/>
  <c r="AE16" i="3"/>
  <c r="CN31" i="3"/>
  <c r="AW31" i="3"/>
  <c r="AK31" i="3"/>
  <c r="BA34" i="3"/>
  <c r="CD34" i="3"/>
  <c r="CC27" i="3"/>
  <c r="BW21" i="3"/>
  <c r="AM36" i="3"/>
  <c r="CD49" i="3"/>
  <c r="AT20" i="3"/>
  <c r="BI41" i="3"/>
  <c r="AC14" i="3"/>
  <c r="BM27" i="3"/>
  <c r="AL37" i="3"/>
  <c r="CN38" i="3"/>
  <c r="CC43" i="3"/>
  <c r="CI43" i="3"/>
  <c r="BY43" i="3"/>
  <c r="BJ14" i="3"/>
  <c r="AR34" i="3"/>
  <c r="BC27" i="3"/>
  <c r="AO32" i="3"/>
  <c r="AK32" i="3"/>
  <c r="AZ33" i="3"/>
  <c r="AO38" i="3"/>
  <c r="CM48" i="3"/>
  <c r="CB41" i="3"/>
  <c r="CL41" i="3"/>
  <c r="BN41" i="3"/>
  <c r="CE45" i="3"/>
  <c r="AG45" i="3"/>
  <c r="AX27" i="3"/>
  <c r="AB41" i="3"/>
  <c r="AY49" i="3"/>
  <c r="BY49" i="3"/>
  <c r="BM49" i="3"/>
  <c r="AN44" i="3"/>
  <c r="CL60" i="3"/>
  <c r="BG37" i="3"/>
  <c r="AR7" i="3"/>
  <c r="AM26" i="3"/>
  <c r="BI34" i="3"/>
  <c r="CB57" i="3"/>
  <c r="BX59" i="3"/>
  <c r="AU47" i="3"/>
  <c r="AR50" i="3"/>
  <c r="CL30" i="3"/>
  <c r="BO73" i="3"/>
  <c r="CL53" i="3"/>
  <c r="BH53" i="3"/>
  <c r="CH82" i="3"/>
  <c r="CD36" i="3"/>
  <c r="BK52" i="3"/>
  <c r="CN52" i="3"/>
  <c r="AK68" i="3"/>
  <c r="AU55" i="3"/>
  <c r="AK55" i="3"/>
  <c r="AL61" i="3"/>
  <c r="AT78" i="3"/>
  <c r="AP66" i="3"/>
  <c r="CC79" i="3"/>
  <c r="AW81" i="3"/>
  <c r="BS65" i="3"/>
  <c r="BM58" i="3"/>
  <c r="CA10" i="3"/>
  <c r="BH13" i="3"/>
  <c r="AB19" i="3"/>
  <c r="AO23" i="3"/>
  <c r="AH23" i="3"/>
  <c r="AW29" i="3"/>
  <c r="CD29" i="3"/>
  <c r="AM35" i="3"/>
  <c r="AJ17" i="3"/>
  <c r="AN10" i="3"/>
  <c r="CB24" i="3"/>
  <c r="CH24" i="3"/>
  <c r="BA28" i="3"/>
  <c r="BM7" i="3"/>
  <c r="BT5" i="3"/>
  <c r="AO12" i="3"/>
  <c r="CN29" i="3"/>
  <c r="AI12" i="3"/>
  <c r="AF5" i="3"/>
  <c r="BI17" i="3"/>
  <c r="CB30" i="3"/>
  <c r="AB30" i="3"/>
  <c r="CE30" i="3"/>
  <c r="BD35" i="3"/>
  <c r="AI35" i="3"/>
  <c r="AR35" i="3"/>
  <c r="AG5" i="3"/>
  <c r="AU6" i="3"/>
  <c r="CH11" i="3"/>
  <c r="BG12" i="3"/>
  <c r="BU30" i="3"/>
  <c r="BV36" i="3"/>
  <c r="BP36" i="3"/>
  <c r="AE36" i="3"/>
  <c r="BS22" i="3"/>
  <c r="AG22" i="3"/>
  <c r="AC22" i="3"/>
  <c r="BV19" i="3"/>
  <c r="AH18" i="3"/>
  <c r="AD18" i="3"/>
  <c r="BY22" i="3"/>
  <c r="AJ28" i="3"/>
  <c r="BZ28" i="3"/>
  <c r="BK17" i="3"/>
  <c r="AV25" i="3"/>
  <c r="BW25" i="3"/>
  <c r="BA6" i="3"/>
  <c r="CN7" i="3"/>
  <c r="BK13" i="3"/>
  <c r="AJ18" i="3"/>
  <c r="BA8" i="3"/>
  <c r="AS8" i="3"/>
  <c r="BG13" i="3"/>
  <c r="BD15" i="3"/>
  <c r="CJ16" i="3"/>
  <c r="BG16" i="3"/>
  <c r="BX31" i="3"/>
  <c r="BR31" i="3"/>
  <c r="CG31" i="3"/>
  <c r="CH34" i="3"/>
  <c r="BM34" i="3"/>
  <c r="AY32" i="3"/>
  <c r="BG21" i="3"/>
  <c r="AL36" i="3"/>
  <c r="BV9" i="3"/>
  <c r="AD20" i="3"/>
  <c r="AK42" i="3"/>
  <c r="AS14" i="3"/>
  <c r="CF27" i="3"/>
  <c r="AK37" i="3"/>
  <c r="BW38" i="3"/>
  <c r="BM43" i="3"/>
  <c r="BO43" i="3"/>
  <c r="BE43" i="3"/>
  <c r="BZ14" i="3"/>
  <c r="BX34" i="3"/>
  <c r="CH27" i="3"/>
  <c r="CJ32" i="3"/>
  <c r="AR69" i="3"/>
  <c r="AV44" i="3"/>
  <c r="AR5" i="3"/>
  <c r="CK60" i="3"/>
  <c r="AU45" i="3"/>
  <c r="AV57" i="3"/>
  <c r="BD59" i="3"/>
  <c r="BN67" i="3"/>
  <c r="AQ47" i="3"/>
  <c r="BZ50" i="3"/>
  <c r="BV30" i="3"/>
  <c r="AK73" i="3"/>
  <c r="CJ53" i="3"/>
  <c r="BG53" i="3"/>
  <c r="BM82" i="3"/>
  <c r="AQ36" i="3"/>
  <c r="AJ52" i="3"/>
  <c r="BA52" i="3"/>
  <c r="AO68" i="3"/>
  <c r="BO55" i="3"/>
  <c r="CA55" i="3"/>
  <c r="CJ61" i="3"/>
  <c r="BB78" i="3"/>
  <c r="BV66" i="3"/>
  <c r="AS79" i="3"/>
  <c r="CM81" i="3"/>
  <c r="CC65" i="3"/>
  <c r="CK58" i="3"/>
  <c r="CD9" i="3"/>
  <c r="CL13" i="3"/>
  <c r="CM19" i="3"/>
  <c r="BT13" i="3"/>
  <c r="CF23" i="3"/>
  <c r="CB29" i="3"/>
  <c r="BE29" i="3"/>
  <c r="BB12" i="3"/>
  <c r="CE17" i="3"/>
  <c r="BB10" i="3"/>
  <c r="CN24" i="3"/>
  <c r="BP24" i="3"/>
  <c r="BQ30" i="3"/>
  <c r="AW7" i="3"/>
  <c r="BA5" i="3"/>
  <c r="AJ12" i="3"/>
  <c r="CD35" i="3"/>
  <c r="BN12" i="3"/>
  <c r="AR6" i="3"/>
  <c r="CM17" i="3"/>
  <c r="BL30" i="3"/>
  <c r="CM30" i="3"/>
  <c r="BE30" i="3"/>
  <c r="CN35" i="3"/>
  <c r="CG35" i="3"/>
  <c r="BV35" i="3"/>
  <c r="CE5" i="3"/>
  <c r="BV6" i="3"/>
  <c r="BR11" i="3"/>
  <c r="CI12" i="3"/>
  <c r="AM34" i="3"/>
  <c r="BE36" i="3"/>
  <c r="AY36" i="3"/>
  <c r="BJ36" i="3"/>
  <c r="BB22" i="3"/>
  <c r="CE22" i="3"/>
  <c r="CA22" i="3"/>
  <c r="BX22" i="3"/>
  <c r="CC18" i="3"/>
  <c r="CJ18" i="3"/>
  <c r="BI23" i="3"/>
  <c r="CI28" i="3"/>
  <c r="BG28" i="3"/>
  <c r="CA25" i="3"/>
  <c r="CG25" i="3"/>
  <c r="BD25" i="3"/>
  <c r="AX6" i="3"/>
  <c r="CH13" i="3"/>
  <c r="AE13" i="3"/>
  <c r="BI18" i="3"/>
  <c r="CB8" i="3"/>
  <c r="CN8" i="3"/>
  <c r="CK13" i="3"/>
  <c r="AN15" i="3"/>
  <c r="BT16" i="3"/>
  <c r="CK16" i="3"/>
  <c r="BH31" i="3"/>
  <c r="AV31" i="3"/>
  <c r="BK31" i="3"/>
  <c r="BQ34" i="3"/>
  <c r="AV34" i="3"/>
  <c r="CC32" i="3"/>
  <c r="AR21" i="3"/>
  <c r="AJ36" i="3"/>
  <c r="BW14" i="3"/>
  <c r="BH20" i="3"/>
  <c r="CM42" i="3"/>
  <c r="BI14" i="3"/>
  <c r="AJ29" i="3"/>
  <c r="AJ37" i="3"/>
  <c r="BF38" i="3"/>
  <c r="AW43" i="3"/>
  <c r="AS43" i="3"/>
  <c r="AC43" i="3"/>
  <c r="AB20" i="3"/>
  <c r="BK37" i="3"/>
  <c r="BR27" i="3"/>
  <c r="BT32" i="3"/>
  <c r="CK33" i="3"/>
  <c r="BO33" i="3"/>
  <c r="AM38" i="3"/>
  <c r="AW27" i="3"/>
  <c r="AV41" i="3"/>
  <c r="BA41" i="3"/>
  <c r="CM45" i="3"/>
  <c r="AO69" i="3"/>
  <c r="BW5" i="3"/>
  <c r="BK60" i="3"/>
  <c r="AN6" i="3"/>
  <c r="AP45" i="3"/>
  <c r="AU41" i="3"/>
  <c r="AJ57" i="3"/>
  <c r="BV59" i="3"/>
  <c r="CH67" i="3"/>
  <c r="AL47" i="3"/>
  <c r="BJ50" i="3"/>
  <c r="AU30" i="3"/>
  <c r="BM73" i="3"/>
  <c r="BM53" i="3"/>
  <c r="BU53" i="3"/>
  <c r="AN82" i="3"/>
  <c r="AO36" i="3"/>
  <c r="CE52" i="3"/>
  <c r="AY52" i="3"/>
  <c r="AN68" i="3"/>
  <c r="AP55" i="3"/>
  <c r="CC55" i="3"/>
  <c r="BJ61" i="3"/>
  <c r="AZ78" i="3"/>
  <c r="BU66" i="3"/>
  <c r="CH79" i="3"/>
  <c r="CF81" i="3"/>
  <c r="AU65" i="3"/>
  <c r="AO58" i="3"/>
  <c r="BR45" i="3"/>
  <c r="AS17" i="3"/>
  <c r="BC19" i="3"/>
  <c r="CL19" i="3"/>
  <c r="BO23" i="3"/>
  <c r="BL29" i="3"/>
  <c r="BY29" i="3"/>
  <c r="BG22" i="3"/>
  <c r="BO17" i="3"/>
  <c r="BR10" i="3"/>
  <c r="BV24" i="3"/>
  <c r="AY24" i="3"/>
  <c r="BI35" i="3"/>
  <c r="AU7" i="3"/>
  <c r="CI5" i="3"/>
  <c r="AC12" i="3"/>
  <c r="BY23" i="3"/>
  <c r="AH12" i="3"/>
  <c r="AD7" i="3"/>
  <c r="BD18" i="3"/>
  <c r="AV30" i="3"/>
  <c r="BW30" i="3"/>
  <c r="CD30" i="3"/>
  <c r="BW35" i="3"/>
  <c r="BP35" i="3"/>
  <c r="BN35" i="3"/>
  <c r="BT6" i="3"/>
  <c r="AK7" i="3"/>
  <c r="BB11" i="3"/>
  <c r="AZ13" i="3"/>
  <c r="AK34" i="3"/>
  <c r="CL36" i="3"/>
  <c r="AH36" i="3"/>
  <c r="AD36" i="3"/>
  <c r="CI22" i="3"/>
  <c r="BN22" i="3"/>
  <c r="BJ22" i="3"/>
  <c r="BH23" i="3"/>
  <c r="BM18" i="3"/>
  <c r="BZ6" i="3"/>
  <c r="AH25" i="3"/>
  <c r="BL28" i="3"/>
  <c r="AN28" i="3"/>
  <c r="BK25" i="3"/>
  <c r="BN25" i="3"/>
  <c r="BV25" i="3"/>
  <c r="CF6" i="3"/>
  <c r="BR13" i="3"/>
  <c r="AU13" i="3"/>
  <c r="BA19" i="3"/>
  <c r="BL8" i="3"/>
  <c r="BX8" i="3"/>
  <c r="BK15" i="3"/>
  <c r="CI15" i="3"/>
  <c r="BD16" i="3"/>
  <c r="AR17" i="3"/>
  <c r="AQ31" i="3"/>
  <c r="BQ31" i="3"/>
  <c r="AJ31" i="3"/>
  <c r="AZ34" i="3"/>
  <c r="AF34" i="3"/>
  <c r="AT33" i="3"/>
  <c r="BI21" i="3"/>
  <c r="BL38" i="3"/>
  <c r="BG9" i="3"/>
  <c r="BY20" i="3"/>
  <c r="BM45" i="3"/>
  <c r="BY14" i="3"/>
  <c r="CL32" i="3"/>
  <c r="BJ37" i="3"/>
  <c r="CM38" i="3"/>
  <c r="AG43" i="3"/>
  <c r="CH43" i="3"/>
  <c r="BV43" i="3"/>
  <c r="AS20" i="3"/>
  <c r="AI38" i="3"/>
  <c r="BB27" i="3"/>
  <c r="BD32" i="3"/>
  <c r="AO64" i="3"/>
  <c r="AK70" i="3"/>
  <c r="AP20" i="3"/>
  <c r="BF6" i="3"/>
  <c r="AW32" i="3"/>
  <c r="CC49" i="3"/>
  <c r="CA57" i="3"/>
  <c r="BB59" i="3"/>
  <c r="BT67" i="3"/>
  <c r="AO47" i="3"/>
  <c r="CN50" i="3"/>
  <c r="BA30" i="3"/>
  <c r="CC73" i="3"/>
  <c r="BK53" i="3"/>
  <c r="AJ53" i="3"/>
  <c r="CG82" i="3"/>
  <c r="CF36" i="3"/>
  <c r="BD52" i="3"/>
  <c r="AW52" i="3"/>
  <c r="CC68" i="3"/>
  <c r="BN55" i="3"/>
  <c r="CB55" i="3"/>
  <c r="CI61" i="3"/>
  <c r="CN78" i="3"/>
  <c r="AN79" i="3"/>
  <c r="CI81" i="3"/>
  <c r="BW81" i="3"/>
  <c r="BW65" i="3"/>
  <c r="BS58" i="3"/>
  <c r="BY71" i="3"/>
  <c r="BW17" i="3"/>
  <c r="CG19" i="3"/>
  <c r="BF22" i="3"/>
  <c r="AX23" i="3"/>
  <c r="AV29" i="3"/>
  <c r="BD29" i="3"/>
  <c r="AQ23" i="3"/>
  <c r="AY17" i="3"/>
  <c r="CG10" i="3"/>
  <c r="BE24" i="3"/>
  <c r="CG24" i="3"/>
  <c r="AB29" i="3"/>
  <c r="CB7" i="3"/>
  <c r="BS5" i="3"/>
  <c r="BD12" i="3"/>
  <c r="CA23" i="3"/>
  <c r="AF12" i="3"/>
  <c r="BF7" i="3"/>
  <c r="CF18" i="3"/>
  <c r="AF30" i="3"/>
  <c r="BG30" i="3"/>
  <c r="BD30" i="3"/>
  <c r="BF35" i="3"/>
  <c r="AY35" i="3"/>
  <c r="BM35" i="3"/>
  <c r="AO5" i="3"/>
  <c r="BH7" i="3"/>
  <c r="CG11" i="3"/>
  <c r="BJ17" i="3"/>
  <c r="AJ34" i="3"/>
  <c r="BU36" i="3"/>
  <c r="BZ36" i="3"/>
  <c r="CN36" i="3"/>
  <c r="BA22" i="3"/>
  <c r="AW22" i="3"/>
  <c r="AS22" i="3"/>
  <c r="AG25" i="3"/>
  <c r="AW18" i="3"/>
  <c r="BJ12" i="3"/>
  <c r="BO46" i="3"/>
  <c r="BL82" i="3"/>
  <c r="BG55" i="3"/>
  <c r="BR81" i="3"/>
  <c r="CA19" i="3"/>
  <c r="AU29" i="3"/>
  <c r="AR13" i="3"/>
  <c r="CA7" i="3"/>
  <c r="AW12" i="3"/>
  <c r="BO30" i="3"/>
  <c r="AE35" i="3"/>
  <c r="BT19" i="3"/>
  <c r="AV36" i="3"/>
  <c r="CI18" i="3"/>
  <c r="CM7" i="3"/>
  <c r="AE25" i="3"/>
  <c r="BG6" i="3"/>
  <c r="AG13" i="3"/>
  <c r="BE6" i="3"/>
  <c r="AW10" i="3"/>
  <c r="BC15" i="3"/>
  <c r="BP16" i="3"/>
  <c r="AN31" i="3"/>
  <c r="BG34" i="3"/>
  <c r="BF34" i="3"/>
  <c r="BZ21" i="3"/>
  <c r="BS43" i="3"/>
  <c r="BG32" i="3"/>
  <c r="BI20" i="3"/>
  <c r="BK38" i="3"/>
  <c r="BJ41" i="3"/>
  <c r="CD43" i="3"/>
  <c r="AB27" i="3"/>
  <c r="CN32" i="3"/>
  <c r="BK32" i="3"/>
  <c r="AB33" i="3"/>
  <c r="BX43" i="3"/>
  <c r="BW41" i="3"/>
  <c r="BP41" i="3"/>
  <c r="CC45" i="3"/>
  <c r="AB45" i="3"/>
  <c r="AR38" i="3"/>
  <c r="BD49" i="3"/>
  <c r="BR49" i="3"/>
  <c r="CB34" i="3"/>
  <c r="BK10" i="3"/>
  <c r="AG27" i="3"/>
  <c r="CJ28" i="3"/>
  <c r="BZ44" i="3"/>
  <c r="BM44" i="3"/>
  <c r="BB44" i="3"/>
  <c r="CA40" i="3"/>
  <c r="BE39" i="3"/>
  <c r="BW46" i="3"/>
  <c r="BU26" i="3"/>
  <c r="AI40" i="3"/>
  <c r="BF26" i="3"/>
  <c r="BC46" i="3"/>
  <c r="BD50" i="3"/>
  <c r="CF50" i="3"/>
  <c r="BG46" i="3"/>
  <c r="AS31" i="3"/>
  <c r="CC46" i="3"/>
  <c r="AC56" i="3"/>
  <c r="BO42" i="3"/>
  <c r="BC56" i="3"/>
  <c r="AH56" i="3"/>
  <c r="AD39" i="3"/>
  <c r="CL47" i="3"/>
  <c r="AD42" i="3"/>
  <c r="AI48" i="3"/>
  <c r="BI51" i="3"/>
  <c r="AN56" i="3"/>
  <c r="BZ63" i="3"/>
  <c r="BS63" i="3"/>
  <c r="CH47" i="3"/>
  <c r="BY57" i="3"/>
  <c r="CE57" i="3"/>
  <c r="AZ51" i="3"/>
  <c r="BK54" i="3"/>
  <c r="BB54" i="3"/>
  <c r="AO63" i="3"/>
  <c r="AG63" i="3"/>
  <c r="BF58" i="3"/>
  <c r="BL46" i="3"/>
  <c r="BS57" i="3"/>
  <c r="AR66" i="3"/>
  <c r="BO60" i="3"/>
  <c r="AO61" i="3"/>
  <c r="CJ67" i="3"/>
  <c r="BY61" i="3"/>
  <c r="AV64" i="3"/>
  <c r="AU66" i="3"/>
  <c r="BR55" i="3"/>
  <c r="AM53" i="3"/>
  <c r="BC66" i="3"/>
  <c r="CK66" i="3"/>
  <c r="BK66" i="3"/>
  <c r="CC67" i="3"/>
  <c r="AB62" i="3"/>
  <c r="BO65" i="3"/>
  <c r="CH69" i="3"/>
  <c r="AV76" i="3"/>
  <c r="CI76" i="3"/>
  <c r="AB76" i="3"/>
  <c r="BE65" i="3"/>
  <c r="BF67" i="3"/>
  <c r="BD62" i="3"/>
  <c r="AX69" i="3"/>
  <c r="BB69" i="3"/>
  <c r="BI77" i="3"/>
  <c r="BE77" i="3"/>
  <c r="AF70" i="3"/>
  <c r="BD70" i="3"/>
  <c r="BZ80" i="3"/>
  <c r="BW74" i="3"/>
  <c r="AY74" i="3"/>
  <c r="AU68" i="3"/>
  <c r="AL74" i="3"/>
  <c r="CH75" i="3"/>
  <c r="BL78" i="3"/>
  <c r="AH80" i="3"/>
  <c r="AB80" i="3"/>
  <c r="AP72" i="3"/>
  <c r="BH75" i="3"/>
  <c r="AM80" i="3"/>
  <c r="BX78" i="3"/>
  <c r="AX82" i="3"/>
  <c r="AQ84" i="3"/>
  <c r="AL65" i="3"/>
  <c r="BK19" i="3"/>
  <c r="AE29" i="3"/>
  <c r="BV13" i="3"/>
  <c r="BU13" i="3"/>
  <c r="CB12" i="3"/>
  <c r="CI30" i="3"/>
  <c r="BJ35" i="3"/>
  <c r="BF23" i="3"/>
  <c r="CA36" i="3"/>
  <c r="BS18" i="3"/>
  <c r="BK12" i="3"/>
  <c r="AS25" i="3"/>
  <c r="CH6" i="3"/>
  <c r="CB13" i="3"/>
  <c r="CB6" i="3"/>
  <c r="BX10" i="3"/>
  <c r="BY16" i="3"/>
  <c r="BT17" i="3"/>
  <c r="BZ31" i="3"/>
  <c r="CK34" i="3"/>
  <c r="CL34" i="3"/>
  <c r="AR27" i="3"/>
  <c r="BL45" i="3"/>
  <c r="CE32" i="3"/>
  <c r="CA20" i="3"/>
  <c r="CB38" i="3"/>
  <c r="CA43" i="3"/>
  <c r="BG43" i="3"/>
  <c r="AU27" i="3"/>
  <c r="BX32" i="3"/>
  <c r="BU33" i="3"/>
  <c r="BF33" i="3"/>
  <c r="AD27" i="3"/>
  <c r="BE41" i="3"/>
  <c r="AX41" i="3"/>
  <c r="BH45" i="3"/>
  <c r="CH45" i="3"/>
  <c r="BO41" i="3"/>
  <c r="CK49" i="3"/>
  <c r="AS49" i="3"/>
  <c r="AP41" i="3"/>
  <c r="AI14" i="3"/>
  <c r="AZ27" i="3"/>
  <c r="AQ32" i="3"/>
  <c r="BJ44" i="3"/>
  <c r="CF44" i="3"/>
  <c r="AI44" i="3"/>
  <c r="BG42" i="3"/>
  <c r="BV39" i="3"/>
  <c r="BE46" i="3"/>
  <c r="CK26" i="3"/>
  <c r="AS40" i="3"/>
  <c r="BV26" i="3"/>
  <c r="CA46" i="3"/>
  <c r="CK50" i="3"/>
  <c r="AY54" i="3"/>
  <c r="CB46" i="3"/>
  <c r="BI31" i="3"/>
  <c r="AJ47" i="3"/>
  <c r="CF42" i="3"/>
  <c r="CJ42" i="3"/>
  <c r="CG56" i="3"/>
  <c r="BI56" i="3"/>
  <c r="AU39" i="3"/>
  <c r="AW48" i="3"/>
  <c r="AW42" i="3"/>
  <c r="CG48" i="3"/>
  <c r="AS51" i="3"/>
  <c r="AM56" i="3"/>
  <c r="BG63" i="3"/>
  <c r="AS63" i="3"/>
  <c r="BQ47" i="3"/>
  <c r="BH57" i="3"/>
  <c r="BK57" i="3"/>
  <c r="BT51" i="3"/>
  <c r="AU54" i="3"/>
  <c r="AG54" i="3"/>
  <c r="AD63" i="3"/>
  <c r="AW63" i="3"/>
  <c r="AL58" i="3"/>
  <c r="CD46" i="3"/>
  <c r="BD58" i="3"/>
  <c r="BZ66" i="3"/>
  <c r="AW60" i="3"/>
  <c r="BW61" i="3"/>
  <c r="CI53" i="3"/>
  <c r="CK64" i="3"/>
  <c r="AF64" i="3"/>
  <c r="CC66" i="3"/>
  <c r="BA55" i="3"/>
  <c r="AL53" i="3"/>
  <c r="CF66" i="3"/>
  <c r="BS66" i="3"/>
  <c r="CM66" i="3"/>
  <c r="AY67" i="3"/>
  <c r="AR62" i="3"/>
  <c r="AX65" i="3"/>
  <c r="AX70" i="3"/>
  <c r="AF76" i="3"/>
  <c r="BS76" i="3"/>
  <c r="BF52" i="3"/>
  <c r="CA65" i="3"/>
  <c r="BW67" i="3"/>
  <c r="CI62" i="3"/>
  <c r="CB69" i="3"/>
  <c r="BU69" i="3"/>
  <c r="AS77" i="3"/>
  <c r="CN77" i="3"/>
  <c r="CA70" i="3"/>
  <c r="AI70" i="3"/>
  <c r="AR78" i="3"/>
  <c r="BG74" i="3"/>
  <c r="AI74" i="3"/>
  <c r="BM68" i="3"/>
  <c r="AJ74" i="3"/>
  <c r="BR75" i="3"/>
  <c r="CK80" i="3"/>
  <c r="CC80" i="3"/>
  <c r="BL80" i="3"/>
  <c r="AZ30" i="3"/>
  <c r="CE36" i="3"/>
  <c r="BV65" i="3"/>
  <c r="BZ19" i="3"/>
  <c r="CI29" i="3"/>
  <c r="BG17" i="3"/>
  <c r="BZ5" i="3"/>
  <c r="BM12" i="3"/>
  <c r="BN30" i="3"/>
  <c r="AD35" i="3"/>
  <c r="AP24" i="3"/>
  <c r="AU36" i="3"/>
  <c r="BC18" i="3"/>
  <c r="AK11" i="3"/>
  <c r="AJ56" i="3"/>
  <c r="CA68" i="3"/>
  <c r="BI65" i="3"/>
  <c r="CM22" i="3"/>
  <c r="BB29" i="3"/>
  <c r="BU24" i="3"/>
  <c r="BC5" i="3"/>
  <c r="CG7" i="3"/>
  <c r="AI30" i="3"/>
  <c r="AN5" i="3"/>
  <c r="AQ34" i="3"/>
  <c r="BR22" i="3"/>
  <c r="AG18" i="3"/>
  <c r="AM71" i="3"/>
  <c r="CC11" i="3"/>
  <c r="BC68" i="3"/>
  <c r="BH65" i="3"/>
  <c r="BQ29" i="3"/>
  <c r="AC29" i="3"/>
  <c r="CK24" i="3"/>
  <c r="BR5" i="3"/>
  <c r="CH7" i="3"/>
  <c r="AH30" i="3"/>
  <c r="AK5" i="3"/>
  <c r="AN34" i="3"/>
  <c r="AZ22" i="3"/>
  <c r="AV18" i="3"/>
  <c r="AY73" i="3"/>
  <c r="CB68" i="3"/>
  <c r="CN65" i="3"/>
  <c r="AR12" i="3"/>
  <c r="AK23" i="3"/>
  <c r="BS24" i="3"/>
  <c r="CG5" i="3"/>
  <c r="AK10" i="3"/>
  <c r="CA30" i="3"/>
  <c r="BI5" i="3"/>
  <c r="CM35" i="3"/>
  <c r="AI22" i="3"/>
  <c r="AF18" i="3"/>
  <c r="CC28" i="3"/>
  <c r="BH25" i="3"/>
  <c r="AZ6" i="3"/>
  <c r="BI13" i="3"/>
  <c r="AF8" i="3"/>
  <c r="AP12" i="3"/>
  <c r="CN16" i="3"/>
  <c r="CL22" i="3"/>
  <c r="AR31" i="3"/>
  <c r="CG34" i="3"/>
  <c r="AJ16" i="3"/>
  <c r="BY33" i="3"/>
  <c r="AB14" i="3"/>
  <c r="CG49" i="3"/>
  <c r="CB21" i="3"/>
  <c r="BY38" i="3"/>
  <c r="CL43" i="3"/>
  <c r="AS9" i="3"/>
  <c r="BO38" i="3"/>
  <c r="CK32" i="3"/>
  <c r="BR33" i="3"/>
  <c r="AQ38" i="3"/>
  <c r="CJ33" i="3"/>
  <c r="CM41" i="3"/>
  <c r="CK45" i="3"/>
  <c r="BZ45" i="3"/>
  <c r="BQ27" i="3"/>
  <c r="AK48" i="3"/>
  <c r="CF49" i="3"/>
  <c r="CN49" i="3"/>
  <c r="AJ41" i="3"/>
  <c r="BF17" i="3"/>
  <c r="BB28" i="3"/>
  <c r="CN33" i="3"/>
  <c r="BX44" i="3"/>
  <c r="CD44" i="3"/>
  <c r="AY44" i="3"/>
  <c r="CE47" i="3"/>
  <c r="CB40" i="3"/>
  <c r="BC47" i="3"/>
  <c r="BC37" i="3"/>
  <c r="CC42" i="3"/>
  <c r="CM31" i="3"/>
  <c r="BU48" i="3"/>
  <c r="BI50" i="3"/>
  <c r="BX39" i="3"/>
  <c r="BV48" i="3"/>
  <c r="BW37" i="3"/>
  <c r="BW48" i="3"/>
  <c r="BN42" i="3"/>
  <c r="CK56" i="3"/>
  <c r="BL56" i="3"/>
  <c r="AF56" i="3"/>
  <c r="BQ40" i="3"/>
  <c r="CA56" i="3"/>
  <c r="BR48" i="3"/>
  <c r="BH48" i="3"/>
  <c r="BO59" i="3"/>
  <c r="CG73" i="3"/>
  <c r="AR68" i="3"/>
  <c r="AL79" i="3"/>
  <c r="BR58" i="3"/>
  <c r="BX17" i="3"/>
  <c r="AM23" i="3"/>
  <c r="BB24" i="3"/>
  <c r="CD5" i="3"/>
  <c r="BM10" i="3"/>
  <c r="BB30" i="3"/>
  <c r="CF5" i="3"/>
  <c r="AS29" i="3"/>
  <c r="CG22" i="3"/>
  <c r="CA18" i="3"/>
  <c r="BJ28" i="3"/>
  <c r="AT25" i="3"/>
  <c r="CJ59" i="3"/>
  <c r="AQ53" i="3"/>
  <c r="BU68" i="3"/>
  <c r="CK79" i="3"/>
  <c r="AT58" i="3"/>
  <c r="CG23" i="3"/>
  <c r="CN23" i="3"/>
  <c r="AW24" i="3"/>
  <c r="AX13" i="3"/>
  <c r="BS19" i="3"/>
  <c r="CL35" i="3"/>
  <c r="CI7" i="3"/>
  <c r="BD36" i="3"/>
  <c r="AF22" i="3"/>
  <c r="AU18" i="3"/>
  <c r="AQ28" i="3"/>
  <c r="CF25" i="3"/>
  <c r="AY6" i="3"/>
  <c r="AC13" i="3"/>
  <c r="AE8" i="3"/>
  <c r="AU15" i="3"/>
  <c r="AR16" i="3"/>
  <c r="BF24" i="3"/>
  <c r="AM31" i="3"/>
  <c r="CF34" i="3"/>
  <c r="BX33" i="3"/>
  <c r="AK36" i="3"/>
  <c r="BX14" i="3"/>
  <c r="AR9" i="3"/>
  <c r="CF32" i="3"/>
  <c r="BX38" i="3"/>
  <c r="BB43" i="3"/>
  <c r="BY9" i="3"/>
  <c r="BW43" i="3"/>
  <c r="AN32" i="3"/>
  <c r="CG33" i="3"/>
  <c r="AL38" i="3"/>
  <c r="BZ34" i="3"/>
  <c r="BT41" i="3"/>
  <c r="BC45" i="3"/>
  <c r="AH45" i="3"/>
  <c r="BM32" i="3"/>
  <c r="CC48" i="3"/>
  <c r="BZ49" i="3"/>
  <c r="CM49" i="3"/>
  <c r="AY27" i="3"/>
  <c r="AH20" i="3"/>
  <c r="BP28" i="3"/>
  <c r="CC34" i="3"/>
  <c r="AR44" i="3"/>
  <c r="CC44" i="3"/>
  <c r="AW49" i="3"/>
  <c r="AT47" i="3"/>
  <c r="CB42" i="3"/>
  <c r="BO48" i="3"/>
  <c r="CK37" i="3"/>
  <c r="BZ46" i="3"/>
  <c r="BU37" i="3"/>
  <c r="CB50" i="3"/>
  <c r="BA50" i="3"/>
  <c r="AR39" i="3"/>
  <c r="BE54" i="3"/>
  <c r="BJ39" i="3"/>
  <c r="AN50" i="3"/>
  <c r="CL42" i="3"/>
  <c r="BE56" i="3"/>
  <c r="CE56" i="3"/>
  <c r="AX56" i="3"/>
  <c r="AJ26" i="3"/>
  <c r="CB49" i="3"/>
  <c r="CN53" i="3"/>
  <c r="BT68" i="3"/>
  <c r="BE79" i="3"/>
  <c r="AS58" i="3"/>
  <c r="CL23" i="3"/>
  <c r="BH35" i="3"/>
  <c r="BM24" i="3"/>
  <c r="BA18" i="3"/>
  <c r="AN24" i="3"/>
  <c r="CK35" i="3"/>
  <c r="CN11" i="3"/>
  <c r="BC36" i="3"/>
  <c r="AV22" i="3"/>
  <c r="CN12" i="3"/>
  <c r="BI28" i="3"/>
  <c r="BL25" i="3"/>
  <c r="CD6" i="3"/>
  <c r="AB13" i="3"/>
  <c r="BZ8" i="3"/>
  <c r="BG15" i="3"/>
  <c r="CI16" i="3"/>
  <c r="BR25" i="3"/>
  <c r="CI31" i="3"/>
  <c r="BO34" i="3"/>
  <c r="BL34" i="3"/>
  <c r="AP36" i="3"/>
  <c r="CN14" i="3"/>
  <c r="BH9" i="3"/>
  <c r="BV34" i="3"/>
  <c r="BV38" i="3"/>
  <c r="CK43" i="3"/>
  <c r="BF10" i="3"/>
  <c r="BQ45" i="3"/>
  <c r="CI32" i="3"/>
  <c r="BQ33" i="3"/>
  <c r="AJ38" i="3"/>
  <c r="AK38" i="3"/>
  <c r="AI41" i="3"/>
  <c r="CG45" i="3"/>
  <c r="BY45" i="3"/>
  <c r="AO33" i="3"/>
  <c r="AX48" i="3"/>
  <c r="BF49" i="3"/>
  <c r="BJ49" i="3"/>
  <c r="BT27" i="3"/>
  <c r="AY20" i="3"/>
  <c r="AZ28" i="3"/>
  <c r="AR37" i="3"/>
  <c r="AB44" i="3"/>
  <c r="BF44" i="3"/>
  <c r="BA37" i="3"/>
  <c r="BB47" i="3"/>
  <c r="AQ45" i="3"/>
  <c r="AM49" i="3"/>
  <c r="BF39" i="3"/>
  <c r="BD47" i="3"/>
  <c r="CL37" i="3"/>
  <c r="BL50" i="3"/>
  <c r="AG50" i="3"/>
  <c r="AB39" i="3"/>
  <c r="CJ54" i="3"/>
  <c r="CA39" i="3"/>
  <c r="AM50" i="3"/>
  <c r="BT42" i="3"/>
  <c r="CN56" i="3"/>
  <c r="BK56" i="3"/>
  <c r="AD56" i="3"/>
  <c r="BS67" i="3"/>
  <c r="BW53" i="3"/>
  <c r="BW79" i="3"/>
  <c r="BU23" i="3"/>
  <c r="AB23" i="3"/>
  <c r="AE24" i="3"/>
  <c r="CE18" i="3"/>
  <c r="AM24" i="3"/>
  <c r="BS35" i="3"/>
  <c r="BX11" i="3"/>
  <c r="CJ36" i="3"/>
  <c r="AE22" i="3"/>
  <c r="AN17" i="3"/>
  <c r="BY28" i="3"/>
  <c r="CD25" i="3"/>
  <c r="AB6" i="3"/>
  <c r="BF13" i="3"/>
  <c r="BJ8" i="3"/>
  <c r="AQ15" i="3"/>
  <c r="BS16" i="3"/>
  <c r="CK28" i="3"/>
  <c r="BM31" i="3"/>
  <c r="AX34" i="3"/>
  <c r="AW41" i="3"/>
  <c r="CJ38" i="3"/>
  <c r="AL16" i="3"/>
  <c r="BX9" i="3"/>
  <c r="AQ37" i="3"/>
  <c r="BE38" i="3"/>
  <c r="BQ43" i="3"/>
  <c r="BV10" i="3"/>
  <c r="CL48" i="3"/>
  <c r="AM32" i="3"/>
  <c r="BA33" i="3"/>
  <c r="BP38" i="3"/>
  <c r="BQ38" i="3"/>
  <c r="CK41" i="3"/>
  <c r="BO45" i="3"/>
  <c r="BX45" i="3"/>
  <c r="AM33" i="3"/>
  <c r="AQ48" i="3"/>
  <c r="BE49" i="3"/>
  <c r="AE49" i="3"/>
  <c r="CN27" i="3"/>
  <c r="BP20" i="3"/>
  <c r="CE28" i="3"/>
  <c r="BQ37" i="3"/>
  <c r="CG44" i="3"/>
  <c r="CB44" i="3"/>
  <c r="BR37" i="3"/>
  <c r="BY47" i="3"/>
  <c r="AO45" i="3"/>
  <c r="AL49" i="3"/>
  <c r="BW39" i="3"/>
  <c r="CA47" i="3"/>
  <c r="BG39" i="3"/>
  <c r="AV50" i="3"/>
  <c r="BW50" i="3"/>
  <c r="BI39" i="3"/>
  <c r="AB56" i="3"/>
  <c r="AD40" i="3"/>
  <c r="AL50" i="3"/>
  <c r="BB42" i="3"/>
  <c r="BW56" i="3"/>
  <c r="CD56" i="3"/>
  <c r="BY56" i="3"/>
  <c r="CK42" i="3"/>
  <c r="AW54" i="3"/>
  <c r="BC48" i="3"/>
  <c r="BF48" i="3"/>
  <c r="CL51" i="3"/>
  <c r="BB63" i="3"/>
  <c r="AH63" i="3"/>
  <c r="BL63" i="3"/>
  <c r="CC47" i="3"/>
  <c r="AT57" i="3"/>
  <c r="AS47" i="3"/>
  <c r="AO52" i="3"/>
  <c r="BW54" i="3"/>
  <c r="AL63" i="3"/>
  <c r="AO57" i="3"/>
  <c r="CF58" i="3"/>
  <c r="BT46" i="3"/>
  <c r="AL52" i="3"/>
  <c r="AL66" i="3"/>
  <c r="AC60" i="3"/>
  <c r="AU60" i="3"/>
  <c r="BS61" i="3"/>
  <c r="BL53" i="3"/>
  <c r="AH64" i="3"/>
  <c r="AZ64" i="3"/>
  <c r="CK55" i="3"/>
  <c r="AE64" i="3"/>
  <c r="AH60" i="3"/>
  <c r="AI66" i="3"/>
  <c r="AX66" i="3"/>
  <c r="AN67" i="3"/>
  <c r="CB59" i="3"/>
  <c r="AZ65" i="3"/>
  <c r="AV65" i="3"/>
  <c r="AI76" i="3"/>
  <c r="AC76" i="3"/>
  <c r="CN76" i="3"/>
  <c r="AR59" i="3"/>
  <c r="CG67" i="3"/>
  <c r="BN81" i="3"/>
  <c r="BD23" i="3"/>
  <c r="AP17" i="3"/>
  <c r="CE24" i="3"/>
  <c r="BR19" i="3"/>
  <c r="AL24" i="3"/>
  <c r="BB35" i="3"/>
  <c r="BH11" i="3"/>
  <c r="BS36" i="3"/>
  <c r="CC22" i="3"/>
  <c r="BR17" i="3"/>
  <c r="BF28" i="3"/>
  <c r="BJ25" i="3"/>
  <c r="BC6" i="3"/>
  <c r="CJ13" i="3"/>
  <c r="AT8" i="3"/>
  <c r="AP15" i="3"/>
  <c r="CH16" i="3"/>
  <c r="AP31" i="3"/>
  <c r="AL31" i="3"/>
  <c r="AH34" i="3"/>
  <c r="BR43" i="3"/>
  <c r="BG41" i="3"/>
  <c r="BZ20" i="3"/>
  <c r="CN9" i="3"/>
  <c r="AO37" i="3"/>
  <c r="BD38" i="3"/>
  <c r="BN43" i="3"/>
  <c r="CL10" i="3"/>
  <c r="CK27" i="3"/>
  <c r="CH32" i="3"/>
  <c r="CF33" i="3"/>
  <c r="AQ43" i="3"/>
  <c r="CH41" i="3"/>
  <c r="BS41" i="3"/>
  <c r="AW45" i="3"/>
  <c r="AZ45" i="3"/>
  <c r="AJ33" i="3"/>
  <c r="AP48" i="3"/>
  <c r="AG49" i="3"/>
  <c r="AD49" i="3"/>
  <c r="AJ32" i="3"/>
  <c r="CG20" i="3"/>
  <c r="BO28" i="3"/>
  <c r="AV38" i="3"/>
  <c r="BO44" i="3"/>
  <c r="BE44" i="3"/>
  <c r="CI37" i="3"/>
  <c r="BN48" i="3"/>
  <c r="AK45" i="3"/>
  <c r="AK49" i="3"/>
  <c r="CK40" i="3"/>
  <c r="BP48" i="3"/>
  <c r="AB40" i="3"/>
  <c r="AF50" i="3"/>
  <c r="AZ50" i="3"/>
  <c r="BZ39" i="3"/>
  <c r="BR56" i="3"/>
  <c r="AV40" i="3"/>
  <c r="AO50" i="3"/>
  <c r="AI42" i="3"/>
  <c r="BF56" i="3"/>
  <c r="BJ56" i="3"/>
  <c r="CD37" i="3"/>
  <c r="AL45" i="3"/>
  <c r="BS54" i="3"/>
  <c r="CJ48" i="3"/>
  <c r="AH48" i="3"/>
  <c r="BU51" i="3"/>
  <c r="CG63" i="3"/>
  <c r="BV63" i="3"/>
  <c r="CC63" i="3"/>
  <c r="AE51" i="3"/>
  <c r="CG57" i="3"/>
  <c r="BK47" i="3"/>
  <c r="BW52" i="3"/>
  <c r="BD54" i="3"/>
  <c r="AK63" i="3"/>
  <c r="AN57" i="3"/>
  <c r="BK58" i="3"/>
  <c r="BD46" i="3"/>
  <c r="BJ52" i="3"/>
  <c r="AB66" i="3"/>
  <c r="CN60" i="3"/>
  <c r="AZ60" i="3"/>
  <c r="BA61" i="3"/>
  <c r="CD53" i="3"/>
  <c r="CC64" i="3"/>
  <c r="AB64" i="3"/>
  <c r="BT55" i="3"/>
  <c r="BG64" i="3"/>
  <c r="BC60" i="3"/>
  <c r="CN66" i="3"/>
  <c r="AG66" i="3"/>
  <c r="AM67" i="3"/>
  <c r="BL59" i="3"/>
  <c r="AI65" i="3"/>
  <c r="AE65" i="3"/>
  <c r="CC76" i="3"/>
  <c r="CM76" i="3"/>
  <c r="BD76" i="3"/>
  <c r="BI59" i="3"/>
  <c r="BI67" i="3"/>
  <c r="BJ59" i="3"/>
  <c r="AP69" i="3"/>
  <c r="BY69" i="3"/>
  <c r="BL77" i="3"/>
  <c r="BP77" i="3"/>
  <c r="CI70" i="3"/>
  <c r="BJ70" i="3"/>
  <c r="AD70" i="3"/>
  <c r="BR68" i="3"/>
  <c r="BB74" i="3"/>
  <c r="CA64" i="3"/>
  <c r="AU32" i="3"/>
  <c r="CC52" i="3"/>
  <c r="BI61" i="3"/>
  <c r="CE81" i="3"/>
  <c r="CA81" i="3"/>
  <c r="CD23" i="3"/>
  <c r="CD17" i="3"/>
  <c r="CJ7" i="3"/>
  <c r="CK12" i="3"/>
  <c r="BZ30" i="3"/>
  <c r="AH35" i="3"/>
  <c r="BQ11" i="3"/>
  <c r="AT36" i="3"/>
  <c r="AB22" i="3"/>
  <c r="AM18" i="3"/>
  <c r="BE28" i="3"/>
  <c r="CC25" i="3"/>
  <c r="BB13" i="3"/>
  <c r="AS5" i="3"/>
  <c r="AD8" i="3"/>
  <c r="CK15" i="3"/>
  <c r="BR16" i="3"/>
  <c r="CK31" i="3"/>
  <c r="CH31" i="3"/>
  <c r="CE34" i="3"/>
  <c r="BK45" i="3"/>
  <c r="AP42" i="3"/>
  <c r="AB21" i="3"/>
  <c r="BE10" i="3"/>
  <c r="CM37" i="3"/>
  <c r="CK38" i="3"/>
  <c r="AR43" i="3"/>
  <c r="AD14" i="3"/>
  <c r="BU27" i="3"/>
  <c r="BR32" i="3"/>
  <c r="CE33" i="3"/>
  <c r="AO43" i="3"/>
  <c r="BR41" i="3"/>
  <c r="CJ41" i="3"/>
  <c r="AE45" i="3"/>
  <c r="AF45" i="3"/>
  <c r="AD33" i="3"/>
  <c r="AO48" i="3"/>
  <c r="BX49" i="3"/>
  <c r="AC49" i="3"/>
  <c r="BN32" i="3"/>
  <c r="AI21" i="3"/>
  <c r="AY28" i="3"/>
  <c r="BZ38" i="3"/>
  <c r="AW44" i="3"/>
  <c r="BY44" i="3"/>
  <c r="BD39" i="3"/>
  <c r="AQ54" i="3"/>
  <c r="AN46" i="3"/>
  <c r="AQ49" i="3"/>
  <c r="BU40" i="3"/>
  <c r="AJ49" i="3"/>
  <c r="AT40" i="3"/>
  <c r="CM50" i="3"/>
  <c r="AE50" i="3"/>
  <c r="AU40" i="3"/>
  <c r="AB26" i="3"/>
  <c r="BN40" i="3"/>
  <c r="AC50" i="3"/>
  <c r="CE42" i="3"/>
  <c r="CM56" i="3"/>
  <c r="BX56" i="3"/>
  <c r="BN37" i="3"/>
  <c r="AO46" i="3"/>
  <c r="AT54" i="3"/>
  <c r="BS48" i="3"/>
  <c r="AY48" i="3"/>
  <c r="BD51" i="3"/>
  <c r="BQ63" i="3"/>
  <c r="AV63" i="3"/>
  <c r="AY63" i="3"/>
  <c r="AY51" i="3"/>
  <c r="BM57" i="3"/>
  <c r="CD47" i="3"/>
  <c r="BE52" i="3"/>
  <c r="BV54" i="3"/>
  <c r="AJ63" i="3"/>
  <c r="BI57" i="3"/>
  <c r="AN58" i="3"/>
  <c r="CH46" i="3"/>
  <c r="CD52" i="3"/>
  <c r="BM66" i="3"/>
  <c r="BX60" i="3"/>
  <c r="BU60" i="3"/>
  <c r="AX61" i="3"/>
  <c r="BK55" i="3"/>
  <c r="BM64" i="3"/>
  <c r="CN64" i="3"/>
  <c r="BC55" i="3"/>
  <c r="CI64" i="3"/>
  <c r="BZ60" i="3"/>
  <c r="BX66" i="3"/>
  <c r="CH66" i="3"/>
  <c r="CI20" i="3"/>
  <c r="BP52" i="3"/>
  <c r="AW61" i="3"/>
  <c r="CD81" i="3"/>
  <c r="BH36" i="3"/>
  <c r="BL23" i="3"/>
  <c r="AP13" i="3"/>
  <c r="BO7" i="3"/>
  <c r="CJ12" i="3"/>
  <c r="AD30" i="3"/>
  <c r="AX35" i="3"/>
  <c r="BO11" i="3"/>
  <c r="BW36" i="3"/>
  <c r="BI12" i="3"/>
  <c r="AI18" i="3"/>
  <c r="AK28" i="3"/>
  <c r="BG25" i="3"/>
  <c r="CG13" i="3"/>
  <c r="BP5" i="3"/>
  <c r="BI8" i="3"/>
  <c r="BU15" i="3"/>
  <c r="CG16" i="3"/>
  <c r="AO31" i="3"/>
  <c r="CB31" i="3"/>
  <c r="BN34" i="3"/>
  <c r="BF9" i="3"/>
  <c r="AO42" i="3"/>
  <c r="AS21" i="3"/>
  <c r="BU10" i="3"/>
  <c r="BV37" i="3"/>
  <c r="BT38" i="3"/>
  <c r="CF43" i="3"/>
  <c r="BK20" i="3"/>
  <c r="BE27" i="3"/>
  <c r="BB32" i="3"/>
  <c r="AY33" i="3"/>
  <c r="AN43" i="3"/>
  <c r="BL41" i="3"/>
  <c r="BQ41" i="3"/>
  <c r="CF45" i="3"/>
  <c r="BT45" i="3"/>
  <c r="BH33" i="3"/>
  <c r="CE49" i="3"/>
  <c r="BA49" i="3"/>
  <c r="AE33" i="3"/>
  <c r="AH9" i="3"/>
  <c r="AZ21" i="3"/>
  <c r="AI28" i="3"/>
  <c r="AD41" i="3"/>
  <c r="AE44" i="3"/>
  <c r="BD44" i="3"/>
  <c r="BU39" i="3"/>
  <c r="CC54" i="3"/>
  <c r="AL46" i="3"/>
  <c r="AR54" i="3"/>
  <c r="BE40" i="3"/>
  <c r="BB50" i="3"/>
  <c r="BL40" i="3"/>
  <c r="BV50" i="3"/>
  <c r="BS50" i="3"/>
  <c r="BM40" i="3"/>
  <c r="AR26" i="3"/>
  <c r="CG40" i="3"/>
  <c r="BH50" i="3"/>
  <c r="BL42" i="3"/>
  <c r="BV56" i="3"/>
  <c r="AV56" i="3"/>
  <c r="AX37" i="3"/>
  <c r="BJ46" i="3"/>
  <c r="BP54" i="3"/>
  <c r="BA48" i="3"/>
  <c r="CD48" i="3"/>
  <c r="AD51" i="3"/>
  <c r="BA63" i="3"/>
  <c r="BU63" i="3"/>
  <c r="AB63" i="3"/>
  <c r="BS51" i="3"/>
  <c r="AS57" i="3"/>
  <c r="AO51" i="3"/>
  <c r="AN52" i="3"/>
  <c r="BC54" i="3"/>
  <c r="AN63" i="3"/>
  <c r="CL57" i="3"/>
  <c r="CD58" i="3"/>
  <c r="BR46" i="3"/>
  <c r="BB31" i="3"/>
  <c r="BL52" i="3"/>
  <c r="AO55" i="3"/>
  <c r="AV61" i="3"/>
  <c r="BD81" i="3"/>
  <c r="CI42" i="3"/>
  <c r="AU23" i="3"/>
  <c r="BC7" i="3"/>
  <c r="AY7" i="3"/>
  <c r="BT12" i="3"/>
  <c r="BY30" i="3"/>
  <c r="AG35" i="3"/>
  <c r="AY11" i="3"/>
  <c r="AR36" i="3"/>
  <c r="CM12" i="3"/>
  <c r="BP25" i="3"/>
  <c r="BW28" i="3"/>
  <c r="BC25" i="3"/>
  <c r="CC13" i="3"/>
  <c r="AK6" i="3"/>
  <c r="BH8" i="3"/>
  <c r="BE15" i="3"/>
  <c r="BQ16" i="3"/>
  <c r="CJ31" i="3"/>
  <c r="AZ31" i="3"/>
  <c r="AW34" i="3"/>
  <c r="BG14" i="3"/>
  <c r="AN42" i="3"/>
  <c r="AS27" i="3"/>
  <c r="BF15" i="3"/>
  <c r="BE37" i="3"/>
  <c r="BC38" i="3"/>
  <c r="BJ43" i="3"/>
  <c r="CB20" i="3"/>
  <c r="CI27" i="3"/>
  <c r="AL32" i="3"/>
  <c r="AI33" i="3"/>
  <c r="AM43" i="3"/>
  <c r="AF41" i="3"/>
  <c r="AY41" i="3"/>
  <c r="BJ45" i="3"/>
  <c r="AY45" i="3"/>
  <c r="CL33" i="3"/>
  <c r="AI49" i="3"/>
  <c r="AF49" i="3"/>
  <c r="BI33" i="3"/>
  <c r="AX9" i="3"/>
  <c r="BQ21" i="3"/>
  <c r="CD28" i="3"/>
  <c r="CA41" i="3"/>
  <c r="CA44" i="3"/>
  <c r="BW44" i="3"/>
  <c r="CL39" i="3"/>
  <c r="BB37" i="3"/>
  <c r="BX46" i="3"/>
  <c r="CE54" i="3"/>
  <c r="CE40" i="3"/>
  <c r="AX54" i="3"/>
  <c r="CD40" i="3"/>
  <c r="BE50" i="3"/>
  <c r="AY50" i="3"/>
  <c r="CF40" i="3"/>
  <c r="BH26" i="3"/>
  <c r="AR42" i="3"/>
  <c r="CH50" i="3"/>
  <c r="AT42" i="3"/>
  <c r="BD56" i="3"/>
  <c r="BO56" i="3"/>
  <c r="AH37" i="3"/>
  <c r="CF46" i="3"/>
  <c r="AS54" i="3"/>
  <c r="CI48" i="3"/>
  <c r="BL54" i="3"/>
  <c r="AX51" i="3"/>
  <c r="CF63" i="3"/>
  <c r="AU63" i="3"/>
  <c r="CE63" i="3"/>
  <c r="CH57" i="3"/>
  <c r="CF57" i="3"/>
  <c r="AN51" i="3"/>
  <c r="AZ52" i="3"/>
  <c r="AH54" i="3"/>
  <c r="AM63" i="3"/>
  <c r="AX58" i="3"/>
  <c r="BJ58" i="3"/>
  <c r="BB46" i="3"/>
  <c r="BG54" i="3"/>
  <c r="BN66" i="3"/>
  <c r="AR60" i="3"/>
  <c r="CK61" i="3"/>
  <c r="AT66" i="3"/>
  <c r="BA60" i="3"/>
  <c r="AG64" i="3"/>
  <c r="AU64" i="3"/>
  <c r="BS55" i="3"/>
  <c r="BX42" i="3"/>
  <c r="AV6" i="3"/>
  <c r="AU57" i="3"/>
  <c r="BN50" i="3"/>
  <c r="CA52" i="3"/>
  <c r="AW55" i="3"/>
  <c r="AU61" i="3"/>
  <c r="BU81" i="3"/>
  <c r="CN79" i="3"/>
  <c r="AD23" i="3"/>
  <c r="BZ7" i="3"/>
  <c r="AI7" i="3"/>
  <c r="CF12" i="3"/>
  <c r="BI30" i="3"/>
  <c r="CA35" i="3"/>
  <c r="CF11" i="3"/>
  <c r="BO36" i="3"/>
  <c r="BD13" i="3"/>
  <c r="AX29" i="3"/>
  <c r="BV28" i="3"/>
  <c r="AF25" i="3"/>
  <c r="BM13" i="3"/>
  <c r="AJ6" i="3"/>
  <c r="AR8" i="3"/>
  <c r="AO15" i="3"/>
  <c r="BA16" i="3"/>
  <c r="BT31" i="3"/>
  <c r="CM34" i="3"/>
  <c r="BE34" i="3"/>
  <c r="CM14" i="3"/>
  <c r="AM42" i="3"/>
  <c r="BL27" i="3"/>
  <c r="BV15" i="3"/>
  <c r="AN37" i="3"/>
  <c r="AH38" i="3"/>
  <c r="CE43" i="3"/>
  <c r="BL21" i="3"/>
  <c r="AC27" i="3"/>
  <c r="CG32" i="3"/>
  <c r="CD33" i="3"/>
  <c r="AL43" i="3"/>
  <c r="BZ41" i="3"/>
  <c r="AG41" i="3"/>
  <c r="CD45" i="3"/>
  <c r="AX45" i="3"/>
  <c r="AU34" i="3"/>
  <c r="CL49" i="3"/>
  <c r="BV49" i="3"/>
  <c r="CM33" i="3"/>
  <c r="AE10" i="3"/>
  <c r="CH21" i="3"/>
  <c r="AT28" i="3"/>
  <c r="BE42" i="3"/>
  <c r="BG44" i="3"/>
  <c r="BC44" i="3"/>
  <c r="AQ40" i="3"/>
  <c r="BS37" i="3"/>
  <c r="BF46" i="3"/>
  <c r="BG56" i="3"/>
  <c r="BO40" i="3"/>
  <c r="CF54" i="3"/>
  <c r="BJ42" i="3"/>
  <c r="CL50" i="3"/>
  <c r="AD50" i="3"/>
  <c r="BK42" i="3"/>
  <c r="BX26" i="3"/>
  <c r="BM42" i="3"/>
  <c r="BF54" i="3"/>
  <c r="CD12" i="3"/>
  <c r="BB6" i="3"/>
  <c r="CB11" i="3"/>
  <c r="BN31" i="3"/>
  <c r="BZ42" i="3"/>
  <c r="BJ38" i="3"/>
  <c r="AK29" i="3"/>
  <c r="BY34" i="3"/>
  <c r="BV45" i="3"/>
  <c r="BU49" i="3"/>
  <c r="AY14" i="3"/>
  <c r="AD44" i="3"/>
  <c r="AK47" i="3"/>
  <c r="BT37" i="3"/>
  <c r="BU50" i="3"/>
  <c r="BF32" i="3"/>
  <c r="AV48" i="3"/>
  <c r="BH37" i="3"/>
  <c r="BJ54" i="3"/>
  <c r="CC56" i="3"/>
  <c r="CH63" i="3"/>
  <c r="BN63" i="3"/>
  <c r="BG57" i="3"/>
  <c r="AF51" i="3"/>
  <c r="AI54" i="3"/>
  <c r="AL57" i="3"/>
  <c r="AK58" i="3"/>
  <c r="AM57" i="3"/>
  <c r="BI60" i="3"/>
  <c r="AK61" i="3"/>
  <c r="AF60" i="3"/>
  <c r="BU64" i="3"/>
  <c r="CI55" i="3"/>
  <c r="AS55" i="3"/>
  <c r="BT66" i="3"/>
  <c r="BF66" i="3"/>
  <c r="AV59" i="3"/>
  <c r="CF65" i="3"/>
  <c r="BA76" i="3"/>
  <c r="BW76" i="3"/>
  <c r="BT76" i="3"/>
  <c r="AF67" i="3"/>
  <c r="CL70" i="3"/>
  <c r="BO69" i="3"/>
  <c r="BW69" i="3"/>
  <c r="AN77" i="3"/>
  <c r="BU77" i="3"/>
  <c r="CE70" i="3"/>
  <c r="BZ78" i="3"/>
  <c r="BU74" i="3"/>
  <c r="BY74" i="3"/>
  <c r="BN68" i="3"/>
  <c r="BO68" i="3"/>
  <c r="BG75" i="3"/>
  <c r="BN80" i="3"/>
  <c r="AF68" i="3"/>
  <c r="BE72" i="3"/>
  <c r="BI78" i="3"/>
  <c r="BR78" i="3"/>
  <c r="AV73" i="3"/>
  <c r="AP87" i="3"/>
  <c r="BV71" i="3"/>
  <c r="AH79" i="3"/>
  <c r="AF86" i="3"/>
  <c r="AZ79" i="3"/>
  <c r="AS71" i="3"/>
  <c r="CJ78" i="3"/>
  <c r="AP83" i="3"/>
  <c r="AP73" i="3"/>
  <c r="AJ87" i="3"/>
  <c r="BX79" i="3"/>
  <c r="BP79" i="3"/>
  <c r="AN84" i="3"/>
  <c r="AO85" i="3"/>
  <c r="CK76" i="3"/>
  <c r="AZ69" i="3"/>
  <c r="BS77" i="3"/>
  <c r="CI74" i="3"/>
  <c r="CL72" i="3"/>
  <c r="BM80" i="3"/>
  <c r="CI72" i="3"/>
  <c r="AK76" i="3"/>
  <c r="AJ73" i="3"/>
  <c r="BH71" i="3"/>
  <c r="BF72" i="3"/>
  <c r="AL85" i="3"/>
  <c r="AM86" i="3"/>
  <c r="BI16" i="3"/>
  <c r="CC39" i="3"/>
  <c r="BF57" i="3"/>
  <c r="AX63" i="3"/>
  <c r="BB61" i="3"/>
  <c r="AG60" i="3"/>
  <c r="BH59" i="3"/>
  <c r="BU76" i="3"/>
  <c r="BU62" i="3"/>
  <c r="BB77" i="3"/>
  <c r="AR80" i="3"/>
  <c r="AF74" i="3"/>
  <c r="CI68" i="3"/>
  <c r="AQ76" i="3"/>
  <c r="AZ73" i="3"/>
  <c r="BX71" i="3"/>
  <c r="BQ79" i="3"/>
  <c r="AR73" i="3"/>
  <c r="AL67" i="3"/>
  <c r="BL69" i="3"/>
  <c r="BC70" i="3"/>
  <c r="AB74" i="3"/>
  <c r="BU80" i="3"/>
  <c r="AN78" i="3"/>
  <c r="CL81" i="3"/>
  <c r="CN71" i="3"/>
  <c r="AH87" i="3"/>
  <c r="AN75" i="3"/>
  <c r="BI81" i="3"/>
  <c r="CE72" i="3"/>
  <c r="CN73" i="3"/>
  <c r="CK30" i="3"/>
  <c r="BP6" i="3"/>
  <c r="CA15" i="3"/>
  <c r="BW34" i="3"/>
  <c r="BW9" i="3"/>
  <c r="AS38" i="3"/>
  <c r="BJ32" i="3"/>
  <c r="AN38" i="3"/>
  <c r="BI45" i="3"/>
  <c r="CJ49" i="3"/>
  <c r="BO14" i="3"/>
  <c r="CN44" i="3"/>
  <c r="BL47" i="3"/>
  <c r="AY40" i="3"/>
  <c r="BT50" i="3"/>
  <c r="BV32" i="3"/>
  <c r="BX48" i="3"/>
  <c r="BY37" i="3"/>
  <c r="CB56" i="3"/>
  <c r="BY51" i="3"/>
  <c r="BR63" i="3"/>
  <c r="CM63" i="3"/>
  <c r="CN57" i="3"/>
  <c r="AP52" i="3"/>
  <c r="CN54" i="3"/>
  <c r="AQ57" i="3"/>
  <c r="BC58" i="3"/>
  <c r="CJ58" i="3"/>
  <c r="AS60" i="3"/>
  <c r="CN61" i="3"/>
  <c r="BV60" i="3"/>
  <c r="BA64" i="3"/>
  <c r="BL55" i="3"/>
  <c r="BM55" i="3"/>
  <c r="BB66" i="3"/>
  <c r="AO67" i="3"/>
  <c r="AF59" i="3"/>
  <c r="AG65" i="3"/>
  <c r="CE76" i="3"/>
  <c r="BG76" i="3"/>
  <c r="BV52" i="3"/>
  <c r="CK67" i="3"/>
  <c r="AS59" i="3"/>
  <c r="AY69" i="3"/>
  <c r="BA69" i="3"/>
  <c r="CH77" i="3"/>
  <c r="AK77" i="3"/>
  <c r="BH70" i="3"/>
  <c r="AP80" i="3"/>
  <c r="BE74" i="3"/>
  <c r="BI74" i="3"/>
  <c r="CF68" i="3"/>
  <c r="CG68" i="3"/>
  <c r="CM75" i="3"/>
  <c r="AX80" i="3"/>
  <c r="AX68" i="3"/>
  <c r="AO72" i="3"/>
  <c r="AS78" i="3"/>
  <c r="BT80" i="3"/>
  <c r="BL73" i="3"/>
  <c r="AQ87" i="3"/>
  <c r="CL71" i="3"/>
  <c r="AX79" i="3"/>
  <c r="AD87" i="3"/>
  <c r="AR71" i="3"/>
  <c r="BI71" i="3"/>
  <c r="AK79" i="3"/>
  <c r="BF73" i="3"/>
  <c r="BF69" i="3"/>
  <c r="CE58" i="3"/>
  <c r="BR77" i="3"/>
  <c r="CB78" i="3"/>
  <c r="AS74" i="3"/>
  <c r="CM77" i="3"/>
  <c r="BP68" i="3"/>
  <c r="AQ78" i="3"/>
  <c r="BF81" i="3"/>
  <c r="BN79" i="3"/>
  <c r="CF79" i="3"/>
  <c r="BV73" i="3"/>
  <c r="BV69" i="3"/>
  <c r="BC34" i="3"/>
  <c r="BU56" i="3"/>
  <c r="CL63" i="3"/>
  <c r="AE63" i="3"/>
  <c r="AB60" i="3"/>
  <c r="BT64" i="3"/>
  <c r="CJ66" i="3"/>
  <c r="BN65" i="3"/>
  <c r="BO58" i="3"/>
  <c r="CJ69" i="3"/>
  <c r="BE70" i="3"/>
  <c r="AC74" i="3"/>
  <c r="CA78" i="3"/>
  <c r="AP78" i="3"/>
  <c r="BV81" i="3"/>
  <c r="AC81" i="3"/>
  <c r="BV72" i="3"/>
  <c r="AZ75" i="3"/>
  <c r="BR66" i="3"/>
  <c r="CA67" i="3"/>
  <c r="BF70" i="3"/>
  <c r="BC74" i="3"/>
  <c r="BL74" i="3"/>
  <c r="AJ70" i="3"/>
  <c r="BV75" i="3"/>
  <c r="AB81" i="3"/>
  <c r="AM73" i="3"/>
  <c r="BP75" i="3"/>
  <c r="BE80" i="3"/>
  <c r="AR81" i="3"/>
  <c r="BC82" i="3"/>
  <c r="AU81" i="3"/>
  <c r="CK78" i="3"/>
  <c r="BL35" i="3"/>
  <c r="BN6" i="3"/>
  <c r="BS15" i="3"/>
  <c r="BT34" i="3"/>
  <c r="CM9" i="3"/>
  <c r="AB38" i="3"/>
  <c r="BK41" i="3"/>
  <c r="AK43" i="3"/>
  <c r="CA45" i="3"/>
  <c r="BS49" i="3"/>
  <c r="BL15" i="3"/>
  <c r="BH44" i="3"/>
  <c r="CJ37" i="3"/>
  <c r="BK40" i="3"/>
  <c r="BC50" i="3"/>
  <c r="BF37" i="3"/>
  <c r="CL54" i="3"/>
  <c r="BL39" i="3"/>
  <c r="BS42" i="3"/>
  <c r="AC51" i="3"/>
  <c r="BP63" i="3"/>
  <c r="BM63" i="3"/>
  <c r="BW57" i="3"/>
  <c r="CK52" i="3"/>
  <c r="BU54" i="3"/>
  <c r="AP57" i="3"/>
  <c r="CI58" i="3"/>
  <c r="BC63" i="3"/>
  <c r="BH60" i="3"/>
  <c r="BT61" i="3"/>
  <c r="AY61" i="3"/>
  <c r="AC64" i="3"/>
  <c r="CF55" i="3"/>
  <c r="CG55" i="3"/>
  <c r="BA66" i="3"/>
  <c r="AQ67" i="3"/>
  <c r="AQ59" i="3"/>
  <c r="CE65" i="3"/>
  <c r="BO76" i="3"/>
  <c r="BU67" i="3"/>
  <c r="CK62" i="3"/>
  <c r="CD69" i="3"/>
  <c r="BZ70" i="3"/>
  <c r="BB72" i="3"/>
  <c r="CB73" i="3"/>
  <c r="BA79" i="3"/>
  <c r="BP27" i="3"/>
  <c r="BY52" i="3"/>
  <c r="CE64" i="3"/>
  <c r="AP67" i="3"/>
  <c r="BE67" i="3"/>
  <c r="BS70" i="3"/>
  <c r="BA72" i="3"/>
  <c r="BS72" i="3"/>
  <c r="CD79" i="3"/>
  <c r="AJ86" i="3"/>
  <c r="AW65" i="3"/>
  <c r="BX70" i="3"/>
  <c r="BC72" i="3"/>
  <c r="AS81" i="3"/>
  <c r="BH73" i="3"/>
  <c r="CF73" i="3"/>
  <c r="BH81" i="3"/>
  <c r="CN17" i="3"/>
  <c r="AW13" i="3"/>
  <c r="CJ10" i="3"/>
  <c r="BH38" i="3"/>
  <c r="AV27" i="3"/>
  <c r="BD45" i="3"/>
  <c r="BB49" i="3"/>
  <c r="BV17" i="3"/>
  <c r="CH44" i="3"/>
  <c r="CM39" i="3"/>
  <c r="CC40" i="3"/>
  <c r="CD50" i="3"/>
  <c r="AS39" i="3"/>
  <c r="CN42" i="3"/>
  <c r="CN51" i="3"/>
  <c r="AZ63" i="3"/>
  <c r="AV54" i="3"/>
  <c r="AK66" i="3"/>
  <c r="BD61" i="3"/>
  <c r="AY76" i="3"/>
  <c r="BN69" i="3"/>
  <c r="BS74" i="3"/>
  <c r="AW80" i="3"/>
  <c r="BF75" i="3"/>
  <c r="AD81" i="3"/>
  <c r="AJ71" i="3"/>
  <c r="BM76" i="3"/>
  <c r="AL77" i="3"/>
  <c r="CD72" i="3"/>
  <c r="AO76" i="3"/>
  <c r="AT81" i="3"/>
  <c r="AZ71" i="3"/>
  <c r="AM82" i="3"/>
  <c r="BP71" i="3"/>
  <c r="BB73" i="3"/>
  <c r="BI36" i="3"/>
  <c r="BZ13" i="3"/>
  <c r="AS16" i="3"/>
  <c r="CI34" i="3"/>
  <c r="BH14" i="3"/>
  <c r="BN38" i="3"/>
  <c r="BH32" i="3"/>
  <c r="CL27" i="3"/>
  <c r="AI45" i="3"/>
  <c r="BK49" i="3"/>
  <c r="AK22" i="3"/>
  <c r="BL44" i="3"/>
  <c r="AR40" i="3"/>
  <c r="BI42" i="3"/>
  <c r="BX50" i="3"/>
  <c r="BH46" i="3"/>
  <c r="CL56" i="3"/>
  <c r="AX40" i="3"/>
  <c r="CH48" i="3"/>
  <c r="BW51" i="3"/>
  <c r="BY63" i="3"/>
  <c r="CK47" i="3"/>
  <c r="CI57" i="3"/>
  <c r="BH52" i="3"/>
  <c r="BT54" i="3"/>
  <c r="CK63" i="3"/>
  <c r="CJ46" i="3"/>
  <c r="AJ66" i="3"/>
  <c r="CG60" i="3"/>
  <c r="AJ61" i="3"/>
  <c r="BO64" i="3"/>
  <c r="BS64" i="3"/>
  <c r="BB60" i="3"/>
  <c r="CA61" i="3"/>
  <c r="BY59" i="3"/>
  <c r="BE76" i="3"/>
  <c r="AY58" i="3"/>
  <c r="BE62" i="3"/>
  <c r="CB80" i="3"/>
  <c r="AG80" i="3"/>
  <c r="BP73" i="3"/>
  <c r="CG79" i="3"/>
  <c r="CL75" i="3"/>
  <c r="BX73" i="3"/>
  <c r="BY81" i="3"/>
  <c r="BB25" i="3"/>
  <c r="BJ13" i="3"/>
  <c r="AC16" i="3"/>
  <c r="BP34" i="3"/>
  <c r="CE27" i="3"/>
  <c r="BK43" i="3"/>
  <c r="AR32" i="3"/>
  <c r="BL32" i="3"/>
  <c r="BB45" i="3"/>
  <c r="AT49" i="3"/>
  <c r="BV27" i="3"/>
  <c r="CE44" i="3"/>
  <c r="BJ40" i="3"/>
  <c r="BA46" i="3"/>
  <c r="BF50" i="3"/>
  <c r="BG47" i="3"/>
  <c r="BT56" i="3"/>
  <c r="CI40" i="3"/>
  <c r="BB48" i="3"/>
  <c r="BF51" i="3"/>
  <c r="BF63" i="3"/>
  <c r="BU47" i="3"/>
  <c r="BN57" i="3"/>
  <c r="AQ52" i="3"/>
  <c r="AF57" i="3"/>
  <c r="BZ58" i="3"/>
  <c r="AB46" i="3"/>
  <c r="AO66" i="3"/>
  <c r="AE60" i="3"/>
  <c r="CM61" i="3"/>
  <c r="AY64" i="3"/>
  <c r="BF64" i="3"/>
  <c r="BW60" i="3"/>
  <c r="BH64" i="3"/>
  <c r="AZ66" i="3"/>
  <c r="CF67" i="3"/>
  <c r="BK62" i="3"/>
  <c r="AF65" i="3"/>
  <c r="AW76" i="3"/>
  <c r="BC76" i="3"/>
  <c r="AI58" i="3"/>
  <c r="BZ67" i="3"/>
  <c r="CJ62" i="3"/>
  <c r="AV69" i="3"/>
  <c r="CD77" i="3"/>
  <c r="CF77" i="3"/>
  <c r="CB70" i="3"/>
  <c r="BW70" i="3"/>
  <c r="BY68" i="3"/>
  <c r="CH74" i="3"/>
  <c r="BH74" i="3"/>
  <c r="CC72" i="3"/>
  <c r="BC73" i="3"/>
  <c r="AB18" i="3"/>
  <c r="BY13" i="3"/>
  <c r="BX16" i="3"/>
  <c r="CJ34" i="3"/>
  <c r="AV33" i="3"/>
  <c r="BZ43" i="3"/>
  <c r="AP32" i="3"/>
  <c r="AT34" i="3"/>
  <c r="AC45" i="3"/>
  <c r="BQ49" i="3"/>
  <c r="CH28" i="3"/>
  <c r="BK44" i="3"/>
  <c r="BH42" i="3"/>
  <c r="BP56" i="3"/>
  <c r="CG54" i="3"/>
  <c r="CI47" i="3"/>
  <c r="BM56" i="3"/>
  <c r="AU42" i="3"/>
  <c r="CK48" i="3"/>
  <c r="CM51" i="3"/>
  <c r="BX63" i="3"/>
  <c r="BA47" i="3"/>
  <c r="BL57" i="3"/>
  <c r="BX52" i="3"/>
  <c r="BE57" i="3"/>
  <c r="BI58" i="3"/>
  <c r="AT46" i="3"/>
  <c r="AN66" i="3"/>
  <c r="CF60" i="3"/>
  <c r="BX61" i="3"/>
  <c r="AI64" i="3"/>
  <c r="CH64" i="3"/>
  <c r="AZ61" i="3"/>
  <c r="CJ64" i="3"/>
  <c r="AH66" i="3"/>
  <c r="BB67" i="3"/>
  <c r="CD62" i="3"/>
  <c r="CD65" i="3"/>
  <c r="AG76" i="3"/>
  <c r="BR76" i="3"/>
  <c r="BH58" i="3"/>
  <c r="BH67" i="3"/>
  <c r="BT62" i="3"/>
  <c r="CF69" i="3"/>
  <c r="BN77" i="3"/>
  <c r="AZ77" i="3"/>
  <c r="BL70" i="3"/>
  <c r="BB70" i="3"/>
  <c r="BI68" i="3"/>
  <c r="BR74" i="3"/>
  <c r="CN74" i="3"/>
  <c r="AO74" i="3"/>
  <c r="CI80" i="3"/>
  <c r="BZ81" i="3"/>
  <c r="CC19" i="3"/>
  <c r="AS13" i="3"/>
  <c r="CF16" i="3"/>
  <c r="BF14" i="3"/>
  <c r="BZ33" i="3"/>
  <c r="BH43" i="3"/>
  <c r="BU32" i="3"/>
  <c r="BH41" i="3"/>
  <c r="AO27" i="3"/>
  <c r="AR49" i="3"/>
  <c r="BR28" i="3"/>
  <c r="BI44" i="3"/>
  <c r="AM46" i="3"/>
  <c r="CL26" i="3"/>
  <c r="BQ56" i="3"/>
  <c r="AU48" i="3"/>
  <c r="AS56" i="3"/>
  <c r="BQ42" i="3"/>
  <c r="BT48" i="3"/>
  <c r="BV51" i="3"/>
  <c r="BE63" i="3"/>
  <c r="CF47" i="3"/>
  <c r="AR57" i="3"/>
  <c r="BG52" i="3"/>
  <c r="CK57" i="3"/>
  <c r="AR58" i="3"/>
  <c r="AG47" i="3"/>
  <c r="AM66" i="3"/>
  <c r="BN60" i="3"/>
  <c r="CB66" i="3"/>
  <c r="CD64" i="3"/>
  <c r="BC67" i="3"/>
  <c r="BZ61" i="3"/>
  <c r="BK67" i="3"/>
  <c r="CI66" i="3"/>
  <c r="CD67" i="3"/>
  <c r="CH65" i="3"/>
  <c r="BM65" i="3"/>
  <c r="CB76" i="3"/>
  <c r="AH76" i="3"/>
  <c r="BY58" i="3"/>
  <c r="BY67" i="3"/>
  <c r="BS62" i="3"/>
  <c r="BI69" i="3"/>
  <c r="AX77" i="3"/>
  <c r="AJ77" i="3"/>
  <c r="AV70" i="3"/>
  <c r="AH70" i="3"/>
  <c r="AS68" i="3"/>
  <c r="CF74" i="3"/>
  <c r="BE78" i="3"/>
  <c r="AM74" i="3"/>
  <c r="AL75" i="3"/>
  <c r="BS80" i="3"/>
  <c r="AU80" i="3"/>
  <c r="AW72" i="3"/>
  <c r="BO72" i="3"/>
  <c r="CE78" i="3"/>
  <c r="BU78" i="3"/>
  <c r="AW78" i="3"/>
  <c r="BS82" i="3"/>
  <c r="AT75" i="3"/>
  <c r="BX81" i="3"/>
  <c r="AP82" i="3"/>
  <c r="BR73" i="3"/>
  <c r="BG82" i="3"/>
  <c r="CI73" i="3"/>
  <c r="BK81" i="3"/>
  <c r="BV78" i="3"/>
  <c r="BW78" i="3"/>
  <c r="BF79" i="3"/>
  <c r="BJ73" i="3"/>
  <c r="BE58" i="3"/>
  <c r="CD80" i="3"/>
  <c r="BM72" i="3"/>
  <c r="AT73" i="3"/>
  <c r="BP55" i="3"/>
  <c r="AS28" i="3"/>
  <c r="AD6" i="3"/>
  <c r="AK18" i="3"/>
  <c r="BV14" i="3"/>
  <c r="CE48" i="3"/>
  <c r="BT43" i="3"/>
  <c r="BQ32" i="3"/>
  <c r="CN41" i="3"/>
  <c r="AM27" i="3"/>
  <c r="BP49" i="3"/>
  <c r="CF28" i="3"/>
  <c r="BV44" i="3"/>
  <c r="AK46" i="3"/>
  <c r="BG31" i="3"/>
  <c r="CN39" i="3"/>
  <c r="AP49" i="3"/>
  <c r="CF56" i="3"/>
  <c r="AM47" i="3"/>
  <c r="BQ48" i="3"/>
  <c r="BE51" i="3"/>
  <c r="AI63" i="3"/>
  <c r="BO47" i="3"/>
  <c r="AE57" i="3"/>
  <c r="BT52" i="3"/>
  <c r="AW58" i="3"/>
  <c r="AQ58" i="3"/>
  <c r="AZ47" i="3"/>
  <c r="AC66" i="3"/>
  <c r="AV60" i="3"/>
  <c r="AX67" i="3"/>
  <c r="BN64" i="3"/>
  <c r="CL67" i="3"/>
  <c r="AV66" i="3"/>
  <c r="CN67" i="3"/>
  <c r="BQ66" i="3"/>
  <c r="AZ67" i="3"/>
  <c r="BR65" i="3"/>
  <c r="AB65" i="3"/>
  <c r="BL76" i="3"/>
  <c r="BP76" i="3"/>
  <c r="BZ59" i="3"/>
  <c r="BG67" i="3"/>
  <c r="BC62" i="3"/>
  <c r="AN69" i="3"/>
  <c r="CB77" i="3"/>
  <c r="BQ77" i="3"/>
  <c r="BK70" i="3"/>
  <c r="BV70" i="3"/>
  <c r="AC68" i="3"/>
  <c r="BP74" i="3"/>
  <c r="BF80" i="3"/>
  <c r="AE74" i="3"/>
  <c r="AJ75" i="3"/>
  <c r="BC80" i="3"/>
  <c r="AE80" i="3"/>
  <c r="CA72" i="3"/>
  <c r="AY72" i="3"/>
  <c r="BO78" i="3"/>
  <c r="AL80" i="3"/>
  <c r="BM78" i="3"/>
  <c r="CI82" i="3"/>
  <c r="BJ75" i="3"/>
  <c r="CN81" i="3"/>
  <c r="BF82" i="3"/>
  <c r="CH73" i="3"/>
  <c r="BW82" i="3"/>
  <c r="AG75" i="3"/>
  <c r="AB82" i="3"/>
  <c r="CL78" i="3"/>
  <c r="CM78" i="3"/>
  <c r="BV79" i="3"/>
  <c r="BD75" i="3"/>
  <c r="AZ54" i="3"/>
  <c r="AW68" i="3"/>
  <c r="BK80" i="3"/>
  <c r="AY81" i="3"/>
  <c r="CG28" i="3"/>
  <c r="AQ7" i="3"/>
  <c r="BB19" i="3"/>
  <c r="CL14" i="3"/>
  <c r="AB9" i="3"/>
  <c r="BI43" i="3"/>
  <c r="BE33" i="3"/>
  <c r="BV41" i="3"/>
  <c r="AL27" i="3"/>
  <c r="BL49" i="3"/>
  <c r="BM28" i="3"/>
  <c r="BU44" i="3"/>
  <c r="AZ46" i="3"/>
  <c r="BW31" i="3"/>
  <c r="BH39" i="3"/>
  <c r="CK54" i="3"/>
  <c r="AR56" i="3"/>
  <c r="BI47" i="3"/>
  <c r="AZ48" i="3"/>
  <c r="BR51" i="3"/>
  <c r="BW63" i="3"/>
  <c r="AY47" i="3"/>
  <c r="BD57" i="3"/>
  <c r="CA54" i="3"/>
  <c r="BV58" i="3"/>
  <c r="BX58" i="3"/>
  <c r="BS47" i="3"/>
  <c r="AJ67" i="3"/>
  <c r="AD60" i="3"/>
  <c r="BS53" i="3"/>
  <c r="AX64" i="3"/>
  <c r="CN55" i="3"/>
  <c r="CD66" i="3"/>
  <c r="BD66" i="3"/>
  <c r="BP66" i="3"/>
  <c r="BO67" i="3"/>
  <c r="BB65" i="3"/>
  <c r="BD65" i="3"/>
  <c r="BZ76" i="3"/>
  <c r="AE76" i="3"/>
  <c r="AC62" i="3"/>
  <c r="BX67" i="3"/>
  <c r="AD62" i="3"/>
  <c r="BZ69" i="3"/>
  <c r="AV77" i="3"/>
  <c r="BO77" i="3"/>
  <c r="AU70" i="3"/>
  <c r="BA70" i="3"/>
  <c r="CH68" i="3"/>
  <c r="AZ74" i="3"/>
  <c r="AB68" i="3"/>
  <c r="BK74" i="3"/>
  <c r="CE75" i="3"/>
  <c r="CG80" i="3"/>
  <c r="BY80" i="3"/>
  <c r="BK72" i="3"/>
  <c r="BD72" i="3"/>
  <c r="AY78" i="3"/>
  <c r="BV80" i="3"/>
  <c r="CC78" i="3"/>
  <c r="AJ83" i="3"/>
  <c r="BZ75" i="3"/>
  <c r="AO82" i="3"/>
  <c r="BV82" i="3"/>
  <c r="BF77" i="3"/>
  <c r="CM82" i="3"/>
  <c r="AW75" i="3"/>
  <c r="AR82" i="3"/>
  <c r="BC79" i="3"/>
  <c r="BD79" i="3"/>
  <c r="CL79" i="3"/>
  <c r="BT75" i="3"/>
  <c r="AO84" i="3"/>
  <c r="AM85" i="3"/>
  <c r="BH66" i="3"/>
  <c r="CB65" i="3"/>
  <c r="CM74" i="3"/>
  <c r="AV75" i="3"/>
  <c r="AQ80" i="3"/>
  <c r="AJ84" i="3"/>
  <c r="AK85" i="3"/>
  <c r="BL7" i="3"/>
  <c r="AS34" i="3"/>
  <c r="AY46" i="3"/>
  <c r="BZ56" i="3"/>
  <c r="AM51" i="3"/>
  <c r="AT53" i="3"/>
  <c r="BI66" i="3"/>
  <c r="AZ76" i="3"/>
  <c r="AP77" i="3"/>
  <c r="AV68" i="3"/>
  <c r="BR80" i="3"/>
  <c r="AH85" i="3"/>
  <c r="AL86" i="3"/>
  <c r="AM72" i="3"/>
  <c r="CF75" i="3"/>
  <c r="AJ78" i="3"/>
  <c r="AU25" i="3"/>
  <c r="BR7" i="3"/>
  <c r="CD19" i="3"/>
  <c r="BH21" i="3"/>
  <c r="AR20" i="3"/>
  <c r="CB43" i="3"/>
  <c r="CI33" i="3"/>
  <c r="BD41" i="3"/>
  <c r="CM27" i="3"/>
  <c r="BB34" i="3"/>
  <c r="BO32" i="3"/>
  <c r="BA44" i="3"/>
  <c r="BY46" i="3"/>
  <c r="BD37" i="3"/>
  <c r="CH42" i="3"/>
  <c r="BP42" i="3"/>
  <c r="AI56" i="3"/>
  <c r="CJ50" i="3"/>
  <c r="BM48" i="3"/>
  <c r="AO56" i="3"/>
  <c r="BD63" i="3"/>
  <c r="AI47" i="3"/>
  <c r="CJ57" i="3"/>
  <c r="CI54" i="3"/>
  <c r="AQ63" i="3"/>
  <c r="BG58" i="3"/>
  <c r="CM47" i="3"/>
  <c r="BR67" i="3"/>
  <c r="CE60" i="3"/>
  <c r="BC53" i="3"/>
  <c r="AW64" i="3"/>
  <c r="BX55" i="3"/>
  <c r="BJ67" i="3"/>
  <c r="BM67" i="3"/>
  <c r="AW66" i="3"/>
  <c r="BG66" i="3"/>
  <c r="CI65" i="3"/>
  <c r="BZ65" i="3"/>
  <c r="BJ76" i="3"/>
  <c r="BH76" i="3"/>
  <c r="AS62" i="3"/>
  <c r="BD67" i="3"/>
  <c r="AT62" i="3"/>
  <c r="BE69" i="3"/>
  <c r="BZ77" i="3"/>
  <c r="BH77" i="3"/>
  <c r="AE70" i="3"/>
  <c r="AG70" i="3"/>
  <c r="BB68" i="3"/>
  <c r="CE74" i="3"/>
  <c r="CE68" i="3"/>
  <c r="BE75" i="3"/>
  <c r="BO75" i="3"/>
  <c r="BQ80" i="3"/>
  <c r="BI80" i="3"/>
  <c r="AU72" i="3"/>
  <c r="CG72" i="3"/>
  <c r="BP78" i="3"/>
  <c r="AL78" i="3"/>
  <c r="AD79" i="3"/>
  <c r="AF85" i="3"/>
  <c r="BD77" i="3"/>
  <c r="BE82" i="3"/>
  <c r="CL82" i="3"/>
  <c r="BV77" i="3"/>
  <c r="AN83" i="3"/>
  <c r="BM75" i="3"/>
  <c r="BH82" i="3"/>
  <c r="BS79" i="3"/>
  <c r="BT79" i="3"/>
  <c r="AP85" i="3"/>
  <c r="AE78" i="3"/>
  <c r="AM83" i="3"/>
  <c r="CC75" i="3"/>
  <c r="CI79" i="3"/>
  <c r="AN86" i="3"/>
  <c r="AJ85" i="3"/>
  <c r="AB83" i="3"/>
  <c r="AM84" i="3"/>
  <c r="CG66" i="3"/>
  <c r="CJ76" i="3"/>
  <c r="AQ77" i="3"/>
  <c r="AD68" i="3"/>
  <c r="BO80" i="3"/>
  <c r="BQ78" i="3"/>
  <c r="AN85" i="3"/>
  <c r="BP31" i="3"/>
  <c r="AM48" i="3"/>
  <c r="AC31" i="3"/>
  <c r="BT58" i="3"/>
  <c r="CD54" i="3"/>
  <c r="CL66" i="3"/>
  <c r="AS76" i="3"/>
  <c r="BC69" i="3"/>
  <c r="CK74" i="3"/>
  <c r="BG80" i="3"/>
  <c r="AB86" i="3"/>
  <c r="AJ79" i="3"/>
  <c r="AQ74" i="3"/>
  <c r="BJ81" i="3"/>
  <c r="AD75" i="3"/>
  <c r="BS73" i="3"/>
  <c r="AC25" i="3"/>
  <c r="AV8" i="3"/>
  <c r="BV23" i="3"/>
  <c r="AK16" i="3"/>
  <c r="AC21" i="3"/>
  <c r="BP45" i="3"/>
  <c r="CH33" i="3"/>
  <c r="BU41" i="3"/>
  <c r="CA34" i="3"/>
  <c r="AN41" i="3"/>
  <c r="AF33" i="3"/>
  <c r="AH44" i="3"/>
  <c r="BZ47" i="3"/>
  <c r="CG42" i="3"/>
  <c r="BF47" i="3"/>
  <c r="AZ42" i="3"/>
  <c r="BN56" i="3"/>
  <c r="BI54" i="3"/>
  <c r="AS48" i="3"/>
  <c r="AL56" i="3"/>
  <c r="BT63" i="3"/>
  <c r="AR47" i="3"/>
  <c r="AV58" i="3"/>
  <c r="BR54" i="3"/>
  <c r="AP63" i="3"/>
  <c r="AP58" i="3"/>
  <c r="AL51" i="3"/>
  <c r="AS66" i="3"/>
  <c r="BM60" i="3"/>
  <c r="CH53" i="3"/>
  <c r="CB64" i="3"/>
  <c r="BH55" i="3"/>
  <c r="CM67" i="3"/>
  <c r="CE66" i="3"/>
  <c r="AF66" i="3"/>
  <c r="BP67" i="3"/>
  <c r="BQ65" i="3"/>
  <c r="CL69" i="3"/>
  <c r="AT76" i="3"/>
  <c r="BF76" i="3"/>
  <c r="BL62" i="3"/>
  <c r="AC67" i="3"/>
  <c r="BM62" i="3"/>
  <c r="AK69" i="3"/>
  <c r="BJ77" i="3"/>
  <c r="BC77" i="3"/>
  <c r="BY70" i="3"/>
  <c r="BU70" i="3"/>
  <c r="AT68" i="3"/>
  <c r="BO74" i="3"/>
  <c r="AD74" i="3"/>
  <c r="BJ78" i="3"/>
  <c r="AY75" i="3"/>
  <c r="BA80" i="3"/>
  <c r="AS80" i="3"/>
  <c r="BY72" i="3"/>
  <c r="AH74" i="3"/>
  <c r="AO80" i="3"/>
  <c r="AN80" i="3"/>
  <c r="AT79" i="3"/>
  <c r="AD86" i="3"/>
  <c r="BT77" i="3"/>
  <c r="BU82" i="3"/>
  <c r="CL77" i="3"/>
  <c r="AL84" i="3"/>
  <c r="BX82" i="3"/>
  <c r="CJ79" i="3"/>
  <c r="AU78" i="3"/>
  <c r="AO83" i="3"/>
  <c r="BK78" i="3"/>
  <c r="AB79" i="3"/>
  <c r="AY65" i="3"/>
  <c r="AW69" i="3"/>
  <c r="BO70" i="3"/>
  <c r="AZ80" i="3"/>
  <c r="AD85" i="3"/>
  <c r="AF87" i="3"/>
  <c r="AO86" i="3"/>
  <c r="BR6" i="3"/>
  <c r="BN27" i="3"/>
  <c r="AT44" i="3"/>
  <c r="AS42" i="3"/>
  <c r="CN63" i="3"/>
  <c r="BC61" i="3"/>
  <c r="CJ70" i="3"/>
  <c r="AV67" i="3"/>
  <c r="AY77" i="3"/>
  <c r="AG74" i="3"/>
  <c r="BY78" i="3"/>
  <c r="BF71" i="3"/>
  <c r="AC71" i="3"/>
  <c r="BH79" i="3"/>
  <c r="AM76" i="3"/>
  <c r="AE81" i="3"/>
  <c r="AK78" i="3"/>
  <c r="BP18" i="3"/>
  <c r="CN25" i="3"/>
  <c r="AU8" i="3"/>
  <c r="BD31" i="3"/>
  <c r="AZ32" i="3"/>
  <c r="AT21" i="3"/>
  <c r="CF48" i="3"/>
  <c r="BB33" i="3"/>
  <c r="CI41" i="3"/>
  <c r="CM43" i="3"/>
  <c r="AM41" i="3"/>
  <c r="BJ33" i="3"/>
  <c r="CL45" i="3"/>
  <c r="BE26" i="3"/>
  <c r="BE47" i="3"/>
  <c r="CG47" i="3"/>
  <c r="CD42" i="3"/>
  <c r="AG56" i="3"/>
  <c r="AE56" i="3"/>
  <c r="CB48" i="3"/>
  <c r="AQ56" i="3"/>
  <c r="AT63" i="3"/>
  <c r="BJ47" i="3"/>
  <c r="BU58" i="3"/>
  <c r="BA54" i="3"/>
  <c r="CJ63" i="3"/>
  <c r="AM58" i="3"/>
  <c r="BJ51" i="3"/>
  <c r="CA66" i="3"/>
  <c r="AP61" i="3"/>
  <c r="BR53" i="3"/>
  <c r="BL64" i="3"/>
  <c r="AR55" i="3"/>
  <c r="AD53" i="3"/>
  <c r="BO66" i="3"/>
  <c r="BL66" i="3"/>
  <c r="AT70" i="3"/>
  <c r="CG65" i="3"/>
  <c r="AU69" i="3"/>
  <c r="AD76" i="3"/>
  <c r="CL76" i="3"/>
  <c r="AC65" i="3"/>
  <c r="BA67" i="3"/>
  <c r="CF62" i="3"/>
  <c r="BD69" i="3"/>
  <c r="AT77" i="3"/>
  <c r="CK77" i="3"/>
  <c r="BI70" i="3"/>
  <c r="AZ70" i="3"/>
  <c r="BL68" i="3"/>
  <c r="CC74" i="3"/>
  <c r="BJ74" i="3"/>
  <c r="BF61" i="3"/>
  <c r="CB75" i="3"/>
  <c r="CF80" i="3"/>
  <c r="AC80" i="3"/>
  <c r="BI72" i="3"/>
  <c r="BN74" i="3"/>
  <c r="AK80" i="3"/>
  <c r="BX80" i="3"/>
  <c r="BJ79" i="3"/>
  <c r="AB87" i="3"/>
  <c r="CJ77" i="3"/>
  <c r="CK82" i="3"/>
  <c r="AK84" i="3"/>
  <c r="BC78" i="3"/>
  <c r="BG77" i="3"/>
  <c r="AL87" i="3"/>
  <c r="BN53" i="3"/>
  <c r="BX69" i="3"/>
  <c r="AE68" i="3"/>
  <c r="CK72" i="3"/>
  <c r="AP71" i="3"/>
  <c r="BD78" i="3"/>
  <c r="AR79" i="3"/>
  <c r="BE11" i="3"/>
  <c r="CA38" i="3"/>
  <c r="AU10" i="3"/>
  <c r="AN49" i="3"/>
  <c r="BZ48" i="3"/>
  <c r="BX57" i="3"/>
  <c r="BY60" i="3"/>
  <c r="CF53" i="3"/>
  <c r="BQ76" i="3"/>
  <c r="CE69" i="3"/>
  <c r="AO78" i="3"/>
  <c r="BU72" i="3"/>
  <c r="CG78" i="3"/>
  <c r="AG87" i="3"/>
  <c r="CA80" i="3"/>
  <c r="AL73" i="3"/>
  <c r="AG78" i="3"/>
  <c r="BG78" i="3"/>
  <c r="AF29" i="3"/>
  <c r="BX25" i="3"/>
  <c r="CD8" i="3"/>
  <c r="AX31" i="3"/>
  <c r="CD32" i="3"/>
  <c r="BK21" i="3"/>
  <c r="BI9" i="3"/>
  <c r="AH33" i="3"/>
  <c r="CJ43" i="3"/>
  <c r="CI45" i="3"/>
  <c r="AK41" i="3"/>
  <c r="BD34" i="3"/>
  <c r="BI40" i="3"/>
  <c r="BF31" i="3"/>
  <c r="CB47" i="3"/>
  <c r="AT48" i="3"/>
  <c r="AX42" i="3"/>
  <c r="CJ56" i="3"/>
  <c r="AJ54" i="3"/>
  <c r="CA48" i="3"/>
  <c r="AP56" i="3"/>
  <c r="BO63" i="3"/>
  <c r="BR57" i="3"/>
  <c r="AC63" i="3"/>
  <c r="CH54" i="3"/>
  <c r="AG51" i="3"/>
  <c r="CC58" i="3"/>
  <c r="CD51" i="3"/>
  <c r="AW67" i="3"/>
  <c r="BU61" i="3"/>
  <c r="BB53" i="3"/>
  <c r="BV64" i="3"/>
  <c r="AB55" i="3"/>
  <c r="AV53" i="3"/>
  <c r="AY66" i="3"/>
  <c r="BJ66" i="3"/>
  <c r="CH70" i="3"/>
  <c r="BP65" i="3"/>
  <c r="CK70" i="3"/>
  <c r="BY76" i="3"/>
  <c r="BB76" i="3"/>
  <c r="CB67" i="3"/>
  <c r="CE67" i="3"/>
  <c r="BF65" i="3"/>
  <c r="AJ69" i="3"/>
  <c r="BY77" i="3"/>
  <c r="BA77" i="3"/>
  <c r="AS70" i="3"/>
  <c r="AB70" i="3"/>
  <c r="CD68" i="3"/>
  <c r="BM74" i="3"/>
  <c r="BH78" i="3"/>
  <c r="BV61" i="3"/>
  <c r="BL75" i="3"/>
  <c r="BP80" i="3"/>
  <c r="CM80" i="3"/>
  <c r="AS72" i="3"/>
  <c r="CN75" i="3"/>
  <c r="AJ80" i="3"/>
  <c r="AC85" i="3"/>
  <c r="BZ79" i="3"/>
  <c r="AC87" i="3"/>
  <c r="BA78" i="3"/>
  <c r="AL83" i="3"/>
  <c r="AI85" i="3"/>
  <c r="BS78" i="3"/>
  <c r="AH86" i="3"/>
  <c r="BW77" i="3"/>
  <c r="AP84" i="3"/>
  <c r="CG76" i="3"/>
  <c r="BL67" i="3"/>
  <c r="CI77" i="3"/>
  <c r="AW74" i="3"/>
  <c r="BW80" i="3"/>
  <c r="AQ86" i="3"/>
  <c r="AG86" i="3"/>
  <c r="AK86" i="3"/>
  <c r="BS34" i="3"/>
  <c r="BG45" i="3"/>
  <c r="CL31" i="3"/>
  <c r="BX54" i="3"/>
  <c r="BX51" i="3"/>
  <c r="AD64" i="3"/>
  <c r="AH65" i="3"/>
  <c r="AY70" i="3"/>
  <c r="CF70" i="3"/>
  <c r="AP75" i="3"/>
  <c r="AO87" i="3"/>
  <c r="AE87" i="3"/>
  <c r="AM87" i="3"/>
  <c r="AM78" i="3"/>
  <c r="BB75" i="3"/>
  <c r="AX50" i="3"/>
  <c r="AB12" i="3"/>
  <c r="BW6" i="3"/>
  <c r="AH11" i="3"/>
  <c r="AU31" i="3"/>
  <c r="AU33" i="3"/>
  <c r="BI32" i="3"/>
  <c r="CC21" i="3"/>
  <c r="CC33" i="3"/>
  <c r="BW45" i="3"/>
  <c r="AL48" i="3"/>
  <c r="BY41" i="3"/>
  <c r="AX43" i="3"/>
  <c r="CA42" i="3"/>
  <c r="BV31" i="3"/>
  <c r="AR48" i="3"/>
  <c r="AO49" i="3"/>
  <c r="AC42" i="3"/>
  <c r="BH56" i="3"/>
  <c r="AK54" i="3"/>
  <c r="BG48" i="3"/>
  <c r="AU58" i="3"/>
  <c r="AR63" i="3"/>
  <c r="BB57" i="3"/>
  <c r="CI63" i="3"/>
  <c r="BQ54" i="3"/>
  <c r="BA51" i="3"/>
  <c r="CB58" i="3"/>
  <c r="AF54" i="3"/>
  <c r="CI67" i="3"/>
  <c r="BE61" i="3"/>
  <c r="AB53" i="3"/>
  <c r="BB64" i="3"/>
  <c r="CJ55" i="3"/>
  <c r="AW70" i="3"/>
  <c r="BI76" i="3"/>
  <c r="AC70" i="3"/>
  <c r="CI78" i="3"/>
  <c r="BB55" i="3"/>
  <c r="BT78" i="3"/>
  <c r="BF78" i="3"/>
  <c r="E32" i="4" l="1"/>
  <c r="E14" i="4"/>
  <c r="E23" i="4"/>
  <c r="H23" i="4" l="1"/>
  <c r="I23" i="4"/>
  <c r="F23" i="4"/>
  <c r="F32" i="4"/>
  <c r="F14" i="4"/>
  <c r="G14" i="4" s="1"/>
  <c r="G23" i="4"/>
  <c r="G32" i="4" l="1"/>
  <c r="J23" i="4"/>
  <c r="H14" i="4"/>
  <c r="H32" i="4" l="1"/>
  <c r="K23" i="4"/>
  <c r="I14" i="4"/>
  <c r="J14" i="4" l="1"/>
  <c r="K14" i="4" s="1"/>
  <c r="L14" i="4" s="1"/>
  <c r="M14" i="4" s="1"/>
  <c r="N14" i="4" s="1"/>
  <c r="O14" i="4" s="1"/>
  <c r="P14" i="4" s="1"/>
  <c r="Q14" i="4" s="1"/>
  <c r="R14" i="4" s="1"/>
  <c r="S14" i="4" s="1"/>
  <c r="T14" i="4" s="1"/>
  <c r="U14" i="4" s="1"/>
  <c r="V14" i="4" s="1"/>
  <c r="L23" i="4"/>
  <c r="M23" i="4" s="1"/>
  <c r="N23" i="4" s="1"/>
  <c r="O23" i="4" s="1"/>
  <c r="P23" i="4" s="1"/>
  <c r="Q23" i="4" s="1"/>
  <c r="R23" i="4" s="1"/>
  <c r="S23" i="4" s="1"/>
  <c r="T23" i="4" s="1"/>
  <c r="U23" i="4" s="1"/>
  <c r="V23" i="4" s="1"/>
  <c r="I32" i="4"/>
  <c r="J32" i="4" s="1"/>
  <c r="K32" i="4" s="1"/>
  <c r="L32" i="4" s="1"/>
  <c r="M32" i="4" s="1"/>
  <c r="N32" i="4" s="1"/>
  <c r="O32" i="4" s="1"/>
  <c r="P32" i="4" s="1"/>
  <c r="Q32" i="4" s="1"/>
  <c r="R32" i="4" s="1"/>
  <c r="S32" i="4" s="1"/>
  <c r="T32" i="4" s="1"/>
  <c r="U32" i="4" s="1"/>
  <c r="V32" i="4" l="1"/>
</calcChain>
</file>

<file path=xl/sharedStrings.xml><?xml version="1.0" encoding="utf-8"?>
<sst xmlns="http://schemas.openxmlformats.org/spreadsheetml/2006/main" count="584" uniqueCount="130">
  <si>
    <t>Underlying</t>
  </si>
  <si>
    <t>SX5E Index</t>
  </si>
  <si>
    <t>Sum of Total Vega 1%</t>
  </si>
  <si>
    <t>Maturity</t>
  </si>
  <si>
    <t>Sum of Total Volga</t>
  </si>
  <si>
    <t>Strike</t>
  </si>
  <si>
    <t>Grand Total</t>
  </si>
  <si>
    <t>(blank)</t>
  </si>
  <si>
    <t>Sum of ImpVol  +10%</t>
  </si>
  <si>
    <t>Sum of Total $Delta</t>
  </si>
  <si>
    <t>Sum of Total $Gamma</t>
  </si>
  <si>
    <t>Sum of PnL: Und +10%</t>
  </si>
  <si>
    <t>Value Date</t>
  </si>
  <si>
    <t>Underlying Stress P&amp;L's</t>
  </si>
  <si>
    <t>Volatility Stress P&amp;L's</t>
  </si>
  <si>
    <t>Underlying Price</t>
  </si>
  <si>
    <t>Div. Yield</t>
  </si>
  <si>
    <t>Security Type</t>
  </si>
  <si>
    <t>Currency</t>
  </si>
  <si>
    <t>Position</t>
  </si>
  <si>
    <t>CallPut</t>
  </si>
  <si>
    <t>Imp. Vol</t>
  </si>
  <si>
    <t>Risk-Free Rate</t>
  </si>
  <si>
    <t>Security Price</t>
  </si>
  <si>
    <t>Total Position Value</t>
  </si>
  <si>
    <t>CounterParty</t>
  </si>
  <si>
    <t>Margin</t>
  </si>
  <si>
    <t>$Delta (ESP)</t>
  </si>
  <si>
    <t>$Gamma</t>
  </si>
  <si>
    <t>Vega 1%</t>
  </si>
  <si>
    <t>Volga</t>
  </si>
  <si>
    <t>1 Day Theta</t>
  </si>
  <si>
    <t>Rho (1%)</t>
  </si>
  <si>
    <t>Total $Delta</t>
  </si>
  <si>
    <t>Total $Gamma</t>
  </si>
  <si>
    <t>Total Vega 1%</t>
  </si>
  <si>
    <t>Total Volga</t>
  </si>
  <si>
    <t>Total 1 Day Theta</t>
  </si>
  <si>
    <t>Total Rho (1%)</t>
  </si>
  <si>
    <t>PnL: Und  -20%</t>
  </si>
  <si>
    <t>PnL: Und -10%</t>
  </si>
  <si>
    <t>PnL: Und -5%</t>
  </si>
  <si>
    <t>PnL: Und -2%</t>
  </si>
  <si>
    <t>PnL: Und +2%</t>
  </si>
  <si>
    <t>PnL: Und +5%</t>
  </si>
  <si>
    <t>PnL: Und +10%</t>
  </si>
  <si>
    <t>PnL: Und +20%</t>
  </si>
  <si>
    <t>ImpVol  -10%</t>
  </si>
  <si>
    <t>ImpVol  -5%</t>
  </si>
  <si>
    <t>ImpVol  -2%</t>
  </si>
  <si>
    <t>ImpVol  -1%</t>
  </si>
  <si>
    <t>ImpVol  +1%</t>
  </si>
  <si>
    <t>ImpVol  +2%</t>
  </si>
  <si>
    <t>ImpVol  +5%</t>
  </si>
  <si>
    <t>ImpVol  +10%</t>
  </si>
  <si>
    <t>Und -20%, ImpVol -5%</t>
  </si>
  <si>
    <t>Und -20%, ImpVol -2%</t>
  </si>
  <si>
    <t>Und -20%, ImpVol 0%</t>
  </si>
  <si>
    <t>Und -20%, ImpVol 2%</t>
  </si>
  <si>
    <t>Und -20%, ImpVol 5%</t>
  </si>
  <si>
    <t>Und -20%, ImpVol 10%</t>
  </si>
  <si>
    <t>Und -20%, ImpVol 20%</t>
  </si>
  <si>
    <t>Und -10%, ImpVol -5%</t>
  </si>
  <si>
    <t>Und -10%, ImpVol -2%</t>
  </si>
  <si>
    <t>Und -10%, ImpVol 0%</t>
  </si>
  <si>
    <t>Und -10%, ImpVol 2%</t>
  </si>
  <si>
    <t>Und -10%, ImpVol 5%</t>
  </si>
  <si>
    <t>Und -10%, ImpVol 10%</t>
  </si>
  <si>
    <t>Und -10%, ImpVol 20%</t>
  </si>
  <si>
    <t>Und -5%, ImpVol -5%</t>
  </si>
  <si>
    <t>Und -5%, ImpVol -2%</t>
  </si>
  <si>
    <t>Und -5%, ImpVol 0%</t>
  </si>
  <si>
    <t>Und -5%, ImpVol 2%</t>
  </si>
  <si>
    <t>Und -5%, ImpVol 5%</t>
  </si>
  <si>
    <t>Und -5%, ImpVol 10%</t>
  </si>
  <si>
    <t>Und -5%, ImpVol 20%</t>
  </si>
  <si>
    <t>Und 0%, ImpVol -5%</t>
  </si>
  <si>
    <t>Und 0%, ImpVol -2%</t>
  </si>
  <si>
    <t>Und 0%, ImpVol 0%</t>
  </si>
  <si>
    <t>Und 0%, ImpVol 2%</t>
  </si>
  <si>
    <t>Und 0%, ImpVol 5%</t>
  </si>
  <si>
    <t>Und 0%, ImpVol 10%</t>
  </si>
  <si>
    <t>Und 0%, ImpVol 20%</t>
  </si>
  <si>
    <t>Und 5%, ImpVol -5%</t>
  </si>
  <si>
    <t>Und 5%, ImpVol -2%</t>
  </si>
  <si>
    <t>Und 5%, ImpVol 0%</t>
  </si>
  <si>
    <t>Und 5%, ImpVol 2%</t>
  </si>
  <si>
    <t>Und 5%, ImpVol 5%</t>
  </si>
  <si>
    <t>Und 5%, ImpVol 10%</t>
  </si>
  <si>
    <t>Und 5%, ImpVol 20%</t>
  </si>
  <si>
    <t>Und 10%, ImpVol -5%</t>
  </si>
  <si>
    <t>Und 10%, ImpVol -2%</t>
  </si>
  <si>
    <t>Und 10%, ImpVol 0%</t>
  </si>
  <si>
    <t>Und 10%, ImpVol 2%</t>
  </si>
  <si>
    <t>Und 10%, ImpVol 5%</t>
  </si>
  <si>
    <t>Und 10%, ImpVol 10%</t>
  </si>
  <si>
    <t>Und 10%, ImpVol 20%</t>
  </si>
  <si>
    <t>Und 20%, ImpVol -5%</t>
  </si>
  <si>
    <t>Und 20%, ImpVol -2%</t>
  </si>
  <si>
    <t>Und 20%, ImpVol 0%</t>
  </si>
  <si>
    <t>Und 20%, ImpVol 2%</t>
  </si>
  <si>
    <t>Und 20%, ImpVol 5%</t>
  </si>
  <si>
    <t>Und 20%, ImpVol 10%</t>
  </si>
  <si>
    <t>Und 20%, ImpVol 20%</t>
  </si>
  <si>
    <t>SPX Index</t>
  </si>
  <si>
    <t>Future</t>
  </si>
  <si>
    <t>USD</t>
  </si>
  <si>
    <t>Exch</t>
  </si>
  <si>
    <t>Option</t>
  </si>
  <si>
    <t>Put</t>
  </si>
  <si>
    <t>GoldMine Sacks</t>
  </si>
  <si>
    <t>Call</t>
  </si>
  <si>
    <t>JP Horgan</t>
  </si>
  <si>
    <t>Darklays Capital</t>
  </si>
  <si>
    <t>EUR</t>
  </si>
  <si>
    <t>UBS</t>
  </si>
  <si>
    <t>NKY Index</t>
  </si>
  <si>
    <t>JPY</t>
  </si>
  <si>
    <t>Risk-Free Curves</t>
  </si>
  <si>
    <t>Exchange Rates</t>
  </si>
  <si>
    <t>Price</t>
  </si>
  <si>
    <t>Div Yield</t>
  </si>
  <si>
    <t>USD/EUR</t>
  </si>
  <si>
    <t>USD/JPY</t>
  </si>
  <si>
    <t>SPX Implied Volatility Surface</t>
  </si>
  <si>
    <t>SX5E Implied Volatility Surface</t>
  </si>
  <si>
    <t>NKY Implied Volatility Surface</t>
  </si>
  <si>
    <t>Row Labels</t>
  </si>
  <si>
    <t>Sum of Und -20%, ImpVol -5%</t>
  </si>
  <si>
    <t>Sum of Und -20%, ImpVol 20%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</si>
</sst>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409]d\-mmm\-yy;@"/>
    <numFmt numFmtId="165" formatCode="0.0%"/>
    <numFmt numFmtId="166" formatCode="0.0000"/>
    <numFmt numFmtId="167" formatCode="0.0"/>
    <numFmt numFmtId="168" formatCode="_(* #,##0_);_(* \(#,##0\);_(* &quot;-&quot;??_);_(@_)"/>
    <numFmt numFmtId="169" formatCode="0_);[Red]\(0\)"/>
  </numFmts>
  <fonts count="7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43" fontId="1" fillId="0" borderId="0"/>
  </cellStyleXfs>
  <cellXfs count="102">
    <xf numFmtId="0" fontId="0" fillId="0" borderId="0" xfId="0"/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2" xfId="0" applyNumberFormat="1" applyBorder="1" applyAlignment="1">
      <alignment horizontal="center"/>
    </xf>
    <xf numFmtId="0" fontId="2" fillId="2" borderId="3" xfId="0" applyFont="1" applyFill="1" applyBorder="1"/>
    <xf numFmtId="164" fontId="0" fillId="0" borderId="4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0" fontId="0" fillId="0" borderId="4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0" fontId="2" fillId="2" borderId="2" xfId="0" applyFont="1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10" fontId="0" fillId="0" borderId="0" xfId="0" applyNumberFormat="1"/>
    <xf numFmtId="10" fontId="4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2" xfId="0" applyBorder="1"/>
    <xf numFmtId="0" fontId="2" fillId="2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" xfId="0" applyFont="1" applyFill="1" applyBorder="1"/>
    <xf numFmtId="0" fontId="2" fillId="2" borderId="5" xfId="0" applyFont="1" applyFill="1" applyBorder="1"/>
    <xf numFmtId="164" fontId="3" fillId="0" borderId="4" xfId="0" applyNumberFormat="1" applyFont="1" applyBorder="1" applyAlignment="1">
      <alignment horizontal="left"/>
    </xf>
    <xf numFmtId="164" fontId="3" fillId="0" borderId="1" xfId="0" applyNumberFormat="1" applyFont="1" applyBorder="1" applyAlignment="1">
      <alignment horizontal="left"/>
    </xf>
    <xf numFmtId="164" fontId="3" fillId="0" borderId="5" xfId="0" applyNumberFormat="1" applyFont="1" applyBorder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5" fontId="0" fillId="0" borderId="0" xfId="0" applyNumberFormat="1"/>
    <xf numFmtId="165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0" fillId="0" borderId="0" xfId="0" applyNumberFormat="1"/>
    <xf numFmtId="167" fontId="0" fillId="0" borderId="0" xfId="0" applyNumberFormat="1"/>
    <xf numFmtId="167" fontId="4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1" applyNumberFormat="1" applyFont="1"/>
    <xf numFmtId="1" fontId="0" fillId="0" borderId="0" xfId="0" applyNumberFormat="1" applyAlignment="1">
      <alignment horizontal="center"/>
    </xf>
    <xf numFmtId="1" fontId="4" fillId="0" borderId="0" xfId="0" applyNumberFormat="1" applyFont="1" applyAlignment="1">
      <alignment horizontal="center"/>
    </xf>
    <xf numFmtId="167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168" fontId="4" fillId="0" borderId="0" xfId="1" applyNumberFormat="1" applyFont="1" applyAlignment="1">
      <alignment horizontal="center"/>
    </xf>
    <xf numFmtId="168" fontId="0" fillId="0" borderId="0" xfId="1" applyNumberFormat="1" applyFont="1" applyAlignment="1">
      <alignment horizontal="center"/>
    </xf>
    <xf numFmtId="0" fontId="0" fillId="0" borderId="16" xfId="0" pivotButton="1" applyBorder="1"/>
    <xf numFmtId="0" fontId="0" fillId="0" borderId="17" xfId="0" applyBorder="1"/>
    <xf numFmtId="0" fontId="0" fillId="0" borderId="18" xfId="0" applyBorder="1"/>
    <xf numFmtId="164" fontId="0" fillId="0" borderId="16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0" fontId="0" fillId="0" borderId="21" xfId="0" pivotButton="1" applyBorder="1"/>
    <xf numFmtId="0" fontId="0" fillId="0" borderId="21" xfId="0" applyBorder="1"/>
    <xf numFmtId="0" fontId="0" fillId="0" borderId="16" xfId="0" applyBorder="1" applyAlignment="1">
      <alignment horizontal="center"/>
    </xf>
    <xf numFmtId="0" fontId="0" fillId="0" borderId="22" xfId="0" applyBorder="1" applyAlignment="1">
      <alignment horizontal="center"/>
    </xf>
    <xf numFmtId="169" fontId="0" fillId="0" borderId="22" xfId="0" applyNumberFormat="1" applyBorder="1" applyAlignment="1">
      <alignment horizontal="center"/>
    </xf>
    <xf numFmtId="169" fontId="0" fillId="0" borderId="23" xfId="0" applyNumberFormat="1" applyBorder="1" applyAlignment="1">
      <alignment horizontal="center"/>
    </xf>
    <xf numFmtId="1" fontId="0" fillId="0" borderId="0" xfId="1" applyNumberFormat="1" applyFont="1" applyAlignment="1">
      <alignment horizontal="center"/>
    </xf>
    <xf numFmtId="1" fontId="4" fillId="0" borderId="0" xfId="1" applyNumberFormat="1" applyFont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9" xfId="0" applyNumberFormat="1" applyBorder="1" applyAlignment="1">
      <alignment horizontal="center"/>
    </xf>
    <xf numFmtId="38" fontId="0" fillId="0" borderId="20" xfId="0" applyNumberFormat="1" applyBorder="1" applyAlignment="1">
      <alignment horizontal="center"/>
    </xf>
    <xf numFmtId="38" fontId="0" fillId="0" borderId="22" xfId="0" applyNumberFormat="1" applyBorder="1" applyAlignment="1">
      <alignment horizontal="center"/>
    </xf>
    <xf numFmtId="38" fontId="0" fillId="0" borderId="0" xfId="0" applyNumberFormat="1" applyAlignment="1">
      <alignment horizontal="center"/>
    </xf>
    <xf numFmtId="38" fontId="0" fillId="0" borderId="24" xfId="0" applyNumberFormat="1" applyBorder="1" applyAlignment="1">
      <alignment horizontal="center"/>
    </xf>
    <xf numFmtId="38" fontId="0" fillId="0" borderId="23" xfId="0" applyNumberFormat="1" applyBorder="1" applyAlignment="1">
      <alignment horizontal="center"/>
    </xf>
    <xf numFmtId="38" fontId="0" fillId="0" borderId="25" xfId="0" applyNumberFormat="1" applyBorder="1" applyAlignment="1">
      <alignment horizontal="center"/>
    </xf>
    <xf numFmtId="38" fontId="0" fillId="0" borderId="21" xfId="0" applyNumberForma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20" xfId="0" applyBorder="1"/>
    <xf numFmtId="0" fontId="0" fillId="0" borderId="23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0" xfId="0" applyBorder="1"/>
    <xf numFmtId="0" fontId="0" fillId="0" borderId="9" xfId="0" applyBorder="1"/>
    <xf numFmtId="0" fontId="2" fillId="4" borderId="2" xfId="0" applyFont="1" applyFill="1" applyBorder="1" applyAlignment="1">
      <alignment horizontal="center"/>
    </xf>
    <xf numFmtId="0" fontId="0" fillId="0" borderId="0" xfId="0" pivotButton="1"/>
    <xf numFmtId="43" fontId="1" fillId="0" borderId="0" xfId="0" applyNumberFormat="1" applyFont="1" applyFill="1" applyBorder="1" applyAlignment="1" applyProtection="1"/>
  </cellXfs>
  <cellStyles count="2">
    <cellStyle name="Comma" xfId="1" builtinId="3"/>
    <cellStyle name="Normal" xfId="0" builtinId="0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alignment horizontal="center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6.619916550917" createdVersion="1" refreshedVersion="2" recordCount="83" upgradeOnRefresh="1" xr:uid="{00000000-000A-0000-FFFF-FFFF01000000}">
  <cacheSource type="worksheet">
    <worksheetSource ref="A4:AQ87" sheet="OptionsData"/>
  </cacheSource>
  <cacheFields count="39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904116330055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256625566870241" maxValue="10012.394469141231"/>
    </cacheField>
    <cacheField name="Total Position Value" numFmtId="0">
      <sharedItems containsSemiMixedTypes="0" containsString="0" containsNumber="1" minValue="-100123.9446914123" maxValue="57855.382159419933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85.7541936227444" maxValue="10012.394469141231"/>
    </cacheField>
    <cacheField name="Vega 1%" numFmtId="0">
      <sharedItems containsSemiMixedTypes="0" containsString="0" containsNumber="1" minValue="0" maxValue="32.039990192261918"/>
    </cacheField>
    <cacheField name="1 Day Theta" numFmtId="0">
      <sharedItems containsSemiMixedTypes="0" containsString="0" containsNumber="1" minValue="-5.0923749136733996" maxValue="0.1743586859598957"/>
    </cacheField>
    <cacheField name="Rho (1%)" numFmtId="0">
      <sharedItems containsSemiMixedTypes="0" containsString="0" containsNumber="1" minValue="-36.302580606706712" maxValue="19.201852406572218"/>
    </cacheField>
    <cacheField name="Total $Delta" numFmtId="0">
      <sharedItems containsSemiMixedTypes="0" containsString="0" containsNumber="1" minValue="-134107.78308322391" maxValue="113104.34876864019"/>
    </cacheField>
    <cacheField name="Total Vega 1%" numFmtId="0">
      <sharedItems containsSemiMixedTypes="0" containsString="0" containsNumber="1" minValue="-657.67266242059634" maxValue="629.20453210359642"/>
    </cacheField>
    <cacheField name="Total 1 Day Theta" numFmtId="0">
      <sharedItems containsSemiMixedTypes="0" containsString="0" containsNumber="1" minValue="-239.8467454981656" maxValue="127.309372841835"/>
    </cacheField>
    <cacheField name="Total Rho (1%)" numFmtId="0">
      <sharedItems containsSemiMixedTypes="0" containsString="0" containsNumber="1" minValue="-275.17021378991751" maxValue="603.83238463517228"/>
    </cacheField>
    <cacheField name="PnL: Und  -20%" numFmtId="0">
      <sharedItems containsSemiMixedTypes="0" containsString="0" containsNumber="1" minValue="-31237.503885901559" maxValue="36750.156182566978"/>
    </cacheField>
    <cacheField name="PnL: Und -10%" numFmtId="0">
      <sharedItems containsSemiMixedTypes="0" containsString="0" containsNumber="1" minValue="-13457.146615885131" maxValue="13974.435629786491"/>
    </cacheField>
    <cacheField name="PnL: Und -5%" numFmtId="0">
      <sharedItems containsSemiMixedTypes="0" containsString="0" containsNumber="1" minValue="-6184.2591712352032" maxValue="6045.0485564171004"/>
    </cacheField>
    <cacheField name="PnL: Und -2%" numFmtId="0">
      <sharedItems containsSemiMixedTypes="0" containsString="0" containsNumber="1" minValue="-2345.70922957837" maxValue="2570.3665538682121"/>
    </cacheField>
    <cacheField name="PnL: Und +2%" numFmtId="0">
      <sharedItems containsSemiMixedTypes="0" containsString="0" containsNumber="1" minValue="-2791.7355410403839" maxValue="2180.118778526798"/>
    </cacheField>
    <cacheField name="PnL: Und +5%" numFmtId="0">
      <sharedItems containsSemiMixedTypes="0" containsString="0" containsNumber="1" minValue="-7376.8820215087089" maxValue="5151.8076342555214"/>
    </cacheField>
    <cacheField name="PnL: Und +10%" numFmtId="0">
      <sharedItems containsSemiMixedTypes="0" containsString="0" containsNumber="1" minValue="-15989.753425303979" maxValue="9362.8162294449103"/>
    </cacheField>
    <cacheField name="PnL: Und +20%" numFmtId="0">
      <sharedItems containsSemiMixedTypes="0" containsString="0" containsNumber="1" minValue="-36128.760285882163" maxValue="15420.263896515709"/>
    </cacheField>
    <cacheField name="ImpVol  -10%" numFmtId="0">
      <sharedItems containsSemiMixedTypes="0" containsString="0" containsNumber="1" minValue="-5962.7040399010066" maxValue="6588.5861275945899"/>
    </cacheField>
    <cacheField name="ImpVol  -5%" numFmtId="0">
      <sharedItems containsSemiMixedTypes="0" containsString="0" containsNumber="1" minValue="-3070.8435042176229" maxValue="3291.4777495931048"/>
    </cacheField>
    <cacheField name="ImpVol  -2%" numFmtId="0">
      <sharedItems containsSemiMixedTypes="0" containsString="0" containsNumber="1" minValue="-1246.987743154375" maxValue="1315.857961555093"/>
    </cacheField>
    <cacheField name="ImpVol  -1%" numFmtId="0">
      <sharedItems containsSemiMixedTypes="0" containsString="0" containsNumber="1" minValue="-626.39687468617922" maxValue="657.80201412162569"/>
    </cacheField>
    <cacheField name="ImpVol  +1%" numFmtId="0">
      <sharedItems containsSemiMixedTypes="0" containsString="0" containsNumber="1" minValue="-657.54092780020983" maxValue="631.92091319729116"/>
    </cacheField>
    <cacheField name="ImpVol  +2%" numFmtId="0">
      <sharedItems containsSemiMixedTypes="0" containsString="0" containsNumber="1" minValue="-1314.8136248656101" maxValue="1269.0997550915879"/>
    </cacheField>
    <cacheField name="ImpVol  +5%" numFmtId="0">
      <sharedItems containsSemiMixedTypes="0" containsString="0" containsNumber="1" minValue="-3284.9510213465242" maxValue="3209.7397593357068"/>
    </cacheField>
    <cacheField name="ImpVol  +10%" numFmtId="0">
      <sharedItems containsSemiMixedTypes="0" containsString="0" containsNumber="1" minValue="-6562.4845859950256" maxValue="6528.36980391239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7.466939467588" createdVersion="1" refreshedVersion="2" recordCount="83" upgradeOnRefresh="1" xr:uid="{00000000-000A-0000-FFFF-FFFF00000000}">
  <cacheSource type="worksheet">
    <worksheetSource ref="A4:AQ87" sheet="OptionsData"/>
  </cacheSource>
  <cacheFields count="4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131582783977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04099219227373" maxValue="10012.531626169281"/>
    </cacheField>
    <cacheField name="Total Position Value" numFmtId="0">
      <sharedItems containsSemiMixedTypes="0" containsString="0" containsNumber="1" minValue="-100125.3162616928" maxValue="57858.869438234142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93.0221815865634" maxValue="10012.531626169281"/>
    </cacheField>
    <cacheField name="$Gamma" numFmtId="0">
      <sharedItems containsSemiMixedTypes="0" containsString="0" containsNumber="1" minValue="0" maxValue="11513.478770022781"/>
    </cacheField>
    <cacheField name="Vega 1%" numFmtId="0">
      <sharedItems containsSemiMixedTypes="0" containsString="0" containsNumber="1" minValue="0" maxValue="31.977520833701139"/>
    </cacheField>
    <cacheField name="Volga" numFmtId="0">
      <sharedItems containsSemiMixedTypes="0" containsString="0" containsNumber="1" minValue="-103.4693419161656" maxValue="2804.952211521696"/>
    </cacheField>
    <cacheField name="1 Day Theta" numFmtId="0">
      <sharedItems containsSemiMixedTypes="0" containsString="0" containsNumber="1" minValue="-5.1296505516118103" maxValue="0.174369195567281"/>
    </cacheField>
    <cacheField name="Rho (1%)" numFmtId="0">
      <sharedItems containsSemiMixedTypes="0" containsString="0" containsNumber="1" minValue="-36.098111112936088" maxValue="18.927799512484381"/>
    </cacheField>
    <cacheField name="Total $Delta" numFmtId="0">
      <sharedItems containsSemiMixedTypes="0" containsString="0" containsNumber="1" minValue="-134045.6107212088" maxValue="113142.721051627"/>
    </cacheField>
    <cacheField name="Total $Gamma" numFmtId="0">
      <sharedItems containsSemiMixedTypes="0" containsString="0" containsNumber="1" minValue="-278982.45649850502" maxValue="308287.9515847544"/>
    </cacheField>
    <cacheField name="Total Vega 1%" numFmtId="0">
      <sharedItems containsSemiMixedTypes="0" containsString="0" containsNumber="1" minValue="-655.66510068403511" maxValue="622.58300966931768"/>
    </cacheField>
    <cacheField name="Total Volga" numFmtId="0">
      <sharedItems containsSemiMixedTypes="0" containsString="0" containsNumber="1" minValue="-56099.044230433909" maxValue="55483.842031609936"/>
    </cacheField>
    <cacheField name="Total 1 Day Theta" numFmtId="0">
      <sharedItems containsSemiMixedTypes="0" containsString="0" containsNumber="1" minValue="-240.76624631388171" maxValue="128.24126379029519"/>
    </cacheField>
    <cacheField name="Total Rho (1%)" numFmtId="0">
      <sharedItems containsSemiMixedTypes="0" containsString="0" containsNumber="1" minValue="-273.45406255451331" maxValue="599.92867784317502"/>
    </cacheField>
    <cacheField name="PnL: Und  -20%" numFmtId="0">
      <sharedItems containsSemiMixedTypes="0" containsString="0" containsNumber="1" minValue="-31269.021454202339" maxValue="36726.012708546587"/>
    </cacheField>
    <cacheField name="PnL: Und -10%" numFmtId="0">
      <sharedItems containsSemiMixedTypes="0" containsString="0" containsNumber="1" minValue="-13467.594060479811" maxValue="13932.814786153949"/>
    </cacheField>
    <cacheField name="PnL: Und -5%" numFmtId="0">
      <sharedItems containsSemiMixedTypes="0" containsString="0" containsNumber="1" minValue="-6187.8466373131232" maxValue="6018.888733187373"/>
    </cacheField>
    <cacheField name="PnL: Und -2%" numFmtId="0">
      <sharedItems containsSemiMixedTypes="0" containsString="0" containsNumber="1" minValue="-2346.7421483176622" maxValue="2568.3096490479561"/>
    </cacheField>
    <cacheField name="PnL: Und +2%" numFmtId="0">
      <sharedItems containsSemiMixedTypes="0" containsString="0" containsNumber="1" minValue="-2791.2895414411419" maxValue="2180.625990222597"/>
    </cacheField>
    <cacheField name="PnL: Und +5%" numFmtId="0">
      <sharedItems containsSemiMixedTypes="0" containsString="0" containsNumber="1" minValue="-7378.6101982943592" maxValue="5152.1371110918381"/>
    </cacheField>
    <cacheField name="PnL: Und +10%" numFmtId="0">
      <sharedItems containsSemiMixedTypes="0" containsString="0" containsNumber="1" minValue="-16001.487163913571" maxValue="9360.6218596743474"/>
    </cacheField>
    <cacheField name="PnL: Und +20%" numFmtId="0">
      <sharedItems containsSemiMixedTypes="0" containsString="0" containsNumber="1" minValue="-36173.839296771803" maxValue="15407.09597407422"/>
    </cacheField>
    <cacheField name="ImpVol  -10%" numFmtId="0">
      <sharedItems containsSemiMixedTypes="0" containsString="0" containsNumber="1" minValue="-5895.2123309166382" maxValue="6568.400786613347"/>
    </cacheField>
    <cacheField name="ImpVol  -5%" numFmtId="0">
      <sharedItems containsSemiMixedTypes="0" containsString="0" containsNumber="1" minValue="-3037.4132350963118" maxValue="3281.4111367778878"/>
    </cacheField>
    <cacheField name="ImpVol  -2%" numFmtId="0">
      <sharedItems containsSemiMixedTypes="0" containsString="0" containsNumber="1" minValue="-1233.6931754748091" maxValue="1311.838098070848"/>
    </cacheField>
    <cacheField name="ImpVol  -1%" numFmtId="0">
      <sharedItems containsSemiMixedTypes="0" containsString="0" containsNumber="1" minValue="-619.76249272919404" maxValue="655.79325645749122"/>
    </cacheField>
    <cacheField name="ImpVol  +1%" numFmtId="0">
      <sharedItems containsSemiMixedTypes="0" containsString="0" containsNumber="1" minValue="-655.53458380804841" maxValue="625.31219313314068"/>
    </cacheField>
    <cacheField name="ImpVol  +2%" numFmtId="0">
      <sharedItems containsSemiMixedTypes="0" containsString="0" containsNumber="1" minValue="-1310.8034159369711" maxValue="1255.9077804075971"/>
    </cacheField>
    <cacheField name="ImpVol  +5%" numFmtId="0">
      <sharedItems containsSemiMixedTypes="0" containsString="0" containsNumber="1" minValue="-3274.9447437249269" maxValue="3176.9482419486621"/>
    </cacheField>
    <cacheField name="ImpVol  +10%" numFmtId="0">
      <sharedItems containsSemiMixedTypes="0" containsString="0" containsNumber="1" minValue="-6542.5405032422077" maxValue="6463.3940426435856"/>
    </cacheField>
    <cacheField name="Total Delta" numFmtId="0" formula="'$Delta (ESP)'*Posit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shihiro Shirai" refreshedDate="45602.986735995371" createdVersion="8" refreshedVersion="8" minRefreshableVersion="3" recordCount="83" xr:uid="{6F02B8E5-7C46-47C3-8E7B-858608522FB0}">
  <cacheSource type="worksheet">
    <worksheetSource ref="A4:CN87" sheet="OptionsData"/>
  </cacheSource>
  <cacheFields count="92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/>
    </cacheField>
    <cacheField name="Div. Yield" numFmtId="165">
      <sharedItems containsSemiMixedTypes="0" containsString="0" containsNumber="1" minValue="5.0000000000000001E-3" maxValue="2.1999999999999999E-2"/>
    </cacheField>
    <cacheField name="Security Type" numFmtId="0">
      <sharedItems/>
    </cacheField>
    <cacheField name="Currency" numFmtId="0">
      <sharedItems/>
    </cacheField>
    <cacheField name="Position" numFmtId="0">
      <sharedItems containsSemiMixedTypes="0" containsString="0" containsNumber="1" containsInteger="1" minValue="-50" maxValue="200"/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/>
    </cacheField>
    <cacheField name="Maturity" numFmtId="164">
      <sharedItems containsSemiMixedTypes="0" containsNonDate="0" containsDate="1" containsString="0" minDate="2010-03-19T00:00:00" maxDate="2010-09-18T00:00:00"/>
    </cacheField>
    <cacheField name="Imp. Vol" numFmtId="165">
      <sharedItems containsString="0" containsBlank="1" containsNumber="1" minValue="0" maxValue="0.5752835905302579"/>
    </cacheField>
    <cacheField name="Risk-Free Rate" numFmtId="10">
      <sharedItems containsString="0" containsBlank="1" containsNumber="1" minValue="5.0000000000000001E-3" maxValue="2.5000000000000001E-2"/>
    </cacheField>
    <cacheField name="Security Price" numFmtId="2">
      <sharedItems containsSemiMixedTypes="0" containsString="0" containsNumber="1" minValue="26.825157221083771" maxValue="10012.668785076199"/>
    </cacheField>
    <cacheField name="Total Position Value" numFmtId="2">
      <sharedItems containsSemiMixedTypes="0" containsString="0" containsNumber="1" minValue="-100126.68785076198" maxValue="57862.356927246838"/>
    </cacheField>
    <cacheField name="CounterParty" numFmtId="0">
      <sharedItems/>
    </cacheField>
    <cacheField name="Margin" numFmtId="0">
      <sharedItems containsNonDate="0" containsString="0" containsBlank="1"/>
    </cacheField>
    <cacheField name="$Delta (ESP)" numFmtId="1">
      <sharedItems containsSemiMixedTypes="0" containsString="0" containsNumber="1" minValue="-6600.3442889134849" maxValue="10012.668785076199"/>
    </cacheField>
    <cacheField name="$Gamma" numFmtId="1">
      <sharedItems containsSemiMixedTypes="0" containsString="0" containsNumber="1" minValue="0" maxValue="11596.114854726689"/>
    </cacheField>
    <cacheField name="Vega 1%" numFmtId="167">
      <sharedItems containsSemiMixedTypes="0" containsString="0" containsNumber="1" minValue="0" maxValue="31.914914212018527"/>
    </cacheField>
    <cacheField name="Volga" numFmtId="167">
      <sharedItems containsSemiMixedTypes="0" containsString="0" containsNumber="1" minValue="-102.50678772842016" maxValue="2811.2702220085002"/>
    </cacheField>
    <cacheField name="1 Day Theta" numFmtId="167">
      <sharedItems containsSemiMixedTypes="0" containsString="0" containsNumber="1" minValue="-5.1677417728495127" maxValue="0.17437970580814116"/>
    </cacheField>
    <cacheField name="Rho (1%)" numFmtId="2">
      <sharedItems containsSemiMixedTypes="0" containsString="0" containsNumber="1" minValue="-35.893589172409321" maxValue="18.653739106443332"/>
    </cacheField>
    <cacheField name="Total $Delta" numFmtId="168">
      <sharedItems containsSemiMixedTypes="0" containsString="0" containsNumber="1" minValue="-133982.96737056493" maxValue="113181.21125826042"/>
    </cacheField>
    <cacheField name="Total $Gamma" numFmtId="168">
      <sharedItems containsSemiMixedTypes="0" containsString="0" containsNumber="1" minValue="-281046.33999299776" maxValue="309465.24136194499"/>
    </cacheField>
    <cacheField name="Total Vega 1%" numFmtId="1">
      <sharedItems containsSemiMixedTypes="0" containsString="0" containsNumber="1" minValue="-653.65090008513903" maxValue="615.90313018379265"/>
    </cacheField>
    <cacheField name="Total Volga" numFmtId="1">
      <sharedItems containsSemiMixedTypes="0" containsString="0" containsNumber="1" minValue="-56225.404440170008" maxValue="55741.120530211148"/>
    </cacheField>
    <cacheField name="Total 1 Day Theta" numFmtId="1">
      <sharedItems containsSemiMixedTypes="0" containsString="0" containsNumber="1" minValue="-241.68978737601896" maxValue="129.19354432123782"/>
    </cacheField>
    <cacheField name="Total Rho (1%)" numFmtId="1">
      <sharedItems containsSemiMixedTypes="0" containsString="0" containsNumber="1" minValue="-271.73730968219348" maxValue="596.02637249932855"/>
    </cacheField>
    <cacheField name="PnL: Und  -20%" numFmtId="1">
      <sharedItems containsSemiMixedTypes="0" containsString="0" containsNumber="1" minValue="-31300.755347593484" maxValue="36700.960894180069"/>
    </cacheField>
    <cacheField name="PnL: Und -10%" numFmtId="1">
      <sharedItems containsSemiMixedTypes="0" containsString="0" containsNumber="1" minValue="-13478.113184232392" maxValue="13890.151227804427"/>
    </cacheField>
    <cacheField name="PnL: Und -5%" numFmtId="1">
      <sharedItems containsSemiMixedTypes="0" containsString="0" containsNumber="1" minValue="-6191.4555031509508" maxValue="5992.1227831198621"/>
    </cacheField>
    <cacheField name="PnL: Und -2%" numFmtId="1">
      <sharedItems containsSemiMixedTypes="0" containsString="0" containsNumber="1" minValue="-2347.779908069856" maxValue="2566.2255426096635"/>
    </cacheField>
    <cacheField name="PnL: Und +2%" numFmtId="1">
      <sharedItems containsSemiMixedTypes="0" containsString="0" containsNumber="1" minValue="-2790.8515554282531" maxValue="2181.1331267288551"/>
    </cacheField>
    <cacheField name="PnL: Und +5%" numFmtId="1">
      <sharedItems containsSemiMixedTypes="0" containsString="0" containsNumber="1" minValue="-7380.4194527066102" maxValue="5152.4577101122759"/>
    </cacheField>
    <cacheField name="PnL: Und +10%" numFmtId="1">
      <sharedItems containsSemiMixedTypes="0" containsString="0" containsNumber="1" minValue="-16013.54852137074" maxValue="9358.3843102093506"/>
    </cacheField>
    <cacheField name="PnL: Und +20%" numFmtId="1">
      <sharedItems containsSemiMixedTypes="0" containsString="0" containsNumber="1" minValue="-36219.881136419601" maxValue="15393.774765995113"/>
    </cacheField>
    <cacheField name="ImpVol  -10%" numFmtId="1">
      <sharedItems containsSemiMixedTypes="0" containsString="0" containsNumber="1" minValue="-5827.1398621008302" maxValue="6548.1493900799251"/>
    </cacheField>
    <cacheField name="ImpVol  -5%" numFmtId="1">
      <sharedItems containsSemiMixedTypes="0" containsString="0" containsNumber="1" minValue="-3003.691001636264" maxValue="3271.311416923345"/>
    </cacheField>
    <cacheField name="ImpVol  -2%" numFmtId="1">
      <sharedItems containsSemiMixedTypes="0" containsString="0" containsNumber="1" minValue="-1220.281804027627" maxValue="1307.8049712054508"/>
    </cacheField>
    <cacheField name="ImpVol  -1%" numFmtId="1">
      <sharedItems containsSemiMixedTypes="0" containsString="0" containsNumber="1" minValue="-613.06972698765776" maxValue="653.7778635484301"/>
    </cacheField>
    <cacheField name="ImpVol  +1%" numFmtId="1">
      <sharedItems containsSemiMixedTypes="0" containsString="0" containsNumber="1" minValue="-653.52159727353865" maxValue="618.6451504045408"/>
    </cacheField>
    <cacheField name="ImpVol  +2%" numFmtId="1">
      <sharedItems containsSemiMixedTypes="0" containsString="0" containsNumber="1" minValue="-1306.7799144389937" maxValue="1242.5992427091614"/>
    </cacheField>
    <cacheField name="ImpVol  +5%" numFmtId="1">
      <sharedItems containsSemiMixedTypes="0" containsString="0" containsNumber="1" minValue="-3264.9051766899447" maxValue="3143.8660996588396"/>
    </cacheField>
    <cacheField name="ImpVol  +10%" numFmtId="1">
      <sharedItems containsSemiMixedTypes="0" containsString="0" containsNumber="1" minValue="-6522.5296362000563" maxValue="6397.8403888588218"/>
    </cacheField>
    <cacheField name="Und -20%, ImpVol -5%" numFmtId="0">
      <sharedItems containsString="0" containsBlank="1" containsNumber="1" minValue="-29545.780513256886" maxValue="33300.310809056238"/>
    </cacheField>
    <cacheField name="Und -20%, ImpVol -2%" numFmtId="0">
      <sharedItems containsString="0" containsBlank="1" containsNumber="1" minValue="-30567.335996819609" maxValue="35338.154830890518"/>
    </cacheField>
    <cacheField name="Und -20%, ImpVol 0%" numFmtId="0">
      <sharedItems containsString="0" containsBlank="1" containsNumber="1" minValue="-31300.755347593484" maxValue="36700.960894180069"/>
    </cacheField>
    <cacheField name="Und -20%, ImpVol 2%" numFmtId="0">
      <sharedItems containsString="0" containsBlank="1" containsNumber="1" minValue="-32070.493874181102" maxValue="38066.629314117337"/>
    </cacheField>
    <cacheField name="Und -20%, ImpVol 5%" numFmtId="0">
      <sharedItems containsString="0" containsBlank="1" containsNumber="1" minValue="-33284.235028470561" maxValue="40119.657639372461"/>
    </cacheField>
    <cacheField name="Und -20%, ImpVol 10%" numFmtId="0">
      <sharedItems containsString="0" containsBlank="1" containsNumber="1" minValue="-35436.628496588834" maxValue="43550.788181105687"/>
    </cacheField>
    <cacheField name="Und -20%, ImpVol 20%" numFmtId="0">
      <sharedItems containsString="0" containsBlank="1" containsNumber="1" minValue="-40087.684032638754" maxValue="50434.863270506183"/>
    </cacheField>
    <cacheField name="Und -10%, ImpVol -5%" numFmtId="0">
      <sharedItems containsString="0" containsBlank="1" containsNumber="1" minValue="-11831.657262796398" maxValue="12187.565257108519"/>
    </cacheField>
    <cacheField name="Und -10%, ImpVol -2%" numFmtId="0">
      <sharedItems containsString="0" containsBlank="1" containsNumber="1" minValue="-12515.91504212689" maxValue="12438.780793895308"/>
    </cacheField>
    <cacheField name="Und -10%, ImpVol 0%" numFmtId="0">
      <sharedItems containsString="0" containsBlank="1" containsNumber="1" minValue="-13478.113184232392" maxValue="13890.151227804427"/>
    </cacheField>
    <cacheField name="Und -10%, ImpVol 2%" numFmtId="0">
      <sharedItems containsString="0" containsBlank="1" containsNumber="1" minValue="-14607.584315769054" maxValue="15344.142726238009"/>
    </cacheField>
    <cacheField name="Und -10%, ImpVol 5%" numFmtId="0">
      <sharedItems containsString="0" containsBlank="1" containsNumber="1" minValue="-16319.359670311633" maxValue="17529.241746233605"/>
    </cacheField>
    <cacheField name="Und -10%, ImpVol 10%" numFmtId="0">
      <sharedItems containsString="0" containsBlank="1" containsNumber="1" minValue="-19207.943971692977" maxValue="21179.504919453644"/>
    </cacheField>
    <cacheField name="Und -10%, ImpVol 20%" numFmtId="0">
      <sharedItems containsString="0" containsBlank="1" containsNumber="1" minValue="-25067.754577100277" maxValue="28498.723318115866"/>
    </cacheField>
    <cacheField name="Und -5%, ImpVol -5%" numFmtId="0">
      <sharedItems containsString="0" containsBlank="1" containsNumber="1" minValue="-4435.3185310911977" maxValue="7978.9602614139421"/>
    </cacheField>
    <cacheField name="Und -5%, ImpVol -2%" numFmtId="0">
      <sharedItems containsString="0" containsBlank="1" containsNumber="1" minValue="-5327.7338552062611" maxValue="6784.347812158705"/>
    </cacheField>
    <cacheField name="Und -5%, ImpVol 0%" numFmtId="0">
      <sharedItems containsString="0" containsBlank="1" containsNumber="1" minValue="-6191.4555031509508" maxValue="5992.1227831198621"/>
    </cacheField>
    <cacheField name="Und -5%, ImpVol 2%" numFmtId="0">
      <sharedItems containsString="0" containsBlank="1" containsNumber="1" minValue="-7437.3384271161058" maxValue="7367.6448425338776"/>
    </cacheField>
    <cacheField name="Und -5%, ImpVol 5%" numFmtId="0">
      <sharedItems containsString="0" containsBlank="1" containsNumber="1" minValue="-9309.2459605456716" maxValue="9449.473249984454"/>
    </cacheField>
    <cacheField name="Und -5%, ImpVol 10%" numFmtId="0">
      <sharedItems containsString="0" containsBlank="1" containsNumber="1" minValue="-12433.949594331034" maxValue="12960.492843019096"/>
    </cacheField>
    <cacheField name="Und -5%, ImpVol 20%" numFmtId="0">
      <sharedItems containsString="0" containsBlank="1" containsNumber="1" minValue="-18685.829473631973" maxValue="20096.033897212124"/>
    </cacheField>
    <cacheField name="Und 0%, ImpVol -5%" numFmtId="0">
      <sharedItems containsString="0" containsBlank="1" containsNumber="1" minValue="-3003.691001636264" maxValue="3271.311416923345"/>
    </cacheField>
    <cacheField name="Und 0%, ImpVol -2%" numFmtId="0">
      <sharedItems containsString="0" containsBlank="1" containsNumber="1" minValue="-1220.281804027627" maxValue="1307.8049712054508"/>
    </cacheField>
    <cacheField name="Und 0%, ImpVol 0%" numFmtId="0">
      <sharedItems containsString="0" containsBlank="1" containsNumber="1" containsInteger="1" minValue="0" maxValue="0"/>
    </cacheField>
    <cacheField name="Und 0%, ImpVol 2%" numFmtId="0">
      <sharedItems containsString="0" containsBlank="1" containsNumber="1" minValue="-1306.7799144389937" maxValue="1242.5992427091614"/>
    </cacheField>
    <cacheField name="Und 0%, ImpVol 5%" numFmtId="0">
      <sharedItems containsString="0" containsBlank="1" containsNumber="1" minValue="-3264.9051766899447" maxValue="3143.8660996588396"/>
    </cacheField>
    <cacheField name="Und 0%, ImpVol 10%" numFmtId="0">
      <sharedItems containsString="0" containsBlank="1" containsNumber="1" minValue="-6522.5296362000563" maxValue="6397.8403888588218"/>
    </cacheField>
    <cacheField name="Und 0%, ImpVol 20%" numFmtId="0">
      <sharedItems containsString="0" containsBlank="1" containsNumber="1" minValue="-13012.468738020061" maxValue="13150.035637541123"/>
    </cacheField>
    <cacheField name="Und 5%, ImpVol -5%" numFmtId="0">
      <sharedItems containsString="0" containsBlank="1" containsNumber="1" minValue="-6990.4716073192048" maxValue="8423.4849466188734"/>
    </cacheField>
    <cacheField name="Und 5%, ImpVol -2%" numFmtId="0">
      <sharedItems containsString="0" containsBlank="1" containsNumber="1" minValue="-6534.8250323118236" maxValue="6462.9757608109121"/>
    </cacheField>
    <cacheField name="Und 5%, ImpVol 0%" numFmtId="0">
      <sharedItems containsString="0" containsBlank="1" containsNumber="1" minValue="-7380.4194527066102" maxValue="5152.4577101122759"/>
    </cacheField>
    <cacheField name="Und 5%, ImpVol 2%" numFmtId="0">
      <sharedItems containsString="0" containsBlank="1" containsNumber="1" minValue="-8228.8383499122356" maxValue="4070.6650314432773"/>
    </cacheField>
    <cacheField name="Und 5%, ImpVol 5%" numFmtId="0">
      <sharedItems containsString="0" containsBlank="1" containsNumber="1" minValue="-9505.8451236540568" maxValue="3593.3773851871365"/>
    </cacheField>
    <cacheField name="Und 5%, ImpVol 10%" numFmtId="0">
      <sharedItems containsString="0" containsBlank="1" containsNumber="1" minValue="-11643.142036140353" maxValue="4866.2982107291209"/>
    </cacheField>
    <cacheField name="Und 5%, ImpVol 20%" numFmtId="0">
      <sharedItems containsString="0" containsBlank="1" containsNumber="1" minValue="-15938.547821929251" maxValue="7462.7044042625812"/>
    </cacheField>
    <cacheField name="Und 10%, ImpVol -5%" numFmtId="0">
      <sharedItems containsString="0" containsBlank="1" containsNumber="1" minValue="-14103.826137161195" maxValue="12483.420037732423"/>
    </cacheField>
    <cacheField name="Und 10%, ImpVol -2%" numFmtId="0">
      <sharedItems containsString="0" containsBlank="1" containsNumber="1" minValue="-15240.150719607209" maxValue="10618.021336034486"/>
    </cacheField>
    <cacheField name="Und 10%, ImpVol 0%" numFmtId="0">
      <sharedItems containsString="0" containsBlank="1" containsNumber="1" minValue="-16013.54852137074" maxValue="9358.3843102093506"/>
    </cacheField>
    <cacheField name="Und 10%, ImpVol 2%" numFmtId="0">
      <sharedItems containsString="0" containsBlank="1" containsNumber="1" minValue="-16797.69234182097" maxValue="8088.3990689786742"/>
    </cacheField>
    <cacheField name="Und 10%, ImpVol 5%" numFmtId="0">
      <sharedItems containsString="0" containsBlank="1" containsNumber="1" minValue="-17991.123797610409" maxValue="6837.6388788037502"/>
    </cacheField>
    <cacheField name="Und 10%, ImpVol 10%" numFmtId="0">
      <sharedItems containsString="0" containsBlank="1" containsNumber="1" minValue="-20017.258080818283" maxValue="8207.5813687028585"/>
    </cacheField>
    <cacheField name="Und 10%, ImpVol 20%" numFmtId="0">
      <sharedItems containsString="0" containsBlank="1" containsNumber="1" minValue="-24166.814441822178" maxValue="10945.760221856359"/>
    </cacheField>
    <cacheField name="Und 20%, ImpVol -5%" numFmtId="0">
      <sharedItems containsString="0" containsBlank="1" containsNumber="1" minValue="-34933.084249486361" maxValue="17940.705140913145"/>
    </cacheField>
    <cacheField name="Und 20%, ImpVol -2%" numFmtId="0">
      <sharedItems containsString="0" containsBlank="1" containsNumber="1" minValue="-35681.29062275702" maxValue="16442.782446772799"/>
    </cacheField>
    <cacheField name="Und 20%, ImpVol 0%" numFmtId="0">
      <sharedItems containsString="0" containsBlank="1" containsNumber="1" minValue="-36219.881136419601" maxValue="15393.774765995113"/>
    </cacheField>
    <cacheField name="Und 20%, ImpVol 2%" numFmtId="0">
      <sharedItems containsString="0" containsBlank="1" containsNumber="1" minValue="-36786.927774718948" maxValue="14589.471903109439"/>
    </cacheField>
    <cacheField name="Und 20%, ImpVol 5%" numFmtId="0">
      <sharedItems containsString="0" containsBlank="1" containsNumber="1" minValue="-37685.189393419452" maxValue="15390.679138901271"/>
    </cacheField>
    <cacheField name="Und 20%, ImpVol 10%" numFmtId="0">
      <sharedItems containsString="0" containsBlank="1" containsNumber="1" minValue="-39290.809525140365" maxValue="16741.561266773864"/>
    </cacheField>
    <cacheField name="Und 20%, ImpVol 20%" numFmtId="0">
      <sharedItems containsString="0" containsBlank="1" containsNumber="1" minValue="-42810.936779173971" maxValue="19482.1545859984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2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">
  <r>
    <x v="0"/>
    <n v="1100"/>
    <n v="0.02"/>
    <s v="Future"/>
    <s v="USD"/>
    <n v="25"/>
    <x v="0"/>
    <m/>
    <d v="2010-03-19T00:00:00"/>
    <n v="0"/>
    <m/>
    <n v="1095.9089961921936"/>
    <n v="27397.72490480484"/>
    <s v="Exch"/>
    <m/>
    <n v="1095.9089961921936"/>
    <n v="0"/>
    <n v="0"/>
    <n v="0"/>
    <n v="6.0049808010531155E-2"/>
    <n v="2.0416934723580598"/>
    <n v="27397.72490480484"/>
    <n v="0"/>
    <n v="0"/>
    <n v="0"/>
    <n v="1.5012452002632788"/>
    <n v="51.042336808951497"/>
    <n v="-5479.5449809609663"/>
    <n v="-2739.7724904804845"/>
    <n v="-1369.8862452402409"/>
    <n v="-547.95449809609522"/>
    <n v="547.95449809609522"/>
    <n v="1369.8862452402409"/>
    <n v="2739.7724904804872"/>
    <n v="5479.544980960969"/>
    <n v="0"/>
    <n v="0"/>
    <n v="0"/>
    <n v="0"/>
    <n v="0"/>
    <n v="0"/>
    <n v="0"/>
    <n v="0"/>
    <n v="-5479.5449809609663"/>
    <n v="-5479.5449809609663"/>
    <n v="-5479.5449809609663"/>
    <n v="-5479.5449809609663"/>
    <n v="-5479.5449809609663"/>
    <n v="-5479.5449809609663"/>
    <n v="-5479.5449809609663"/>
    <n v="-2739.7724904804845"/>
    <n v="-2739.7724904804845"/>
    <n v="-2739.7724904804845"/>
    <n v="-2739.7724904804845"/>
    <n v="-2739.7724904804845"/>
    <n v="-2739.7724904804845"/>
    <n v="-2739.7724904804845"/>
    <n v="-1369.8862452402409"/>
    <n v="-1369.8862452402409"/>
    <n v="-1369.8862452402409"/>
    <n v="-1369.8862452402409"/>
    <n v="-1369.8862452402409"/>
    <n v="-1369.8862452402409"/>
    <n v="-1369.8862452402409"/>
    <n v="0"/>
    <n v="0"/>
    <n v="0"/>
    <n v="0"/>
    <n v="0"/>
    <n v="0"/>
    <n v="0"/>
    <n v="1369.8862452402409"/>
    <n v="1369.8862452402409"/>
    <n v="1369.8862452402409"/>
    <n v="1369.8862452402409"/>
    <n v="1369.8862452402409"/>
    <n v="1369.8862452402409"/>
    <n v="1369.8862452402409"/>
    <n v="2739.7724904804872"/>
    <n v="2739.7724904804872"/>
    <n v="2739.7724904804872"/>
    <n v="2739.7724904804872"/>
    <n v="2739.7724904804872"/>
    <n v="2739.7724904804872"/>
    <n v="2739.7724904804872"/>
    <n v="5479.544980960969"/>
    <n v="5479.544980960969"/>
    <n v="5479.544980960969"/>
    <n v="5479.544980960969"/>
    <n v="5479.544980960969"/>
    <n v="5479.544980960969"/>
    <n v="5479.544980960969"/>
  </r>
  <r>
    <x v="0"/>
    <n v="1100"/>
    <n v="0.02"/>
    <s v="Option"/>
    <s v="USD"/>
    <n v="200"/>
    <x v="1"/>
    <s v="Put"/>
    <d v="2010-03-19T00:00:00"/>
    <n v="0.53252581704856539"/>
    <n v="1.0999999999999999E-2"/>
    <n v="33.099391475391343"/>
    <n v="6619.8782950782688"/>
    <s v="Exch"/>
    <m/>
    <n v="-227.53807010424387"/>
    <n v="682.4660394628205"/>
    <n v="1.3541530629344063"/>
    <n v="121.15868454404917"/>
    <n v="-0.53484938408966598"/>
    <n v="-0.48557116129904643"/>
    <n v="-45507.614020848778"/>
    <n v="136493.2078925641"/>
    <n v="270.83061258688127"/>
    <n v="24231.736908809835"/>
    <n v="-106.9698768179332"/>
    <n v="-97.114232259809285"/>
    <n v="16176.792892622467"/>
    <n v="6125.4787613437029"/>
    <n v="2642.7870083868756"/>
    <n v="966.4139176153185"/>
    <n v="-857.19662292378302"/>
    <n v="-1959.4508150206252"/>
    <n v="-3382.6881424429357"/>
    <n v="-5110.6296095527168"/>
    <n v="-2563.8568277909426"/>
    <n v="-1321.1729135165683"/>
    <n v="-536.65029813618048"/>
    <n v="-269.59875384072802"/>
    <n v="272.02250531653362"/>
    <n v="546.35224139019556"/>
    <n v="1382.114596725404"/>
    <n v="2812.0320499081627"/>
    <n v="14690.178597666221"/>
    <n v="15580.947429352233"/>
    <n v="16176.792892622467"/>
    <n v="16773.990673100838"/>
    <n v="17671.932409161756"/>
    <n v="19172.992349309909"/>
    <n v="22185.70311687468"/>
    <n v="4535.4033425655925"/>
    <n v="5488.4777820637792"/>
    <n v="6125.4787613437029"/>
    <n v="6763.5605160404621"/>
    <n v="7722.3718592347896"/>
    <n v="9323.8282076963114"/>
    <n v="12534.191395434817"/>
    <n v="1154.4754110684778"/>
    <n v="2043.3037723154314"/>
    <n v="2642.7870083868756"/>
    <n v="3247.1134463534609"/>
    <n v="4161.569811071462"/>
    <n v="5703.3873977185694"/>
    <n v="8835.6213494183121"/>
    <n v="-1321.1729135165683"/>
    <n v="-536.65029813618048"/>
    <n v="0"/>
    <n v="546.35224139019556"/>
    <n v="1382.114596725404"/>
    <n v="2812.0320499081627"/>
    <n v="5777.7378316767399"/>
    <n v="-3080.5867133288643"/>
    <n v="-2419.820457702599"/>
    <n v="-1959.4508150206252"/>
    <n v="-1484.6912306306763"/>
    <n v="-748.08230166487419"/>
    <n v="536.489850741998"/>
    <n v="3273.7428649896742"/>
    <n v="-4298.1741201006944"/>
    <n v="-3763.4883895629287"/>
    <n v="-3382.6881424429357"/>
    <n v="-2983.8851018187315"/>
    <n v="-2354.5195579927736"/>
    <n v="-1231.5277632403479"/>
    <n v="1240.3575544942385"/>
    <n v="-5666.1896798425614"/>
    <n v="-5348.8572186071578"/>
    <n v="-5110.6296095527168"/>
    <n v="-4851.7155179387883"/>
    <n v="-4426.032161556449"/>
    <n v="-3623.3250700034773"/>
    <n v="-1712.4546650113643"/>
  </r>
  <r>
    <x v="0"/>
    <n v="1100"/>
    <n v="0.02"/>
    <s v="Option"/>
    <s v="USD"/>
    <n v="-50"/>
    <x v="2"/>
    <s v="Put"/>
    <d v="2010-03-19T00:00:00"/>
    <n v="0.47079318216922272"/>
    <n v="1.0999999999999999E-2"/>
    <n v="44.908614206035793"/>
    <n v="-2245.4307103017895"/>
    <s v="Exch"/>
    <m/>
    <n v="-316.28505947436707"/>
    <n v="920.94642833417947"/>
    <n v="1.6155134450954702"/>
    <n v="67.766641768526227"/>
    <n v="-0.56569004325751393"/>
    <n v="-0.67290876192513405"/>
    <n v="15814.252973718354"/>
    <n v="-46047.321416708975"/>
    <n v="-80.775672254773511"/>
    <n v="-3388.3320884263112"/>
    <n v="28.284502162875697"/>
    <n v="33.645438096256704"/>
    <n v="-5357.9581345446995"/>
    <n v="-2094.8540233587037"/>
    <n v="-912.7971359862272"/>
    <n v="-335.15906793332988"/>
    <n v="298.32916912456824"/>
    <n v="682.87633449354394"/>
    <n v="1179.231253684982"/>
    <n v="1774.0332923787548"/>
    <n v="786.35889970985886"/>
    <n v="399.14408523136444"/>
    <n v="160.84363834349062"/>
    <n v="80.602573303877989"/>
    <n v="-80.94154369867681"/>
    <n v="-162.20116843045105"/>
    <n v="-407.7013723889678"/>
    <n v="-821.66237381289307"/>
    <n v="-5039.5501133126654"/>
    <n v="-5228.6765399009173"/>
    <n v="-5357.9581345446995"/>
    <n v="-5489.4711508325909"/>
    <n v="-5690.409143675899"/>
    <n v="-6033.4735053109316"/>
    <n v="-6742.1671088307985"/>
    <n v="-1670.4556689650644"/>
    <n v="-1925.1229604881985"/>
    <n v="-2094.8540233587037"/>
    <n v="-2264.5389904492731"/>
    <n v="-2518.9659908421477"/>
    <n v="-2942.6955009132089"/>
    <n v="-3788.6940224385453"/>
    <n v="-485.81255758208215"/>
    <n v="-741.79351226542849"/>
    <n v="-912.7971359862272"/>
    <n v="-1084.0271209166731"/>
    <n v="-1341.2140593268446"/>
    <n v="-1770.5163410142461"/>
    <n v="-2630.3222803107956"/>
    <n v="399.14408523136444"/>
    <n v="160.84363834349062"/>
    <n v="0"/>
    <n v="-162.20116843045105"/>
    <n v="-407.7013723889678"/>
    <n v="-821.66237381289307"/>
    <n v="-1662.3292749415043"/>
    <n v="1033.2965517835974"/>
    <n v="825.53174748166214"/>
    <n v="682.87633449354394"/>
    <n v="537.31425329880551"/>
    <n v="314.17284098197626"/>
    <n v="-68.46938886784244"/>
    <n v="-863.68047976487503"/>
    <n v="1470.7603864949333"/>
    <n v="1299.5292829148298"/>
    <n v="1179.231253684982"/>
    <n v="1054.5294796996031"/>
    <n v="860.06766443283732"/>
    <n v="518.98675665214705"/>
    <n v="-212.17837355766846"/>
    <n v="1950.7766666273085"/>
    <n v="1849.550369302807"/>
    <n v="1774.0332923787548"/>
    <n v="1692.4378809842046"/>
    <n v="1559.3363217099081"/>
    <n v="1311.569742964869"/>
    <n v="735.19944679777609"/>
  </r>
  <r>
    <x v="0"/>
    <n v="1100"/>
    <n v="0.02"/>
    <s v="Option"/>
    <s v="USD"/>
    <n v="25"/>
    <x v="3"/>
    <s v="Put"/>
    <d v="2010-03-19T00:00:00"/>
    <n v="0.4092008007118651"/>
    <n v="1.0999999999999999E-2"/>
    <n v="78.107324583229797"/>
    <n v="1952.683114580745"/>
    <s v="GoldMine Sacks"/>
    <m/>
    <n v="-513.53069183161335"/>
    <n v="1233.8463888444114"/>
    <n v="1.8812374388163944"/>
    <n v="-3.5439559316827283"/>
    <n v="-0.57634073587656798"/>
    <n v="-1.1022297292112146"/>
    <n v="-12838.267295790334"/>
    <n v="30846.159721110285"/>
    <n v="47.030935970409857"/>
    <n v="-88.598898292068213"/>
    <n v="-14.4085183969142"/>
    <n v="-27.555743230280367"/>
    <n v="3781.141604588538"/>
    <n v="1598.8655058896086"/>
    <n v="720.39604323625497"/>
    <n v="269.21068639842929"/>
    <n v="-244.55719971669225"/>
    <n v="-567.07741917712724"/>
    <n v="-996.3354308569692"/>
    <n v="-1530.5610969160689"/>
    <n v="-470.71439827794848"/>
    <n v="-235.26071625771863"/>
    <n v="-94.079291151774669"/>
    <n v="-47.035328382827402"/>
    <n v="47.026468565542245"/>
    <n v="94.043852754941781"/>
    <n v="235.03926491669773"/>
    <n v="469.82917378943085"/>
    <n v="3697.3217985554129"/>
    <n v="3745.2264440477165"/>
    <n v="3781.141604588538"/>
    <n v="3820.0061323303798"/>
    <n v="3883.394147335076"/>
    <n v="4001.0305854055928"/>
    <n v="4272.0408616549521"/>
    <n v="1417.776077017274"/>
    <n v="1525.2798095432638"/>
    <n v="1598.8655058896086"/>
    <n v="1673.7583963940297"/>
    <n v="1788.2028875699518"/>
    <n v="1983.5092665097818"/>
    <n v="2386.2430409998469"/>
    <n v="502.53148263833793"/>
    <n v="632.92947878800021"/>
    <n v="720.39604323625497"/>
    <n v="808.21538757166707"/>
    <n v="940.49422986218758"/>
    <n v="1162.0940247226572"/>
    <n v="1608.0022672696998"/>
    <n v="-235.26071625771863"/>
    <n v="-94.079291151774669"/>
    <n v="0"/>
    <n v="94.043852754941781"/>
    <n v="235.03926491669773"/>
    <n v="469.82917378943085"/>
    <n v="938.55102727330291"/>
    <n v="-798.58560403210106"/>
    <n v="-659.94508556393612"/>
    <n v="-567.07741917712724"/>
    <n v="-473.920975259378"/>
    <n v="-333.73986883313194"/>
    <n v="-99.196174623087074"/>
    <n v="371.97681776159044"/>
    <n v="-1206.6045626845748"/>
    <n v="-1081.4592093455103"/>
    <n v="-996.3354308569692"/>
    <n v="-910.06455570779826"/>
    <n v="-778.82230656461786"/>
    <n v="-556.13573905386033"/>
    <n v="-100.42328484921228"/>
    <n v="-1672.7358258575102"/>
    <n v="-1590.0361405905201"/>
    <n v="-1530.5610969160689"/>
    <n v="-1467.9843562606252"/>
    <n v="-1368.9262721570706"/>
    <n v="-1192.0282214670692"/>
    <n v="-804.70050045621383"/>
  </r>
  <r>
    <x v="0"/>
    <n v="1100"/>
    <n v="0.02"/>
    <s v="Option"/>
    <s v="USD"/>
    <n v="-25"/>
    <x v="4"/>
    <s v="Put"/>
    <d v="2010-03-19T00:00:00"/>
    <n v="0.44598602021318745"/>
    <n v="1.0999999999999999E-2"/>
    <n v="53.507243347722067"/>
    <n v="-1337.6810836930517"/>
    <s v="Exch"/>
    <m/>
    <n v="-374.01225687551062"/>
    <n v="1044.4936390503108"/>
    <n v="1.7356937075521404"/>
    <n v="34.454504586982289"/>
    <n v="-0.57679726778176055"/>
    <n v="-0.79647468534739219"/>
    <n v="9350.3064218877662"/>
    <n v="-26112.340976257768"/>
    <n v="-43.39234268880351"/>
    <n v="-861.36261467455722"/>
    <n v="14.419931694544013"/>
    <n v="19.911867133684805"/>
    <n v="-3046.3948634335125"/>
    <n v="-1219.0884859455039"/>
    <n v="-535.96683520828208"/>
    <n v="-197.66334993039294"/>
    <n v="176.78330211312385"/>
    <n v="405.79041504388442"/>
    <n v="703.08479702320597"/>
    <n v="1060.7485918432189"/>
    <n v="428.26168469382395"/>
    <n v="215.73542901325595"/>
    <n v="86.603464931891949"/>
    <n v="43.348179858877245"/>
    <n v="-43.434360729149546"/>
    <n v="-86.948724680486578"/>
    <n v="-217.91701934110392"/>
    <n v="-437.34208459603394"/>
    <n v="-2910.1531045927131"/>
    <n v="-2990.3622956479794"/>
    <n v="-3046.3948634335125"/>
    <n v="-3104.236124988533"/>
    <n v="-3194.0023984812415"/>
    <n v="-3350.3865898378322"/>
    <n v="-3682.2338989419864"/>
    <n v="-1009.4374695545766"/>
    <n v="-1135.0697639736736"/>
    <n v="-1219.0884859455039"/>
    <n v="-1303.2802752043906"/>
    <n v="-1429.8345604594645"/>
    <n v="-1641.293506713562"/>
    <n v="-2065.3667846313338"/>
    <n v="-314.05806685617961"/>
    <n v="-447.22200334943949"/>
    <n v="-535.96683520828208"/>
    <n v="-624.68333801898837"/>
    <n v="-757.69912458067802"/>
    <n v="-979.214491080377"/>
    <n v="-1421.4561388101074"/>
    <n v="215.73542901325595"/>
    <n v="86.603464931891949"/>
    <n v="0"/>
    <n v="-86.948724680486578"/>
    <n v="-217.91701934110392"/>
    <n v="-437.34208459603394"/>
    <n v="-878.99864209376517"/>
    <n v="600.80416658326362"/>
    <n v="484.76553805691509"/>
    <n v="405.79041504388442"/>
    <n v="325.70294905686836"/>
    <n v="203.7657167913963"/>
    <n v="-3.4197005705578931"/>
    <n v="-428.44330161460533"/>
    <n v="868.68550622581961"/>
    <n v="771.02335067701233"/>
    <n v="703.08479702320597"/>
    <n v="633.15418840974689"/>
    <n v="524.9604385943627"/>
    <n v="337.2325393747559"/>
    <n v="-58.95573938059897"/>
    <n v="1163.0909447850804"/>
    <n v="1104.2616881943629"/>
    <n v="1060.7485918432189"/>
    <n v="1014.0407954853025"/>
    <n v="938.43639473599512"/>
    <n v="799.26731176576732"/>
    <n v="481.08554492289528"/>
  </r>
  <r>
    <x v="0"/>
    <n v="1100"/>
    <n v="0.02"/>
    <s v="Option"/>
    <s v="USD"/>
    <n v="25"/>
    <x v="5"/>
    <s v="Call"/>
    <d v="2010-03-19T00:00:00"/>
    <n v="0.37936391354619808"/>
    <n v="1.0999999999999999E-2"/>
    <n v="26.997775797652309"/>
    <n v="674.94439494130779"/>
    <s v="Exch"/>
    <m/>
    <n v="293.12405656172189"/>
    <n v="1101.2604335686806"/>
    <n v="1.5566540174262706"/>
    <n v="199.66536437002807"/>
    <n v="-0.42617803435527768"/>
    <n v="0.49579690662895154"/>
    <n v="7328.101414043047"/>
    <n v="27531.510839217015"/>
    <n v="38.916350435656767"/>
    <n v="4991.6341092507018"/>
    <n v="-10.654450858881942"/>
    <n v="12.394922665723788"/>
    <n v="-644.76858251610759"/>
    <n v="-489.33595206787714"/>
    <n v="-301.20670351051473"/>
    <n v="-135.76576172426087"/>
    <n v="157.76729041105284"/>
    <n v="437.9469910669286"/>
    <n v="1025.7164230493074"/>
    <n v="2643.1618933716736"/>
    <n v="-357.18107480354888"/>
    <n v="-187.5592700871664"/>
    <n v="-76.787406300928041"/>
    <n v="-38.661019108664618"/>
    <n v="39.160412142562961"/>
    <n v="78.787736948457621"/>
    <n v="200.18281301753689"/>
    <n v="409.4542762537003"/>
    <n v="-664.26228474163679"/>
    <n v="-654.17373098889243"/>
    <n v="-644.76858251610759"/>
    <n v="-632.99692595577562"/>
    <n v="-610.63060875713495"/>
    <n v="-560.33517582927846"/>
    <n v="-412.20675862404335"/>
    <n v="-572.91306023793175"/>
    <n v="-525.68468609491572"/>
    <n v="-489.33595206787714"/>
    <n v="-449.3536797223868"/>
    <n v="-383.08052565026924"/>
    <n v="-257.75160863498809"/>
    <n v="37.191133683750621"/>
    <n v="-435.41870614660854"/>
    <n v="-357.54933021548322"/>
    <n v="-301.20670351051473"/>
    <n v="-241.72977634635515"/>
    <n v="-147.31563728567565"/>
    <n v="21.707693725738153"/>
    <n v="392.24965578346058"/>
    <n v="-187.5592700871664"/>
    <n v="-76.787406300928041"/>
    <n v="0"/>
    <n v="78.787736948457621"/>
    <n v="200.18281301753689"/>
    <n v="409.4542762537003"/>
    <n v="846.36547983483297"/>
    <n v="205.61425802875135"/>
    <n v="344.30597125702604"/>
    <n v="437.9469910669286"/>
    <n v="532.36759402842608"/>
    <n v="675.2184829235631"/>
    <n v="915.85054117168306"/>
    <n v="1403.4467552865776"/>
    <n v="766.60803777710248"/>
    <n v="922.02675790157264"/>
    <n v="1025.7164230493074"/>
    <n v="1129.448761645672"/>
    <n v="1285.098827645031"/>
    <n v="1544.5677238799519"/>
    <n v="2063.2859971639091"/>
    <n v="2395.5703109114625"/>
    <n v="2543.344701989794"/>
    <n v="2643.1618933716736"/>
    <n v="2743.83925790071"/>
    <n v="2896.2023437651583"/>
    <n v="3152.9562918075653"/>
    <n v="3673.4789045853672"/>
  </r>
  <r>
    <x v="0"/>
    <n v="1100"/>
    <n v="0.02"/>
    <s v="Option"/>
    <s v="USD"/>
    <n v="25"/>
    <x v="3"/>
    <s v="Call"/>
    <d v="2010-03-19T00:00:00"/>
    <n v="0.4092008007118651"/>
    <n v="1.0999999999999999E-2"/>
    <n v="76.268259097077362"/>
    <n v="1906.706477426934"/>
    <s v="Exch"/>
    <m/>
    <n v="582.37830436058039"/>
    <n v="1233.8463888444114"/>
    <n v="1.8812374388163944"/>
    <n v="-3.5439559316827283"/>
    <n v="-0.54937374616319246"/>
    <n v="0.94288994734022469"/>
    <n v="14559.457609014509"/>
    <n v="30846.159721110285"/>
    <n v="47.030935970409857"/>
    <n v="-88.598898292068213"/>
    <n v="-13.734343654079812"/>
    <n v="23.572248683505617"/>
    <n v="-1698.4033763724326"/>
    <n v="-1140.9069845908803"/>
    <n v="-649.49020200398741"/>
    <n v="-278.74381169766878"/>
    <n v="303.39729837940013"/>
    <n v="802.80882606310797"/>
    <n v="1743.4370596235169"/>
    <n v="3948.9838840448983"/>
    <n v="-470.71439827795132"/>
    <n v="-235.26071625771863"/>
    <n v="-94.079291151777511"/>
    <n v="-47.035328382830244"/>
    <n v="47.026468565540824"/>
    <n v="94.043852754938939"/>
    <n v="235.03926491669631"/>
    <n v="469.82917378942375"/>
    <n v="-1782.223182405555"/>
    <n v="-1734.3185369132523"/>
    <n v="-1698.4033763724326"/>
    <n v="-1659.5388486305872"/>
    <n v="-1596.1508336258955"/>
    <n v="-1478.5143955553792"/>
    <n v="-1207.5041193060144"/>
    <n v="-1321.9964134632144"/>
    <n v="-1214.4926809372237"/>
    <n v="-1140.9069845908803"/>
    <n v="-1066.0140940864565"/>
    <n v="-951.56960291053849"/>
    <n v="-756.26322397070567"/>
    <n v="-353.52944948063936"/>
    <n v="-867.3547626019058"/>
    <n v="-736.95676645224216"/>
    <n v="-649.49020200398741"/>
    <n v="-561.67085766857667"/>
    <n v="-429.39201537805758"/>
    <n v="-207.79222051758524"/>
    <n v="238.1160220294575"/>
    <n v="-235.26071625771863"/>
    <n v="-94.079291151777511"/>
    <n v="0"/>
    <n v="94.043852754938939"/>
    <n v="235.03926491669631"/>
    <n v="469.82917378942375"/>
    <n v="938.55102727330154"/>
    <n v="571.30064120813415"/>
    <n v="709.94115967630194"/>
    <n v="802.80882606310797"/>
    <n v="895.96526998086006"/>
    <n v="1036.1463764071091"/>
    <n v="1270.6900706171468"/>
    <n v="1741.863063001827"/>
    <n v="1533.167927795907"/>
    <n v="1658.3132811349742"/>
    <n v="1743.4370596235169"/>
    <n v="1829.7079347726849"/>
    <n v="1960.9501839158668"/>
    <n v="2183.6367514266244"/>
    <n v="2639.3492056312707"/>
    <n v="3806.8091551034599"/>
    <n v="3889.5088403704503"/>
    <n v="3948.9838840448983"/>
    <n v="4011.5606247003425"/>
    <n v="4110.6187088038978"/>
    <n v="4287.5167594939003"/>
    <n v="4674.8444805047484"/>
  </r>
  <r>
    <x v="0"/>
    <n v="1100"/>
    <n v="0.02"/>
    <s v="Option"/>
    <s v="USD"/>
    <n v="-50"/>
    <x v="4"/>
    <s v="Put"/>
    <d v="2010-03-19T00:00:00"/>
    <n v="0.44598602021318745"/>
    <n v="1.0999999999999999E-2"/>
    <n v="53.507243347722067"/>
    <n v="-2675.3621673861035"/>
    <s v="Exch"/>
    <m/>
    <n v="-374.01225687551062"/>
    <n v="1044.4936390503108"/>
    <n v="1.7356937075521404"/>
    <n v="34.454504586982289"/>
    <n v="-0.57679726778176055"/>
    <n v="-0.79647468534739219"/>
    <n v="18700.612843775532"/>
    <n v="-52224.681952515537"/>
    <n v="-86.784685377607019"/>
    <n v="-1722.7252293491144"/>
    <n v="28.839863389088027"/>
    <n v="39.823734267369609"/>
    <n v="-6092.7897268670249"/>
    <n v="-2438.1769718910077"/>
    <n v="-1071.9336704165642"/>
    <n v="-395.32669986078588"/>
    <n v="353.5666042262477"/>
    <n v="811.58083008776885"/>
    <n v="1406.1695940464119"/>
    <n v="2121.4971836864379"/>
    <n v="856.5233693876479"/>
    <n v="431.47085802651191"/>
    <n v="173.2069298637839"/>
    <n v="86.69635971775449"/>
    <n v="-86.868721458299092"/>
    <n v="-173.89744936097316"/>
    <n v="-435.83403868220785"/>
    <n v="-874.68416919206788"/>
    <n v="-5820.3062091854263"/>
    <n v="-5980.7245912959588"/>
    <n v="-6092.7897268670249"/>
    <n v="-6208.472249977066"/>
    <n v="-6388.0047969624829"/>
    <n v="-6700.7731796756643"/>
    <n v="-7364.4677978839727"/>
    <n v="-2018.8749391091533"/>
    <n v="-2270.1395279473472"/>
    <n v="-2438.1769718910077"/>
    <n v="-2606.5605504087812"/>
    <n v="-2859.6691209189289"/>
    <n v="-3282.587013427124"/>
    <n v="-4130.7335692626675"/>
    <n v="-628.11613371235921"/>
    <n v="-894.44400669887898"/>
    <n v="-1071.9336704165642"/>
    <n v="-1249.3666760379767"/>
    <n v="-1515.398249161356"/>
    <n v="-1958.428982160754"/>
    <n v="-2842.9122776202148"/>
    <n v="431.47085802651191"/>
    <n v="173.2069298637839"/>
    <n v="0"/>
    <n v="-173.89744936097316"/>
    <n v="-435.83403868220785"/>
    <n v="-874.68416919206788"/>
    <n v="-1757.9972841875303"/>
    <n v="1201.6083331665272"/>
    <n v="969.53107611383018"/>
    <n v="811.58083008776885"/>
    <n v="651.40589811373673"/>
    <n v="407.5314335827926"/>
    <n v="-6.8394011411157862"/>
    <n v="-856.88660322921066"/>
    <n v="1737.3710124516392"/>
    <n v="1542.0467013540247"/>
    <n v="1406.1695940464119"/>
    <n v="1266.3083768194938"/>
    <n v="1049.9208771887254"/>
    <n v="674.4650787495118"/>
    <n v="-117.91147876119794"/>
    <n v="2326.1818895701608"/>
    <n v="2208.5233763887259"/>
    <n v="2121.4971836864379"/>
    <n v="2028.081590970605"/>
    <n v="1876.8727894719902"/>
    <n v="1598.5346235315346"/>
    <n v="962.17108984579056"/>
  </r>
  <r>
    <x v="0"/>
    <n v="1100"/>
    <n v="0.02"/>
    <s v="Option"/>
    <s v="USD"/>
    <n v="-50"/>
    <x v="4"/>
    <s v="Put"/>
    <d v="2010-03-19T00:00:00"/>
    <n v="0.44598602021318745"/>
    <n v="1.0999999999999999E-2"/>
    <n v="53.507243347722067"/>
    <n v="-2675.3621673861035"/>
    <s v="GoldMine Sacks"/>
    <m/>
    <n v="-374.01225687551062"/>
    <n v="1044.4936390503108"/>
    <n v="1.7356937075521404"/>
    <n v="34.454504586982289"/>
    <n v="-0.57679726778176055"/>
    <n v="-0.79647468534739219"/>
    <n v="18700.612843775532"/>
    <n v="-52224.681952515537"/>
    <n v="-86.784685377607019"/>
    <n v="-1722.7252293491144"/>
    <n v="28.839863389088027"/>
    <n v="39.823734267369609"/>
    <n v="-6092.7897268670249"/>
    <n v="-2438.1769718910077"/>
    <n v="-1071.9336704165642"/>
    <n v="-395.32669986078588"/>
    <n v="353.5666042262477"/>
    <n v="811.58083008776885"/>
    <n v="1406.1695940464119"/>
    <n v="2121.4971836864379"/>
    <n v="856.5233693876479"/>
    <n v="431.47085802651191"/>
    <n v="173.2069298637839"/>
    <n v="86.69635971775449"/>
    <n v="-86.868721458299092"/>
    <n v="-173.89744936097316"/>
    <n v="-435.83403868220785"/>
    <n v="-874.68416919206788"/>
    <n v="-5820.3062091854263"/>
    <n v="-5980.7245912959588"/>
    <n v="-6092.7897268670249"/>
    <n v="-6208.472249977066"/>
    <n v="-6388.0047969624829"/>
    <n v="-6700.7731796756643"/>
    <n v="-7364.4677978839727"/>
    <n v="-2018.8749391091533"/>
    <n v="-2270.1395279473472"/>
    <n v="-2438.1769718910077"/>
    <n v="-2606.5605504087812"/>
    <n v="-2859.6691209189289"/>
    <n v="-3282.587013427124"/>
    <n v="-4130.7335692626675"/>
    <n v="-628.11613371235921"/>
    <n v="-894.44400669887898"/>
    <n v="-1071.9336704165642"/>
    <n v="-1249.3666760379767"/>
    <n v="-1515.398249161356"/>
    <n v="-1958.428982160754"/>
    <n v="-2842.9122776202148"/>
    <n v="431.47085802651191"/>
    <n v="173.2069298637839"/>
    <n v="0"/>
    <n v="-173.89744936097316"/>
    <n v="-435.83403868220785"/>
    <n v="-874.68416919206788"/>
    <n v="-1757.9972841875303"/>
    <n v="1201.6083331665272"/>
    <n v="969.53107611383018"/>
    <n v="811.58083008776885"/>
    <n v="651.40589811373673"/>
    <n v="407.5314335827926"/>
    <n v="-6.8394011411157862"/>
    <n v="-856.88660322921066"/>
    <n v="1737.3710124516392"/>
    <n v="1542.0467013540247"/>
    <n v="1406.1695940464119"/>
    <n v="1266.3083768194938"/>
    <n v="1049.9208771887254"/>
    <n v="674.4650787495118"/>
    <n v="-117.91147876119794"/>
    <n v="2326.1818895701608"/>
    <n v="2208.5233763887259"/>
    <n v="2121.4971836864379"/>
    <n v="2028.081590970605"/>
    <n v="1876.8727894719902"/>
    <n v="1598.5346235315346"/>
    <n v="962.17108984579056"/>
  </r>
  <r>
    <x v="0"/>
    <n v="1100"/>
    <n v="0.02"/>
    <s v="Option"/>
    <s v="USD"/>
    <n v="-50"/>
    <x v="3"/>
    <s v="Call"/>
    <d v="2010-03-19T00:00:00"/>
    <n v="0.4092008007118651"/>
    <n v="1.0999999999999999E-2"/>
    <n v="76.268259097077362"/>
    <n v="-3813.4129548538681"/>
    <s v="GoldMine Sacks"/>
    <m/>
    <n v="582.37830436058039"/>
    <n v="1233.8463888444114"/>
    <n v="1.8812374388163944"/>
    <n v="-3.5439559316827283"/>
    <n v="-0.54937374616319246"/>
    <n v="0.94288994734022469"/>
    <n v="-29118.915218029018"/>
    <n v="-61692.319442220571"/>
    <n v="-94.061871940819714"/>
    <n v="177.19779658413643"/>
    <n v="27.468687308159623"/>
    <n v="-47.144497367011233"/>
    <n v="3396.8067527448652"/>
    <n v="2281.8139691817605"/>
    <n v="1298.9804040079748"/>
    <n v="557.48762339533755"/>
    <n v="-606.79459675880025"/>
    <n v="-1605.6176521262159"/>
    <n v="-3486.8741192470338"/>
    <n v="-7897.9677680897967"/>
    <n v="941.42879655590264"/>
    <n v="470.52143251543725"/>
    <n v="188.15858230355502"/>
    <n v="94.070656765660488"/>
    <n v="-94.052937131081649"/>
    <n v="-188.08770550987788"/>
    <n v="-470.07852983339262"/>
    <n v="-939.6583475788475"/>
    <n v="3564.44636481111"/>
    <n v="3468.6370738265045"/>
    <n v="3396.8067527448652"/>
    <n v="3319.0776972611743"/>
    <n v="3192.3016672517911"/>
    <n v="2957.0287911107584"/>
    <n v="2415.0082386120289"/>
    <n v="2643.9928269264287"/>
    <n v="2428.9853618744473"/>
    <n v="2281.8139691817605"/>
    <n v="2132.0281881729129"/>
    <n v="1903.139205821077"/>
    <n v="1512.5264479414113"/>
    <n v="707.05889896127871"/>
    <n v="1734.7095252038116"/>
    <n v="1473.9135329044843"/>
    <n v="1298.9804040079748"/>
    <n v="1123.3417153371533"/>
    <n v="858.78403075611516"/>
    <n v="415.58444103517047"/>
    <n v="-476.23204405891499"/>
    <n v="470.52143251543725"/>
    <n v="188.15858230355502"/>
    <n v="0"/>
    <n v="-188.08770550987788"/>
    <n v="-470.07852983339262"/>
    <n v="-939.6583475788475"/>
    <n v="-1877.1020545466031"/>
    <n v="-1142.6012824162683"/>
    <n v="-1419.8823193526039"/>
    <n v="-1605.6176521262159"/>
    <n v="-1791.9305399617201"/>
    <n v="-2072.2927528142181"/>
    <n v="-2541.3801412342937"/>
    <n v="-3483.7261260036539"/>
    <n v="-3066.3358555918139"/>
    <n v="-3316.6265622699484"/>
    <n v="-3486.8741192470338"/>
    <n v="-3659.4158695453698"/>
    <n v="-3921.9003678317335"/>
    <n v="-4367.2735028532488"/>
    <n v="-5278.6984112625414"/>
    <n v="-7613.6183102069199"/>
    <n v="-7779.0176807409007"/>
    <n v="-7897.9677680897967"/>
    <n v="-8023.121249400685"/>
    <n v="-8221.2374176077956"/>
    <n v="-8575.0335189878006"/>
    <n v="-9349.6889610094968"/>
  </r>
  <r>
    <x v="0"/>
    <n v="1100"/>
    <n v="0.02"/>
    <s v="Option"/>
    <s v="USD"/>
    <n v="30"/>
    <x v="5"/>
    <s v="Call"/>
    <d v="2010-03-19T00:00:00"/>
    <n v="0.37936391354619808"/>
    <n v="1.0999999999999999E-2"/>
    <n v="26.997775797652309"/>
    <n v="809.93327392956928"/>
    <s v="Exch"/>
    <m/>
    <n v="293.12405656172189"/>
    <n v="1101.2604335686806"/>
    <n v="1.5566540174262706"/>
    <n v="199.66536437002807"/>
    <n v="-0.42617803435527768"/>
    <n v="0.49579690662895154"/>
    <n v="8793.7216968516568"/>
    <n v="33037.813007060417"/>
    <n v="46.699620522788116"/>
    <n v="5989.9609311008426"/>
    <n v="-12.78534103065833"/>
    <n v="14.873907198868546"/>
    <n v="-773.72229901932917"/>
    <n v="-587.20314248145257"/>
    <n v="-361.44804421261767"/>
    <n v="-162.91891406911304"/>
    <n v="189.32074849326341"/>
    <n v="525.53638928031432"/>
    <n v="1230.8597076591691"/>
    <n v="3171.7942720460082"/>
    <n v="-428.61728976425866"/>
    <n v="-225.07112410459968"/>
    <n v="-92.144887561113649"/>
    <n v="-46.393222930397542"/>
    <n v="46.992494571075554"/>
    <n v="94.545284338149145"/>
    <n v="240.21937562104426"/>
    <n v="491.34513150444036"/>
    <n v="-797.11474168996415"/>
    <n v="-785.0084771866708"/>
    <n v="-773.72229901932917"/>
    <n v="-759.59631114693082"/>
    <n v="-732.75673050856187"/>
    <n v="-672.40221099513417"/>
    <n v="-494.64811034885201"/>
    <n v="-687.49567228551814"/>
    <n v="-630.82162331389884"/>
    <n v="-587.20314248145257"/>
    <n v="-539.22441566686416"/>
    <n v="-459.69663078032312"/>
    <n v="-309.30193036198574"/>
    <n v="44.629360420500745"/>
    <n v="-522.50244737593016"/>
    <n v="-429.0591962585799"/>
    <n v="-361.44804421261767"/>
    <n v="-290.07573161562618"/>
    <n v="-176.77876474281078"/>
    <n v="26.049232470885784"/>
    <n v="470.6995869401527"/>
    <n v="-225.07112410459968"/>
    <n v="-92.144887561113649"/>
    <n v="0"/>
    <n v="94.545284338149145"/>
    <n v="240.21937562104426"/>
    <n v="491.34513150444036"/>
    <n v="1015.6385758017996"/>
    <n v="246.73710963450162"/>
    <n v="413.16716550843125"/>
    <n v="525.53638928031432"/>
    <n v="638.8411128341113"/>
    <n v="810.26217950827572"/>
    <n v="1099.0206494060199"/>
    <n v="1684.1361063438933"/>
    <n v="919.92964533252291"/>
    <n v="1106.432109481887"/>
    <n v="1230.8597076591691"/>
    <n v="1355.3385139748066"/>
    <n v="1542.118593174037"/>
    <n v="1853.4812686559421"/>
    <n v="2475.943196596691"/>
    <n v="2874.6843730937549"/>
    <n v="3052.013642387753"/>
    <n v="3171.7942720460082"/>
    <n v="3292.6071094808522"/>
    <n v="3475.4428125181898"/>
    <n v="3783.5475501690785"/>
    <n v="4408.1746855024412"/>
  </r>
  <r>
    <x v="0"/>
    <n v="1100"/>
    <n v="0.02"/>
    <s v="Option"/>
    <s v="USD"/>
    <n v="25"/>
    <x v="1"/>
    <s v="Put"/>
    <d v="2010-03-19T00:00:00"/>
    <n v="0.53252581704856539"/>
    <n v="1.0999999999999999E-2"/>
    <n v="33.099391475391343"/>
    <n v="827.4847868847836"/>
    <s v="Exch"/>
    <m/>
    <n v="-227.53807010424387"/>
    <n v="682.4660394628205"/>
    <n v="1.3541530629344063"/>
    <n v="121.15868454404917"/>
    <n v="-0.53484938408966598"/>
    <n v="-0.48557116129904643"/>
    <n v="-5688.4517526060972"/>
    <n v="17061.650986570512"/>
    <n v="33.853826573360159"/>
    <n v="3028.9671136012294"/>
    <n v="-13.37123460224165"/>
    <n v="-12.139279032476161"/>
    <n v="2022.0991115778083"/>
    <n v="765.68484516796286"/>
    <n v="330.34837604835946"/>
    <n v="120.80173970191481"/>
    <n v="-107.14957786547288"/>
    <n v="-244.93135187757815"/>
    <n v="-422.83601780536696"/>
    <n v="-638.8287011940896"/>
    <n v="-320.48210347386782"/>
    <n v="-165.14661418957104"/>
    <n v="-67.08128726702256"/>
    <n v="-33.699844230091003"/>
    <n v="34.002813164566703"/>
    <n v="68.294030173774445"/>
    <n v="172.7643245906755"/>
    <n v="351.50400623852033"/>
    <n v="1836.2723247082777"/>
    <n v="1947.6184286690291"/>
    <n v="2022.0991115778083"/>
    <n v="2096.7488341376047"/>
    <n v="2208.9915511452195"/>
    <n v="2396.6240436637386"/>
    <n v="2773.212889609335"/>
    <n v="566.92541782069907"/>
    <n v="686.05972275797239"/>
    <n v="765.68484516796286"/>
    <n v="845.44506450505776"/>
    <n v="965.29648240434869"/>
    <n v="1165.4785259620389"/>
    <n v="1566.7739244293521"/>
    <n v="144.30942638355972"/>
    <n v="255.41297153942892"/>
    <n v="330.34837604835946"/>
    <n v="405.88918079418261"/>
    <n v="520.19622638393275"/>
    <n v="712.92342471482118"/>
    <n v="1104.452668677289"/>
    <n v="-165.14661418957104"/>
    <n v="-67.08128726702256"/>
    <n v="0"/>
    <n v="68.294030173774445"/>
    <n v="172.7643245906755"/>
    <n v="351.50400623852033"/>
    <n v="722.21722895959249"/>
    <n v="-385.07333916610804"/>
    <n v="-302.47755721282488"/>
    <n v="-244.93135187757815"/>
    <n v="-185.58640382883453"/>
    <n v="-93.510287708109274"/>
    <n v="67.06123134274975"/>
    <n v="409.21785812370928"/>
    <n v="-537.2717650125868"/>
    <n v="-470.43604869536608"/>
    <n v="-422.83601780536696"/>
    <n v="-372.98563772734144"/>
    <n v="-294.3149447490967"/>
    <n v="-153.94097040504349"/>
    <n v="155.04469431177981"/>
    <n v="-708.27370998032018"/>
    <n v="-668.60715232589473"/>
    <n v="-638.8287011940896"/>
    <n v="-606.46443974234853"/>
    <n v="-553.25402019455612"/>
    <n v="-452.91563375043467"/>
    <n v="-214.05683312642054"/>
  </r>
  <r>
    <x v="0"/>
    <n v="1100"/>
    <n v="0.02"/>
    <s v="Option"/>
    <s v="USD"/>
    <n v="-20"/>
    <x v="2"/>
    <s v="Call"/>
    <d v="2010-03-19T00:00:00"/>
    <n v="0.47079318216922272"/>
    <n v="1.0999999999999999E-2"/>
    <n v="141.86687427093443"/>
    <n v="-2837.3374854186886"/>
    <s v="JP Horgan"/>
    <m/>
    <n v="779.62393671782661"/>
    <n v="920.94642833417947"/>
    <n v="1.6155134450954702"/>
    <n v="67.766641768526227"/>
    <n v="-0.53574559989739445"/>
    <n v="1.1881501437366759"/>
    <n v="-15592.478734356533"/>
    <n v="-18418.928566683589"/>
    <n v="-32.310268901909403"/>
    <n v="-1355.3328353705247"/>
    <n v="10.714911997947889"/>
    <n v="-23.76300287473352"/>
    <n v="2240.4527309508926"/>
    <n v="1353.8763830409084"/>
    <n v="730.79014179769956"/>
    <n v="304.29997130354423"/>
    <n v="-319.03193082705229"/>
    <n v="-822.7584623947746"/>
    <n v="-1720.1254909103955"/>
    <n v="-3674.0226678172712"/>
    <n v="314.54355988394127"/>
    <n v="159.65763409254578"/>
    <n v="64.337455337395113"/>
    <n v="32.241029321548922"/>
    <n v="-32.376617479471861"/>
    <n v="-64.880467372181556"/>
    <n v="-163.08054895558826"/>
    <n v="-328.6649495251595"/>
    <n v="2367.8159394437057"/>
    <n v="2292.165368808407"/>
    <n v="2240.4527309508926"/>
    <n v="2187.8475244357355"/>
    <n v="2107.472327298412"/>
    <n v="1970.2465826444018"/>
    <n v="1686.7691412364536"/>
    <n v="1523.6357247983619"/>
    <n v="1421.7688081891083"/>
    <n v="1353.8763830409084"/>
    <n v="1286.0023962046773"/>
    <n v="1184.2315960475287"/>
    <n v="1014.7397920191031"/>
    <n v="676.3403834089695"/>
    <n v="901.58397315935645"/>
    <n v="799.19159128602132"/>
    <n v="730.79014179769956"/>
    <n v="662.29814782552467"/>
    <n v="559.42337246145371"/>
    <n v="387.70245978649427"/>
    <n v="43.780084067874441"/>
    <n v="159.65763409254578"/>
    <n v="64.337455337395113"/>
    <n v="0"/>
    <n v="-64.880467372181556"/>
    <n v="-163.08054895558826"/>
    <n v="-328.6649495251595"/>
    <n v="-664.93170997660172"/>
    <n v="-682.5903754787555"/>
    <n v="-765.69629719953127"/>
    <n v="-822.7584623947746"/>
    <n v="-880.98329487267165"/>
    <n v="-970.23985979940107"/>
    <n v="-1123.2967517393308"/>
    <n v="-1441.3811880981439"/>
    <n v="-1603.5138377864178"/>
    <n v="-1672.0062792184603"/>
    <n v="-1720.1254909103955"/>
    <n v="-1770.0062005045493"/>
    <n v="-1847.7909266112533"/>
    <n v="-1984.2232897235294"/>
    <n v="-2276.6893418074551"/>
    <n v="-3603.3253181178497"/>
    <n v="-3643.8158370476572"/>
    <n v="-3674.0226678172712"/>
    <n v="-3706.6608323750961"/>
    <n v="-3759.9014560848127"/>
    <n v="-3859.0080875828289"/>
    <n v="-4089.556206049665"/>
  </r>
  <r>
    <x v="0"/>
    <n v="1100"/>
    <n v="0.02"/>
    <s v="Option"/>
    <s v="USD"/>
    <n v="-50"/>
    <x v="3"/>
    <s v="Put"/>
    <d v="2010-06-18T00:00:00"/>
    <n v="0.35896400835070608"/>
    <n v="1.4999999999999999E-2"/>
    <n v="104.13231163075892"/>
    <n v="-5206.6155815379461"/>
    <s v="Exch"/>
    <m/>
    <n v="-497.78902004007335"/>
    <n v="912.62722217958503"/>
    <n v="2.8541617426172672"/>
    <n v="-11.090476100023295"/>
    <n v="-0.32472242880323304"/>
    <n v="-2.6220682667304742"/>
    <n v="24889.451002003669"/>
    <n v="-45631.361108979254"/>
    <n v="-142.70808713086336"/>
    <n v="554.52380500116476"/>
    <n v="16.236121440161654"/>
    <n v="131.10341333652372"/>
    <n v="-6869.145090382327"/>
    <n v="-2961.206435890736"/>
    <n v="-1360.96327795872"/>
    <n v="-516.210428426254"/>
    <n v="479.72263990859858"/>
    <n v="1133.4818717497399"/>
    <n v="2059.3603778600368"/>
    <n v="3388.936317300343"/>
    <n v="1429.5908419437096"/>
    <n v="714.200934882345"/>
    <n v="285.52499469074917"/>
    <n v="142.73555299699012"/>
    <n v="-142.68010103045867"/>
    <n v="-285.30319180202071"/>
    <n v="-712.81488721438393"/>
    <n v="-1424.0499621541517"/>
    <n v="-6491.0200316664914"/>
    <n v="-6710.9229140336456"/>
    <n v="-6869.145090382327"/>
    <n v="-7035.4352043205072"/>
    <n v="-7298.0202701041126"/>
    <n v="-7764.4924568735714"/>
    <n v="-8774.6574501691575"/>
    <n v="-2360.0244733277264"/>
    <n v="-2718.316469798478"/>
    <n v="-2961.206435890736"/>
    <n v="-3206.7169047157536"/>
    <n v="-3579.0151864957379"/>
    <n v="-4207.7072151229031"/>
    <n v="-5484.2138757811454"/>
    <n v="-685.10836874116023"/>
    <n v="-1090.0614628313833"/>
    <n v="-1360.96327795872"/>
    <n v="-1632.4250606208097"/>
    <n v="-2040.395665056988"/>
    <n v="-2721.6264167298759"/>
    <n v="-4085.1878444874674"/>
    <n v="714.200934882345"/>
    <n v="285.52499469074917"/>
    <n v="0"/>
    <n v="-285.30319180202071"/>
    <n v="-712.81488721438393"/>
    <n v="-1424.0499621541517"/>
    <n v="-2841.0172472988679"/>
    <n v="1849.0836467090589"/>
    <n v="1420.1353232867264"/>
    <n v="1133.4818717497399"/>
    <n v="846.43215846258215"/>
    <n v="415.34039565962928"/>
    <n v="-303.86050628623025"/>
    <n v="-1741.8030064604636"/>
    <n v="2744.1625478184164"/>
    <n v="2335.3083621383944"/>
    <n v="2059.3603778600368"/>
    <n v="1781.2367437899752"/>
    <n v="1360.739310598666"/>
    <n v="653.30040582983884"/>
    <n v="-776.29525283709597"/>
    <n v="3948.3745461797712"/>
    <n v="3619.2539920992303"/>
    <n v="3388.936317300343"/>
    <n v="3151.2444696743728"/>
    <n v="2782.9462437157363"/>
    <n v="2143.995960318412"/>
    <n v="801.37971739815441"/>
  </r>
  <r>
    <x v="0"/>
    <n v="1100"/>
    <n v="0.02"/>
    <s v="Option"/>
    <s v="USD"/>
    <n v="20"/>
    <x v="4"/>
    <s v="Call"/>
    <d v="2010-06-18T00:00:00"/>
    <n v="0.3956302003368482"/>
    <n v="1.4999999999999999E-2"/>
    <n v="144.43228295286826"/>
    <n v="2888.6456590573653"/>
    <s v="Exch"/>
    <m/>
    <n v="698.18732002678712"/>
    <n v="780.96803510235679"/>
    <n v="2.6918877747556711"/>
    <n v="23.96444496808888"/>
    <n v="-0.31940339284285374"/>
    <n v="2.4122479697192634"/>
    <n v="13963.746400535743"/>
    <n v="15619.360702047135"/>
    <n v="53.83775549511342"/>
    <n v="479.28889936177762"/>
    <n v="-6.3880678568570746"/>
    <n v="48.244959394385269"/>
    <n v="-2093.0855205649541"/>
    <n v="-1228.9899176160327"/>
    <n v="-657.65649628164624"/>
    <n v="-272.92971908659638"/>
    <n v="285.4224363563003"/>
    <n v="735.64453709806685"/>
    <n v="1539.6087200182751"/>
    <n v="3312.7495583925315"/>
    <n v="-534.69935027050724"/>
    <n v="-268.4502653653135"/>
    <n v="-107.57136612726072"/>
    <n v="-53.812778944457023"/>
    <n v="53.860751973984407"/>
    <n v="107.76378919792251"/>
    <n v="269.67647905553349"/>
    <n v="539.96156361235535"/>
    <n v="-2290.8167598823766"/>
    <n v="-2173.5482045546628"/>
    <n v="-2093.0855205649541"/>
    <n v="-2011.0801959192218"/>
    <n v="-1885.6138010407353"/>
    <n v="-1671.2604401299893"/>
    <n v="-1229.1481060359979"/>
    <n v="-1486.8444974919078"/>
    <n v="-1332.2132010007226"/>
    <n v="-1228.9899176160327"/>
    <n v="-1125.6955756238267"/>
    <n v="-970.67775623750435"/>
    <n v="-712.28490635695266"/>
    <n v="-196.25064458982592"/>
    <n v="-927.09462033019008"/>
    <n v="-765.37130736354925"/>
    <n v="-657.65649628164624"/>
    <n v="-550.02881422327619"/>
    <n v="-388.76241023012994"/>
    <n v="-120.49511510582875"/>
    <n v="413.84913197112951"/>
    <n v="-268.4502653653135"/>
    <n v="-107.57136612726072"/>
    <n v="0"/>
    <n v="107.76378919792251"/>
    <n v="269.67647905553349"/>
    <n v="539.96156361235535"/>
    <n v="1080.7910566991825"/>
    <n v="478.86801885078967"/>
    <n v="632.18557584516248"/>
    <n v="735.64453709806685"/>
    <n v="839.92257701790322"/>
    <n v="997.60830425843096"/>
    <n v="1263.00704309607"/>
    <n v="1799.793151399308"/>
    <n v="1302.4653905465539"/>
    <n v="1443.2794058964555"/>
    <n v="1539.6087200182751"/>
    <n v="1637.5890504784184"/>
    <n v="1787.1814743787149"/>
    <n v="2042.0663397405406"/>
    <n v="2565.929051611879"/>
    <n v="3127.2979588410908"/>
    <n v="3235.6931931297436"/>
    <n v="3312.7495583925315"/>
    <n v="3393.1636650894075"/>
    <n v="3519.3076103704607"/>
    <n v="3741.8078456085914"/>
    <n v="4220.2993388888553"/>
  </r>
  <r>
    <x v="0"/>
    <n v="1100"/>
    <n v="0.02"/>
    <s v="Option"/>
    <s v="USD"/>
    <n v="25"/>
    <x v="6"/>
    <s v="Put"/>
    <d v="2010-06-18T00:00:00"/>
    <n v="0.51838666539148304"/>
    <n v="1.4999999999999999E-2"/>
    <n v="59.069959177058593"/>
    <n v="1476.7489794264648"/>
    <s v="GoldMine Sacks"/>
    <m/>
    <n v="-248.86143911000528"/>
    <n v="481.77929671825308"/>
    <n v="2.1758863632760672"/>
    <n v="125.84709738360738"/>
    <n v="-0.3556829358286932"/>
    <n v="-1.3413997897984422"/>
    <n v="-6221.5359777501317"/>
    <n v="12044.482417956327"/>
    <n v="54.397159081901677"/>
    <n v="3146.1774345901845"/>
    <n v="-8.8920733957173308"/>
    <n v="-33.534994744961054"/>
    <n v="1832.1225049032748"/>
    <n v="755.73307209256905"/>
    <n v="342.80921821624588"/>
    <n v="129.35127610059141"/>
    <n v="-119.71417440000707"/>
    <n v="-282.52799739185122"/>
    <n v="-513.92538224035957"/>
    <n v="-855.33584811084461"/>
    <n v="-524.52508569965914"/>
    <n v="-267.62852530545587"/>
    <n v="-108.13924990035062"/>
    <n v="-54.236673354875364"/>
    <n v="54.551390751124984"/>
    <n v="109.39931641727796"/>
    <n v="275.55659607905341"/>
    <n v="557.00632075533326"/>
    <n v="1545.9274245235704"/>
    <n v="1717.7135255584844"/>
    <n v="1832.1225049032748"/>
    <n v="1946.4296188165918"/>
    <n v="2117.6823292678778"/>
    <n v="2402.4892561206116"/>
    <n v="2969.4361068965136"/>
    <n v="462.81043584096864"/>
    <n v="638.3831887878714"/>
    <n v="755.73307209256905"/>
    <n v="873.27074112731964"/>
    <n v="1049.8445962697517"/>
    <n v="1344.5777384051737"/>
    <n v="1934.3085042150917"/>
    <n v="59.465007271614923"/>
    <n v="228.88506106426973"/>
    <n v="342.80921821624588"/>
    <n v="457.3970120161178"/>
    <n v="630.33558393483133"/>
    <n v="920.79311646459837"/>
    <n v="1507.0453471925107"/>
    <n v="-267.62852530545587"/>
    <n v="-108.13924990035062"/>
    <n v="0"/>
    <n v="109.39931641727796"/>
    <n v="275.55659607905341"/>
    <n v="557.00632075533326"/>
    <n v="1131.9023025413017"/>
    <n v="-530.24347870029158"/>
    <n v="-383.22955611536929"/>
    <n v="-282.52799739185122"/>
    <n v="-179.92661344240304"/>
    <n v="-22.874589662018252"/>
    <n v="245.94892290453174"/>
    <n v="803.18675243314885"/>
    <n v="-739.27651426495095"/>
    <n v="-606.17777872569934"/>
    <n v="-513.92538224035957"/>
    <n v="-419.15519543753067"/>
    <n v="-272.77287041767551"/>
    <n v="-19.154061646394638"/>
    <n v="515.61165813492312"/>
    <n v="-1034.0884914962498"/>
    <n v="-929.70441085059576"/>
    <n v="-855.33584811084461"/>
    <n v="-777.4539409889677"/>
    <n v="-654.58806860550703"/>
    <n v="-435.58821976724641"/>
    <n v="44.982618227024318"/>
  </r>
  <r>
    <x v="0"/>
    <n v="1100"/>
    <n v="0.02"/>
    <s v="Option"/>
    <s v="USD"/>
    <n v="25"/>
    <x v="6"/>
    <s v="Put"/>
    <d v="2010-06-18T00:00:00"/>
    <n v="0.51838666539148304"/>
    <n v="1.4999999999999999E-2"/>
    <n v="59.069959177058593"/>
    <n v="1476.7489794264648"/>
    <s v="Exch"/>
    <m/>
    <n v="-248.86143911000528"/>
    <n v="481.77929671825308"/>
    <n v="2.1758863632760672"/>
    <n v="125.84709738360738"/>
    <n v="-0.3556829358286932"/>
    <n v="-1.3413997897984422"/>
    <n v="-6221.5359777501317"/>
    <n v="12044.482417956327"/>
    <n v="54.397159081901677"/>
    <n v="3146.1774345901845"/>
    <n v="-8.8920733957173308"/>
    <n v="-33.534994744961054"/>
    <n v="1832.1225049032748"/>
    <n v="755.73307209256905"/>
    <n v="342.80921821624588"/>
    <n v="129.35127610059141"/>
    <n v="-119.71417440000707"/>
    <n v="-282.52799739185122"/>
    <n v="-513.92538224035957"/>
    <n v="-855.33584811084461"/>
    <n v="-524.52508569965914"/>
    <n v="-267.62852530545587"/>
    <n v="-108.13924990035062"/>
    <n v="-54.236673354875364"/>
    <n v="54.551390751124984"/>
    <n v="109.39931641727796"/>
    <n v="275.55659607905341"/>
    <n v="557.00632075533326"/>
    <n v="1545.9274245235704"/>
    <n v="1717.7135255584844"/>
    <n v="1832.1225049032748"/>
    <n v="1946.4296188165918"/>
    <n v="2117.6823292678778"/>
    <n v="2402.4892561206116"/>
    <n v="2969.4361068965136"/>
    <n v="462.81043584096864"/>
    <n v="638.3831887878714"/>
    <n v="755.73307209256905"/>
    <n v="873.27074112731964"/>
    <n v="1049.8445962697517"/>
    <n v="1344.5777384051737"/>
    <n v="1934.3085042150917"/>
    <n v="59.465007271614923"/>
    <n v="228.88506106426973"/>
    <n v="342.80921821624588"/>
    <n v="457.3970120161178"/>
    <n v="630.33558393483133"/>
    <n v="920.79311646459837"/>
    <n v="1507.0453471925107"/>
    <n v="-267.62852530545587"/>
    <n v="-108.13924990035062"/>
    <n v="0"/>
    <n v="109.39931641727796"/>
    <n v="275.55659607905341"/>
    <n v="557.00632075533326"/>
    <n v="1131.9023025413017"/>
    <n v="-530.24347870029158"/>
    <n v="-383.22955611536929"/>
    <n v="-282.52799739185122"/>
    <n v="-179.92661344240304"/>
    <n v="-22.874589662018252"/>
    <n v="245.94892290453174"/>
    <n v="803.18675243314885"/>
    <n v="-739.27651426495095"/>
    <n v="-606.17777872569934"/>
    <n v="-513.92538224035957"/>
    <n v="-419.15519543753067"/>
    <n v="-272.77287041767551"/>
    <n v="-19.154061646394638"/>
    <n v="515.61165813492312"/>
    <n v="-1034.0884914962498"/>
    <n v="-929.70441085059576"/>
    <n v="-855.33584811084461"/>
    <n v="-777.4539409889677"/>
    <n v="-654.58806860550703"/>
    <n v="-435.58821976724641"/>
    <n v="44.982618227024318"/>
  </r>
  <r>
    <x v="0"/>
    <n v="1100"/>
    <n v="0.02"/>
    <s v="Option"/>
    <s v="USD"/>
    <n v="50"/>
    <x v="7"/>
    <s v="Call"/>
    <d v="2010-06-18T00:00:00"/>
    <n v="0.32969444289961214"/>
    <n v="1.4999999999999999E-2"/>
    <n v="26.825157221083771"/>
    <n v="1341.2578610541887"/>
    <s v="Exch"/>
    <m/>
    <n v="238.28375127170557"/>
    <n v="739.01958700862792"/>
    <n v="2.1227645761031813"/>
    <n v="497.81833808904207"/>
    <n v="-0.2157163549014337"/>
    <n v="0.92114839600133891"/>
    <n v="11914.187563585278"/>
    <n v="36950.979350431393"/>
    <n v="106.13822880515906"/>
    <n v="24890.916904452104"/>
    <n v="-10.785817745071686"/>
    <n v="46.057419800066945"/>
    <n v="-1216.4564534577103"/>
    <n v="-858.12497237522507"/>
    <n v="-507.59937833799427"/>
    <n v="-223.7649783538032"/>
    <n v="253.30895117636061"/>
    <n v="691.70094004686575"/>
    <n v="1586.8775894232442"/>
    <n v="4019.2576644389901"/>
    <n v="-902.19570672478108"/>
    <n v="-495.61966961093731"/>
    <n v="-207.05906098690861"/>
    <n v="-104.86434376147571"/>
    <n v="107.3545194143918"/>
    <n v="217.03276667935398"/>
    <n v="558.5228083572033"/>
    <n v="1161.776101261526"/>
    <n v="-1299.806245851843"/>
    <n v="-1256.7736637928567"/>
    <n v="-1216.4564534577103"/>
    <n v="-1166.1681309296184"/>
    <n v="-1071.5465989805616"/>
    <n v="-863.30738103821079"/>
    <n v="-276.60570397181061"/>
    <n v="-1106.209058089376"/>
    <n v="-968.00256028831632"/>
    <n v="-858.12497237522507"/>
    <n v="-735.05394078013637"/>
    <n v="-527.78457973038121"/>
    <n v="-129.74430564978832"/>
    <n v="817.51936053025111"/>
    <n v="-873.63249328681081"/>
    <n v="-664.50109819956538"/>
    <n v="-507.59937833799427"/>
    <n v="-338.34124982302285"/>
    <n v="-64.066306098057169"/>
    <n v="438.28670719949372"/>
    <n v="1565.6978392869221"/>
    <n v="-495.61966961093731"/>
    <n v="-207.05906098690861"/>
    <n v="0"/>
    <n v="217.03276667935398"/>
    <n v="558.5228083572033"/>
    <n v="1161.776101261526"/>
    <n v="2456.3709606885"/>
    <n v="68.984337488487313"/>
    <n v="436.50020392888393"/>
    <n v="691.70094004686575"/>
    <n v="953.60761790574315"/>
    <n v="1356.9115247629297"/>
    <n v="2050.7398082563186"/>
    <n v="3491.686506035353"/>
    <n v="854.01584010183456"/>
    <n v="1290.517847088978"/>
    <n v="1586.8775894232442"/>
    <n v="1886.6652695556411"/>
    <n v="2341.5481241598513"/>
    <n v="3110.0789927170381"/>
    <n v="4670.8212370367964"/>
    <n v="3158.9105346377069"/>
    <n v="3675.2454870660672"/>
    <n v="4019.2576644389901"/>
    <n v="4363.0714190822773"/>
    <n v="4878.3707640796392"/>
    <n v="5735.9103474425556"/>
    <n v="7445.1232885505387"/>
  </r>
  <r>
    <x v="0"/>
    <n v="1100"/>
    <n v="0.02"/>
    <s v="Option"/>
    <s v="USD"/>
    <n v="50"/>
    <x v="8"/>
    <s v="Call"/>
    <d v="2010-06-18T00:00:00"/>
    <n v="0.32830725519482734"/>
    <n v="1.4999999999999999E-2"/>
    <n v="32.223915655975617"/>
    <n v="1611.1957827987808"/>
    <s v="Exch"/>
    <m/>
    <n v="275.72170428980866"/>
    <n v="804.39548343590673"/>
    <n v="2.3008290875624899"/>
    <n v="411.49977968015173"/>
    <n v="-0.23243924890555179"/>
    <n v="1.0607163943227247"/>
    <n v="13786.085214490433"/>
    <n v="40219.774171795339"/>
    <n v="115.0414543781245"/>
    <n v="20574.988984007585"/>
    <n v="-11.621962445277589"/>
    <n v="53.035819716136231"/>
    <n v="-1449.3948591380129"/>
    <n v="-1009.9695494241637"/>
    <n v="-592.60922736984867"/>
    <n v="-259.86604139476981"/>
    <n v="292.0214183990808"/>
    <n v="792.91357049043972"/>
    <n v="1801.876876368739"/>
    <n v="4480.487862416514"/>
    <n v="-1014.6678446855987"/>
    <n v="-545.84306578470751"/>
    <n v="-225.75015518196295"/>
    <n v="-113.9860875823075"/>
    <n v="116.04472557920786"/>
    <n v="233.99838837841997"/>
    <n v="597.99611057304242"/>
    <n v="1232.0146041399526"/>
    <n v="-1553.0479244884082"/>
    <n v="-1498.6228636752976"/>
    <n v="-1449.3948591380129"/>
    <n v="-1389.4113601431841"/>
    <n v="-1279.2600775699366"/>
    <n v="-1044.045928499004"/>
    <n v="-405.92002971942736"/>
    <n v="-1299.9134292668714"/>
    <n v="-1136.5103338123972"/>
    <n v="-1009.9695494241637"/>
    <n v="-870.64580719882872"/>
    <n v="-640.11910349003779"/>
    <n v="-206.98567038172939"/>
    <n v="796.06861147089057"/>
    <n v="-1007.7421361010948"/>
    <n v="-768.34765243234813"/>
    <n v="-592.60922736984867"/>
    <n v="-405.69082288354394"/>
    <n v="-107.16449811078377"/>
    <n v="429.90077149371757"/>
    <n v="1608.6310101972388"/>
    <n v="-545.84306578470751"/>
    <n v="-225.75015518196295"/>
    <n v="0"/>
    <n v="233.99838837841997"/>
    <n v="597.99611057304242"/>
    <n v="1232.0146041399526"/>
    <n v="2569.0113201963968"/>
    <n v="126.46317955580884"/>
    <n v="521.8541075455405"/>
    <n v="792.91357049043972"/>
    <n v="1068.8110081032207"/>
    <n v="1490.0907223180568"/>
    <n v="2207.3620648498477"/>
    <n v="3677.933500462022"/>
    <n v="1039.1567676751479"/>
    <n v="1494.9862472538327"/>
    <n v="1801.876876368739"/>
    <n v="2110.647447161135"/>
    <n v="2576.5875679521387"/>
    <n v="3358.490348421195"/>
    <n v="4933.1273224304696"/>
    <n v="3631.956751072606"/>
    <n v="4141.1557191141283"/>
    <n v="4480.487862416514"/>
    <n v="4819.6719599364815"/>
    <n v="5328.1055883475219"/>
    <n v="6174.3697843682512"/>
    <n v="7861.4852967673514"/>
  </r>
  <r>
    <x v="0"/>
    <n v="1100"/>
    <n v="0.02"/>
    <s v="Option"/>
    <s v="USD"/>
    <n v="-30"/>
    <x v="5"/>
    <s v="Call"/>
    <d v="2010-06-18T00:00:00"/>
    <n v="0.32932352495643258"/>
    <n v="1.4999999999999999E-2"/>
    <n v="47.133791884368577"/>
    <n v="-1414.0137565310574"/>
    <s v="Exch"/>
    <m/>
    <n v="366.66046110152155"/>
    <n v="915.18511570031228"/>
    <n v="2.6258260897602135"/>
    <n v="215.75139899873821"/>
    <n v="-0.26497304874944189"/>
    <n v="1.3919106960418444"/>
    <n v="-10999.813833045646"/>
    <n v="-27455.553471009367"/>
    <n v="-78.774782692806411"/>
    <n v="-6472.5419699621461"/>
    <n v="7.9491914624832569"/>
    <n v="-41.757320881255332"/>
    <n v="1241.9847721473295"/>
    <n v="838.83459999185197"/>
    <n v="482.7349908729559"/>
    <n v="209.09100060267747"/>
    <n v="-231.03992144055553"/>
    <n v="-619.40913977131231"/>
    <n v="-1378.4404210216026"/>
    <n v="-3295.6031531688045"/>
    <n v="742.54496844486198"/>
    <n v="384.41576620657429"/>
    <n v="156.1747550395495"/>
    <n v="78.441387299612302"/>
    <n v="-79.089140134578884"/>
    <n v="-158.77176496426728"/>
    <n v="-400.91347853382729"/>
    <n v="-812.5775965364943"/>
    <n v="1339.9524099792911"/>
    <n v="1286.6230702441255"/>
    <n v="1241.9847721473295"/>
    <n v="1190.2820904864902"/>
    <n v="1100.1576962339336"/>
    <n v="919.61285926774178"/>
    <n v="466.90183209658642"/>
    <n v="1073.5453175686664"/>
    <n v="938.23406148305935"/>
    <n v="838.83459999185197"/>
    <n v="733.06012776554553"/>
    <n v="564.0376438936687"/>
    <n v="259.73959479811072"/>
    <n v="-408.77526414770102"/>
    <n v="795.61075684641082"/>
    <n v="612.04567540229868"/>
    <n v="482.7349908729559"/>
    <n v="348.79686587824551"/>
    <n v="140.59824050354109"/>
    <n v="-221.7380433840475"/>
    <n v="-985.05776803726519"/>
    <n v="384.41576620657429"/>
    <n v="156.1747550395495"/>
    <n v="0"/>
    <n v="-158.77176496426728"/>
    <n v="-400.91347853382729"/>
    <n v="-812.5775965364943"/>
    <n v="-1655.0688768856476"/>
    <n v="-179.33237302113866"/>
    <n v="-442.51793225780261"/>
    <n v="-619.40913977131231"/>
    <n v="-797.19148603380802"/>
    <n v="-1065.1733034664308"/>
    <n v="-1514.2744273844296"/>
    <n v="-2417.2017979785314"/>
    <n v="-904.70565003500667"/>
    <n v="-1188.947692429344"/>
    <n v="-1378.4404210216026"/>
    <n v="-1567.8969580841767"/>
    <n v="-1851.961385974078"/>
    <n v="-2324.9180358135154"/>
    <n v="-3268.1606730084695"/>
    <n v="-2825.2182236281938"/>
    <n v="-3106.5264303117242"/>
    <n v="-3295.6031531688045"/>
    <n v="-3485.6356167052486"/>
    <n v="-3772.0876983576732"/>
    <n v="-4252.1526366375856"/>
    <n v="-5217.3586892559651"/>
  </r>
  <r>
    <x v="0"/>
    <n v="1100"/>
    <n v="0.02"/>
    <s v="Option"/>
    <s v="USD"/>
    <n v="-30"/>
    <x v="2"/>
    <s v="Put"/>
    <d v="2010-06-18T00:00:00"/>
    <n v="0.42038432876631615"/>
    <n v="1.4999999999999999E-2"/>
    <n v="73.271161371525523"/>
    <n v="-2198.1348411457657"/>
    <s v="JP Horgan"/>
    <m/>
    <n v="-347.74279025404621"/>
    <n v="701.71633499291147"/>
    <n v="2.570054658892404"/>
    <n v="55.644015063410578"/>
    <n v="-0.34150424954132458"/>
    <n v="-1.83400598105386"/>
    <n v="10432.283707621387"/>
    <n v="-21051.490049787346"/>
    <n v="-77.101639766772124"/>
    <n v="-1669.3204519023172"/>
    <n v="10.245127486239737"/>
    <n v="55.020179431615801"/>
    <n v="-3058.6960180237088"/>
    <n v="-1271.7644611591049"/>
    <n v="-576.56409658235816"/>
    <n v="-217.21670134008207"/>
    <n v="200.37720910061296"/>
    <n v="471.37391102692675"/>
    <n v="851.85952728761322"/>
    <n v="1395.4698430598846"/>
    <n v="759.50093402643688"/>
    <n v="383.07354329063173"/>
    <n v="153.84864564986685"/>
    <n v="77.015634399688793"/>
    <n v="-77.182672730362469"/>
    <n v="-154.51807693554201"/>
    <n v="-387.31407362686241"/>
    <n v="-777.31179007672324"/>
    <n v="-2737.2813907408172"/>
    <n v="-2928.9939101073023"/>
    <n v="-3058.6960180237088"/>
    <n v="-3189.6642412424726"/>
    <n v="-3388.1118239337675"/>
    <n v="-3723.0331281625354"/>
    <n v="-4403.0502242971315"/>
    <n v="-885.38379544441511"/>
    <n v="-1117.2974954548056"/>
    <n v="-1271.7644611591049"/>
    <n v="-1426.1067842440893"/>
    <n v="-1657.3674314298678"/>
    <n v="-2042.0591058415846"/>
    <n v="-2808.2278446668761"/>
    <n v="-183.94041276656367"/>
    <n v="-419.47180811748922"/>
    <n v="-576.56409658235816"/>
    <n v="-733.67483344147786"/>
    <n v="-969.3152753332339"/>
    <n v="-1361.7912624515986"/>
    <n v="-2144.7872720794867"/>
    <n v="383.07354329063173"/>
    <n v="153.84864564986685"/>
    <n v="0"/>
    <n v="-154.51807693554201"/>
    <n v="-387.31407362686241"/>
    <n v="-777.31179007672324"/>
    <n v="-1561.4026883740048"/>
    <n v="832.3613358167313"/>
    <n v="617.26033106925627"/>
    <n v="471.37391102692675"/>
    <n v="323.817314400398"/>
    <n v="99.836787489191465"/>
    <n v="-279.04598348685283"/>
    <n v="-1050.6771513165422"/>
    <n v="1182.0314210756444"/>
    <n v="986.40925270850948"/>
    <n v="851.85952728761322"/>
    <n v="714.47618141789633"/>
    <n v="503.82662898026979"/>
    <n v="142.82354883269647"/>
    <n v="-605.25038117161898"/>
    <n v="1652.0599187962844"/>
    <n v="1502.3222129576579"/>
    <n v="1395.4698430598846"/>
    <n v="1283.6193415721386"/>
    <n v="1107.5098654599315"/>
    <n v="795.16943539501824"/>
    <n v="117.68895176290272"/>
  </r>
  <r>
    <x v="0"/>
    <n v="1100"/>
    <n v="0.02"/>
    <s v="Option"/>
    <s v="USD"/>
    <n v="-50"/>
    <x v="3"/>
    <s v="Call"/>
    <d v="2010-06-18T00:00:00"/>
    <n v="0.35896400835070608"/>
    <n v="1.4999999999999999E-2"/>
    <n v="101.75461587020106"/>
    <n v="-5087.7307935100534"/>
    <s v="Exch"/>
    <m/>
    <n v="592.6690449100837"/>
    <n v="912.62722217958503"/>
    <n v="2.8541617426172672"/>
    <n v="-11.090476100023295"/>
    <n v="-0.30988236061599356"/>
    <n v="2.138503951160037"/>
    <n v="-29633.452245504184"/>
    <n v="-45631.361108979254"/>
    <n v="-142.70808713086336"/>
    <n v="554.52380500116476"/>
    <n v="15.494118030799678"/>
    <n v="-106.92519755800186"/>
    <n v="4035.4355591192402"/>
    <n v="2491.0838888600465"/>
    <n v="1365.1818844166712"/>
    <n v="574.24763652389572"/>
    <n v="-610.73542504156535"/>
    <n v="-1592.66329062566"/>
    <n v="-3392.9299468907575"/>
    <n v="-7515.644332201231"/>
    <n v="1429.5908419437096"/>
    <n v="714.20093488233931"/>
    <n v="285.52499469074348"/>
    <n v="142.73555299698728"/>
    <n v="-142.68010103046436"/>
    <n v="-285.30319180202071"/>
    <n v="-712.81488721438393"/>
    <n v="-1424.0499621541544"/>
    <n v="4413.5606178350718"/>
    <n v="4193.657735467923"/>
    <n v="4035.4355591192402"/>
    <n v="3869.1454451810573"/>
    <n v="3606.5603793974547"/>
    <n v="3140.0881926279881"/>
    <n v="2129.923199332417"/>
    <n v="3092.2658514230479"/>
    <n v="2733.973854952299"/>
    <n v="2491.0838888600465"/>
    <n v="2245.5734200350234"/>
    <n v="1873.2751382550391"/>
    <n v="1244.583109627888"/>
    <n v="-31.923551030368458"/>
    <n v="2041.0367936342311"/>
    <n v="1636.0836995440081"/>
    <n v="1365.1818844166712"/>
    <n v="1093.7201017545844"/>
    <n v="685.7494973184032"/>
    <n v="4.5187456455124675"/>
    <n v="-1359.0426821120814"/>
    <n v="714.20093488233931"/>
    <n v="285.52499469074348"/>
    <n v="0"/>
    <n v="-285.30319180202071"/>
    <n v="-712.81488721438393"/>
    <n v="-1424.0499621541544"/>
    <n v="-2841.0172472988761"/>
    <n v="-877.06151566633821"/>
    <n v="-1306.0098390886708"/>
    <n v="-1592.66329062566"/>
    <n v="-1879.7130039128206"/>
    <n v="-2310.804766715768"/>
    <n v="-3030.0056686616244"/>
    <n v="-4467.9481688358519"/>
    <n v="-2708.1277769323779"/>
    <n v="-3116.9819626123967"/>
    <n v="-3392.9299468907575"/>
    <n v="-3671.0535809608191"/>
    <n v="-4091.5510141521281"/>
    <n v="-4798.98991892095"/>
    <n v="-6228.5855775878817"/>
    <n v="-6956.2061033218015"/>
    <n v="-7285.3266574023337"/>
    <n v="-7515.644332201231"/>
    <n v="-7753.3361798271926"/>
    <n v="-8121.634405785835"/>
    <n v="-8760.584689183157"/>
    <n v="-10103.200932103413"/>
  </r>
  <r>
    <x v="0"/>
    <n v="1100"/>
    <n v="0.02"/>
    <s v="Option"/>
    <s v="USD"/>
    <n v="-20"/>
    <x v="4"/>
    <s v="Put"/>
    <d v="2010-06-18T00:00:00"/>
    <n v="0.3956302003368482"/>
    <n v="1.4999999999999999E-2"/>
    <n v="81.239833070783277"/>
    <n v="-1624.7966614156655"/>
    <s v="Exch"/>
    <m/>
    <n v="-392.27074492336976"/>
    <n v="780.96803510235679"/>
    <n v="2.6918877747556711"/>
    <n v="23.96444496808888"/>
    <n v="-0.33693812454965388"/>
    <n v="-2.0626899150978177"/>
    <n v="7845.4148984673957"/>
    <n v="-15619.360702047135"/>
    <n v="-53.83775549511342"/>
    <n v="-479.28889936177762"/>
    <n v="6.7387624909930777"/>
    <n v="41.253798301956351"/>
    <n v="-2268.7467392356748"/>
    <n v="-951.92621228428038"/>
    <n v="-432.80156866851144"/>
    <n v="-163.25350689346578"/>
    <n v="150.760789623763"/>
    <n v="354.81352785208969"/>
    <n v="641.30740988204252"/>
    <n v="1049.0827014080951"/>
    <n v="534.6993502705061"/>
    <n v="268.45026536531236"/>
    <n v="107.57136612725958"/>
    <n v="53.812778944453612"/>
    <n v="-53.860751973987817"/>
    <n v="-107.76378919792137"/>
    <n v="-269.67647905553463"/>
    <n v="-539.96156361235649"/>
    <n v="-2071.0154999182523"/>
    <n v="-2188.2840552459666"/>
    <n v="-2268.7467392356748"/>
    <n v="-2350.7520638814058"/>
    <n v="-2476.218458759894"/>
    <n v="-2690.5718196706393"/>
    <n v="-3132.6841537646305"/>
    <n v="-694.07163240840532"/>
    <n v="-848.7029288995916"/>
    <n v="-951.92621228428038"/>
    <n v="-1055.2205542764898"/>
    <n v="-1210.2383736628099"/>
    <n v="-1468.6312235433604"/>
    <n v="-1984.6654853104906"/>
    <n v="-163.36344461996418"/>
    <n v="-325.08675758660956"/>
    <n v="-432.80156866851144"/>
    <n v="-540.42925072688263"/>
    <n v="-701.69565472003114"/>
    <n v="-969.96294984433007"/>
    <n v="-1504.3071969212917"/>
    <n v="268.45026536531236"/>
    <n v="107.57136612725958"/>
    <n v="0"/>
    <n v="-107.76378919792137"/>
    <n v="-269.67647905553463"/>
    <n v="-539.96156361235649"/>
    <n v="-1080.7910566991836"/>
    <n v="611.59004609936687"/>
    <n v="458.27248910499407"/>
    <n v="354.81352785208969"/>
    <n v="250.53548793224991"/>
    <n v="92.849760691726715"/>
    <n v="-172.54897814591345"/>
    <n v="-709.3350864491515"/>
    <n v="878.45073935376035"/>
    <n v="737.63672400385644"/>
    <n v="641.30740988204252"/>
    <n v="543.32707942189472"/>
    <n v="393.73465552159928"/>
    <n v="138.84979015977137"/>
    <n v="-385.0129217115682"/>
    <n v="1234.5343009595319"/>
    <n v="1126.1390666708837"/>
    <n v="1049.0827014080951"/>
    <n v="968.66859471121927"/>
    <n v="842.52464943016264"/>
    <n v="620.02441419203365"/>
    <n v="141.53292091176922"/>
  </r>
  <r>
    <x v="0"/>
    <n v="1100"/>
    <n v="0.02"/>
    <s v="Option"/>
    <s v="USD"/>
    <n v="-20"/>
    <x v="4"/>
    <s v="Call"/>
    <d v="2010-06-18T00:00:00"/>
    <n v="0.3956302003368482"/>
    <n v="1.4999999999999999E-2"/>
    <n v="144.43228295286826"/>
    <n v="-2888.6456590573653"/>
    <s v="Darklays Capital"/>
    <m/>
    <n v="698.18732002678712"/>
    <n v="780.96803510235679"/>
    <n v="2.6918877747556711"/>
    <n v="23.96444496808888"/>
    <n v="-0.31940339284285374"/>
    <n v="2.4122479697192634"/>
    <n v="-13963.746400535743"/>
    <n v="-15619.360702047135"/>
    <n v="-53.83775549511342"/>
    <n v="-479.28889936177762"/>
    <n v="6.3880678568570746"/>
    <n v="-48.244959394385269"/>
    <n v="2093.0855205649541"/>
    <n v="1228.9899176160327"/>
    <n v="657.65649628164624"/>
    <n v="272.92971908659638"/>
    <n v="-285.4224363563003"/>
    <n v="-735.64453709806685"/>
    <n v="-1539.6087200182751"/>
    <n v="-3312.7495583925315"/>
    <n v="534.69935027050724"/>
    <n v="268.4502653653135"/>
    <n v="107.57136612726072"/>
    <n v="53.812778944457023"/>
    <n v="-53.860751973984407"/>
    <n v="-107.76378919792251"/>
    <n v="-269.67647905553349"/>
    <n v="-539.96156361235535"/>
    <n v="2290.8167598823766"/>
    <n v="2173.5482045546628"/>
    <n v="2093.0855205649541"/>
    <n v="2011.0801959192218"/>
    <n v="1885.6138010407353"/>
    <n v="1671.2604401299893"/>
    <n v="1229.1481060359979"/>
    <n v="1486.8444974919078"/>
    <n v="1332.2132010007226"/>
    <n v="1228.9899176160327"/>
    <n v="1125.6955756238267"/>
    <n v="970.67775623750435"/>
    <n v="712.28490635695266"/>
    <n v="196.25064458982592"/>
    <n v="927.09462033019008"/>
    <n v="765.37130736354925"/>
    <n v="657.65649628164624"/>
    <n v="550.02881422327619"/>
    <n v="388.76241023012994"/>
    <n v="120.49511510582875"/>
    <n v="-413.84913197112951"/>
    <n v="268.4502653653135"/>
    <n v="107.57136612726072"/>
    <n v="0"/>
    <n v="-107.76378919792251"/>
    <n v="-269.67647905553349"/>
    <n v="-539.96156361235535"/>
    <n v="-1080.7910566991825"/>
    <n v="-478.86801885078967"/>
    <n v="-632.18557584516248"/>
    <n v="-735.64453709806685"/>
    <n v="-839.92257701790322"/>
    <n v="-997.60830425843096"/>
    <n v="-1263.00704309607"/>
    <n v="-1799.793151399308"/>
    <n v="-1302.4653905465539"/>
    <n v="-1443.2794058964555"/>
    <n v="-1539.6087200182751"/>
    <n v="-1637.5890504784184"/>
    <n v="-1787.1814743787149"/>
    <n v="-2042.0663397405406"/>
    <n v="-2565.929051611879"/>
    <n v="-3127.2979588410908"/>
    <n v="-3235.6931931297436"/>
    <n v="-3312.7495583925315"/>
    <n v="-3393.1636650894075"/>
    <n v="-3519.3076103704607"/>
    <n v="-3741.8078456085914"/>
    <n v="-4220.2993388888553"/>
  </r>
  <r>
    <x v="0"/>
    <n v="1100"/>
    <n v="0.02"/>
    <s v="Option"/>
    <s v="USD"/>
    <n v="-50"/>
    <x v="3"/>
    <s v="Put"/>
    <d v="2010-09-17T00:00:00"/>
    <n v="0.32918394622393538"/>
    <n v="1.7500000000000002E-2"/>
    <n v="118.59680567678924"/>
    <n v="-5929.8402838394622"/>
    <s v="Exch"/>
    <m/>
    <n v="-486.43182499065125"/>
    <n v="787.76257807430693"/>
    <n v="3.5523122484663197"/>
    <n v="-19.980728286368912"/>
    <n v="-0.23151840944527557"/>
    <n v="-4.1440317169002752"/>
    <n v="24321.591249532561"/>
    <n v="-39388.128903715347"/>
    <n v="-177.61561242331598"/>
    <n v="999.03641431844562"/>
    <n v="11.575920472263778"/>
    <n v="207.20158584501377"/>
    <n v="-6525.7043175777599"/>
    <n v="-2841.635806580166"/>
    <n v="-1316.7544207529374"/>
    <n v="-502.33686711316921"/>
    <n v="470.83667441358728"/>
    <n v="1120.2167528955897"/>
    <n v="2060.3323644505335"/>
    <n v="3478.4057984120354"/>
    <n v="1780.6471107973352"/>
    <n v="889.26405955456005"/>
    <n v="355.42702094321612"/>
    <n v="177.66506316395407"/>
    <n v="-177.56516014717363"/>
    <n v="-355.02741638073019"/>
    <n v="-886.76686172520078"/>
    <n v="-1770.6631919971983"/>
    <n v="-5993.0147820984475"/>
    <n v="-6304.4724967228603"/>
    <n v="-6525.7043175777599"/>
    <n v="-6756.0541949452954"/>
    <n v="-7115.98829482171"/>
    <n v="-7746.2273838941546"/>
    <n v="-9082.7702365045643"/>
    <n v="-2071.3950487777538"/>
    <n v="-2531.0578227322421"/>
    <n v="-2841.635806580166"/>
    <n v="-3154.7994968783487"/>
    <n v="-3628.3618772840728"/>
    <n v="-4424.8794103859436"/>
    <n v="-6032.0753846426323"/>
    <n v="-469.11576080572672"/>
    <n v="-977.23108310309499"/>
    <n v="-1316.7544207529374"/>
    <n v="-1656.6789859717233"/>
    <n v="-2166.9962410828757"/>
    <n v="-3017.7330544505962"/>
    <n v="-4715.5479993358031"/>
    <n v="889.26405955456005"/>
    <n v="355.42702094321612"/>
    <n v="0"/>
    <n v="-355.02741638073019"/>
    <n v="-886.76686172520078"/>
    <n v="-1770.6631919971983"/>
    <n v="-3528.3733177953509"/>
    <n v="2015.5608589327926"/>
    <n v="1478.6848210213066"/>
    <n v="1120.2167528955897"/>
    <n v="761.49995873588239"/>
    <n v="223.23805078180783"/>
    <n v="-673.53769040436475"/>
    <n v="-2461.8834647303402"/>
    <n v="2930.340879952726"/>
    <n v="2410.4129266843102"/>
    <n v="2060.3323644505335"/>
    <n v="1708.120407824319"/>
    <n v="1176.7146337358013"/>
    <n v="285.38705589175493"/>
    <n v="-1506.9421789187941"/>
    <n v="4230.4236314924738"/>
    <n v="3786.5512589588634"/>
    <n v="3478.4057984120354"/>
    <n v="3162.2500172421383"/>
    <n v="2675.6134866857933"/>
    <n v="1839.1054120204331"/>
    <n v="105.182157490745"/>
  </r>
  <r>
    <x v="0"/>
    <n v="1100"/>
    <n v="0.02"/>
    <s v="Option"/>
    <s v="USD"/>
    <n v="-50"/>
    <x v="5"/>
    <s v="Call"/>
    <d v="2010-09-17T00:00:00"/>
    <n v="0.29936102282234395"/>
    <n v="1.7500000000000002E-2"/>
    <n v="59.289572408836989"/>
    <n v="-2964.4786204418497"/>
    <s v="JP Horgan"/>
    <m/>
    <n v="397.94134081509833"/>
    <n v="824.39306315836268"/>
    <n v="3.3807006930785297"/>
    <n v="226.15930520422793"/>
    <n v="-0.1968417271132874"/>
    <n v="2.3195326603168582"/>
    <n v="-19897.067040754915"/>
    <n v="-41219.653157918132"/>
    <n v="-169.03503465392649"/>
    <n v="-11307.965260211397"/>
    <n v="9.842086355664371"/>
    <n v="-115.97663301584291"/>
    <n v="2463.090691505085"/>
    <n v="1588.4498398637816"/>
    <n v="892.80697654870949"/>
    <n v="381.50375604068643"/>
    <n v="-414.46132408125891"/>
    <n v="-1098.1982199473634"/>
    <n v="-2401.6520789648439"/>
    <n v="-5589.2226157340074"/>
    <n v="1606.119245635236"/>
    <n v="828.17318739766961"/>
    <n v="335.64222249501086"/>
    <n v="168.44948627618805"/>
    <n v="-169.58143760607527"/>
    <n v="-340.18393234360644"/>
    <n v="-857.17972353922391"/>
    <n v="-1731.7822372159044"/>
    <n v="2740.4751109712124"/>
    <n v="2587.3599331175642"/>
    <n v="2463.090691505085"/>
    <n v="2322.4506068054502"/>
    <n v="2083.6852214329724"/>
    <n v="1622.3802609041811"/>
    <n v="523.62868400505386"/>
    <n v="2145.1698007475939"/>
    <n v="1822.3730131575608"/>
    <n v="1588.4498398637816"/>
    <n v="1342.0316870580778"/>
    <n v="952.77677665582564"/>
    <n v="263.02162962914082"/>
    <n v="-1218.0600347484074"/>
    <n v="1593.9707376452729"/>
    <n v="1181.2367307667273"/>
    <n v="892.80697654870949"/>
    <n v="595.82845339253652"/>
    <n v="137.31531391544252"/>
    <n v="-653.17340888480544"/>
    <n v="-2295.625648707542"/>
    <n v="828.17318739766961"/>
    <n v="335.64222249501086"/>
    <n v="0"/>
    <n v="-340.18393234360644"/>
    <n v="-857.17972353922391"/>
    <n v="-1731.7822372159044"/>
    <n v="-3508.2324480051484"/>
    <n v="-172.97120945499671"/>
    <n v="-726.66359322377048"/>
    <n v="-1098.1982199473634"/>
    <n v="-1471.1373527194696"/>
    <n v="-2032.459780431418"/>
    <n v="-2971.1027218431468"/>
    <n v="-4851.3103520385839"/>
    <n v="-1416.8833134314184"/>
    <n v="-2007.8627945143921"/>
    <n v="-2401.6520789648439"/>
    <n v="-2795.2053288599072"/>
    <n v="-3384.9711676287939"/>
    <n v="-4366.0208766593769"/>
    <n v="-6318.8630800569972"/>
    <n v="-4601.4418382700915"/>
    <n v="-5192.5117859326401"/>
    <n v="-5589.2226157340074"/>
    <n v="-5987.4929810920603"/>
    <n v="-6587.0323277851412"/>
    <n v="-7589.7622607425201"/>
    <n v="-9598.7773458289212"/>
  </r>
  <r>
    <x v="0"/>
    <n v="1100"/>
    <n v="0.02"/>
    <s v="Option"/>
    <s v="USD"/>
    <n v="-20"/>
    <x v="2"/>
    <s v="Put"/>
    <d v="2010-09-17T00:00:00"/>
    <n v="0.39076411312591419"/>
    <n v="1.7500000000000002E-2"/>
    <n v="90.608697206694444"/>
    <n v="-1812.1739441338889"/>
    <s v="Exch"/>
    <m/>
    <n v="-354.8782990306853"/>
    <n v="605.33736177943922"/>
    <n v="3.2403303742153859"/>
    <n v="46.302084905898745"/>
    <n v="-0.25132738565827906"/>
    <n v="-3.051280796146437"/>
    <n v="7097.5659806137064"/>
    <n v="-12106.747235588784"/>
    <n v="-64.806607484307719"/>
    <n v="-926.04169811797487"/>
    <n v="5.0265477131655807"/>
    <n v="61.025615922928736"/>
    <n v="-1973.6309371659684"/>
    <n v="-840.16339896624004"/>
    <n v="-386.33500472885771"/>
    <n v="-146.87074896051286"/>
    <n v="137.18583256479178"/>
    <n v="325.82040490949453"/>
    <n v="598.35341452289867"/>
    <n v="1011.4435157894928"/>
    <n v="640.97149354270869"/>
    <n v="322.60741817639428"/>
    <n v="129.41207096405492"/>
    <n v="64.758359209421315"/>
    <n v="-64.851048364217831"/>
    <n v="-129.78384983375577"/>
    <n v="-324.97640691410538"/>
    <n v="-651.13481636467668"/>
    <n v="-1698.1659660663547"/>
    <n v="-1862.7156147325206"/>
    <n v="-1973.6309371659684"/>
    <n v="-2085.327934261154"/>
    <n v="-2254.0537804363894"/>
    <n v="-2537.561106176423"/>
    <n v="-3109.1788499661234"/>
    <n v="-519.66855215170085"/>
    <n v="-712.07717207085352"/>
    <n v="-840.16339896624004"/>
    <n v="-968.08855502964775"/>
    <n v="-1159.6525531626696"/>
    <n v="-1477.9831540404314"/>
    <n v="-2110.5990150917523"/>
    <n v="-59.831995769734476"/>
    <n v="-255.75821427091796"/>
    <n v="-386.33500472885771"/>
    <n v="-516.84637806009505"/>
    <n v="-712.43880929834972"/>
    <n v="-1037.7934247735925"/>
    <n v="-1685.2231801392929"/>
    <n v="322.60741817639428"/>
    <n v="129.41207096405492"/>
    <n v="0"/>
    <n v="-129.78384983375577"/>
    <n v="-324.97640691410538"/>
    <n v="-651.13481636467668"/>
    <n v="-1303.9936188299635"/>
    <n v="636.34754446239072"/>
    <n v="451.01607321297365"/>
    <n v="325.82040490949453"/>
    <n v="199.55992250253871"/>
    <n v="8.5445132247195943"/>
    <n v="-313.03841612472979"/>
    <n v="-963.06600784857096"/>
    <n v="890.60754451069499"/>
    <n v="716.97766570608451"/>
    <n v="598.35341452289867"/>
    <n v="477.81795578073456"/>
    <n v="294.01623030778751"/>
    <n v="-18.55507460400986"/>
    <n v="-658.71845549957584"/>
    <n v="1256.3208985382187"/>
    <n v="1112.5935612623493"/>
    <n v="1011.4435157894928"/>
    <n v="906.61415607449328"/>
    <n v="743.40315461073885"/>
    <n v="458.39433756536664"/>
    <n v="-145.84121294456395"/>
  </r>
  <r>
    <x v="0"/>
    <n v="1100"/>
    <n v="0.02"/>
    <s v="Option"/>
    <s v="USD"/>
    <n v="-50"/>
    <x v="9"/>
    <s v="Put"/>
    <d v="2010-09-17T00:00:00"/>
    <n v="0.3454428185513545"/>
    <n v="1.7500000000000002E-2"/>
    <n v="106.82093528205399"/>
    <n v="-5341.0467641026999"/>
    <s v="Exch"/>
    <m/>
    <n v="-438.14776974407386"/>
    <n v="734.93496720134749"/>
    <n v="3.4777809112600107"/>
    <n v="-10.392413374442203"/>
    <n v="-0.23815434848788067"/>
    <n v="-3.7326623631926568"/>
    <n v="21907.388487203694"/>
    <n v="-36746.748360067373"/>
    <n v="-173.88904556300054"/>
    <n v="519.62066872211017"/>
    <n v="11.907717424394033"/>
    <n v="186.63311815963283"/>
    <n v="-5981.3718183015881"/>
    <n v="-2578.2218016231441"/>
    <n v="-1189.9218885197483"/>
    <n v="-453.02434697494505"/>
    <n v="423.63376614927972"/>
    <n v="1006.4551230999797"/>
    <n v="1847.5946007458247"/>
    <n v="3112.5749136997997"/>
    <n v="1739.9558775634573"/>
    <n v="869.92521641501526"/>
    <n v="347.87180605590322"/>
    <n v="173.91377402336161"/>
    <n v="-173.86185519486901"/>
    <n v="-347.66465131062034"/>
    <n v="-868.65373200570559"/>
    <n v="-1735.2303311545541"/>
    <n v="-5383.8909531328709"/>
    <n v="-5736.6125098491038"/>
    <n v="-5981.3718183015881"/>
    <n v="-6232.4943867419197"/>
    <n v="-6619.1245292366002"/>
    <n v="-7284.1588039151047"/>
    <n v="-8664.5634477077328"/>
    <n v="-1782.1748007305218"/>
    <n v="-2258.8339124932277"/>
    <n v="-2578.2218016231441"/>
    <n v="-2898.5656379218567"/>
    <n v="-3380.3868144020412"/>
    <n v="-4185.4892445127234"/>
    <n v="-5796.9100929553751"/>
    <n v="-340.09254795597315"/>
    <n v="-850.15744015325367"/>
    <n v="-1189.9218885197483"/>
    <n v="-1529.4072621228879"/>
    <n v="-2038.021096621665"/>
    <n v="-2883.769555609183"/>
    <n v="-4566.2359300026337"/>
    <n v="869.92521641501526"/>
    <n v="347.87180605590322"/>
    <n v="0"/>
    <n v="-347.66465131062034"/>
    <n v="-868.65373200570559"/>
    <n v="-1735.2303311545541"/>
    <n v="-3459.7552773863326"/>
    <n v="1865.4094082105814"/>
    <n v="1351.114768563164"/>
    <n v="1006.4551230999797"/>
    <n v="660.72891921153598"/>
    <n v="140.67663121597889"/>
    <n v="-728.4205662769125"/>
    <n v="-2468.2097483149078"/>
    <n v="2669.7530635992907"/>
    <n v="2179.525097253611"/>
    <n v="1847.5946007458247"/>
    <n v="1512.4106756781116"/>
    <n v="1004.7467038251881"/>
    <n v="149.1023618539117"/>
    <n v="-1582.1603646248946"/>
    <n v="3809.8751353556127"/>
    <n v="3399.4730112534712"/>
    <n v="3112.5749136997997"/>
    <n v="2816.8015845912605"/>
    <n v="2359.1684836683698"/>
    <n v="1567.1559038563203"/>
    <n v="-89.54388095542356"/>
  </r>
  <r>
    <x v="0"/>
    <n v="1100"/>
    <n v="0.02"/>
    <s v="Option"/>
    <s v="USD"/>
    <n v="-50"/>
    <x v="9"/>
    <s v="Call"/>
    <d v="2010-09-17T00:00:00"/>
    <n v="0.3454428185513545"/>
    <n v="1.7500000000000002E-2"/>
    <n v="137.56822151290169"/>
    <n v="-6878.4110756450846"/>
    <s v="Darklays Capital"/>
    <m/>
    <n v="646.88647629865511"/>
    <n v="734.93496720134749"/>
    <n v="3.4777809112600107"/>
    <n v="-10.392413374442203"/>
    <n v="-0.22924842212035557"/>
    <n v="3.4884811971626948"/>
    <n v="-32344.323814932755"/>
    <n v="-36746.748360067373"/>
    <n v="-173.88904556300054"/>
    <n v="519.62066872211017"/>
    <n v="11.462421106017779"/>
    <n v="-174.42405985813474"/>
    <n v="4868.9706421257069"/>
    <n v="2846.9494285905002"/>
    <n v="1522.6637265870891"/>
    <n v="632.00989906778489"/>
    <n v="-661.40047989343316"/>
    <n v="-1706.130492006838"/>
    <n v="-3577.5766294678192"/>
    <n v="-7737.7675467274912"/>
    <n v="1739.9558775634603"/>
    <n v="869.92521641501526"/>
    <n v="347.87180605591175"/>
    <n v="173.9137740233673"/>
    <n v="-173.86185519486048"/>
    <n v="-347.66465131061466"/>
    <n v="-868.65373200569991"/>
    <n v="-1735.2303311545484"/>
    <n v="5466.4515072944168"/>
    <n v="5113.7299505781857"/>
    <n v="4868.9706421257069"/>
    <n v="4617.8480736853644"/>
    <n v="4231.2179311906921"/>
    <n v="3566.1836565121857"/>
    <n v="2185.779012719564"/>
    <n v="3642.9964294831307"/>
    <n v="3166.3373177204221"/>
    <n v="2846.9494285905002"/>
    <n v="2526.6055922917899"/>
    <n v="2044.7844158116084"/>
    <n v="1239.6819857009234"/>
    <n v="-371.73886274172787"/>
    <n v="2372.4930671508587"/>
    <n v="1862.4281749535699"/>
    <n v="1522.6637265870891"/>
    <n v="1183.178352983947"/>
    <n v="674.56451848516963"/>
    <n v="-171.18394050235111"/>
    <n v="-1853.6503148958018"/>
    <n v="869.92521641501526"/>
    <n v="347.87180605591175"/>
    <n v="0"/>
    <n v="-347.66465131061466"/>
    <n v="-868.65373200569991"/>
    <n v="-1735.2303311545484"/>
    <n v="-3459.7552773863245"/>
    <n v="-847.17620689623914"/>
    <n v="-1361.4708465436649"/>
    <n v="-1706.130492006838"/>
    <n v="-2051.8566958952874"/>
    <n v="-2571.9089838908417"/>
    <n v="-3441.0061813837387"/>
    <n v="-5180.7953634217311"/>
    <n v="-2755.4181666143504"/>
    <n v="-3245.6461329600361"/>
    <n v="-3577.5766294678192"/>
    <n v="-3912.7605545355323"/>
    <n v="-4420.4245263884559"/>
    <n v="-5276.0688683597327"/>
    <n v="-7007.3315948385416"/>
    <n v="-7040.4673250716769"/>
    <n v="-7450.8694491738079"/>
    <n v="-7737.7675467274912"/>
    <n v="-8033.54087583603"/>
    <n v="-8491.1739767589206"/>
    <n v="-9283.1865565709613"/>
    <n v="-10939.886341382709"/>
  </r>
  <r>
    <x v="1"/>
    <n v="2905"/>
    <n v="2.1999999999999999E-2"/>
    <s v="Future"/>
    <s v="EUR"/>
    <n v="20"/>
    <x v="0"/>
    <m/>
    <d v="2010-03-19T00:00:00"/>
    <n v="0"/>
    <m/>
    <n v="2893.1178463623419"/>
    <n v="57862.356927246838"/>
    <s v="Exch"/>
    <m/>
    <n v="2893.1178463623419"/>
    <n v="0"/>
    <n v="0"/>
    <n v="0"/>
    <n v="0.17437970580814116"/>
    <n v="5.389918179524364"/>
    <n v="57862.356927246838"/>
    <n v="0"/>
    <n v="0"/>
    <n v="0"/>
    <n v="3.487594116162823"/>
    <n v="107.79836359048728"/>
    <n v="-11572.471385449362"/>
    <n v="-5786.2356927246765"/>
    <n v="-2893.1178463623382"/>
    <n v="-1157.2471385449353"/>
    <n v="1157.2471385449353"/>
    <n v="2893.1178463623473"/>
    <n v="5786.2356927246947"/>
    <n v="11572.471385449371"/>
    <n v="0"/>
    <n v="0"/>
    <n v="0"/>
    <n v="0"/>
    <n v="0"/>
    <n v="0"/>
    <n v="0"/>
    <n v="0"/>
    <n v="-11572.471385449362"/>
    <n v="-11572.471385449362"/>
    <n v="-11572.471385449362"/>
    <n v="-11572.471385449362"/>
    <n v="-11572.471385449362"/>
    <n v="-11572.471385449362"/>
    <n v="-11572.471385449362"/>
    <n v="-5786.2356927246765"/>
    <n v="-5786.2356927246765"/>
    <n v="-5786.2356927246765"/>
    <n v="-5786.2356927246765"/>
    <n v="-5786.2356927246765"/>
    <n v="-5786.2356927246765"/>
    <n v="-5786.2356927246765"/>
    <n v="-2893.1178463623382"/>
    <n v="-2893.1178463623382"/>
    <n v="-2893.1178463623382"/>
    <n v="-2893.1178463623382"/>
    <n v="-2893.1178463623382"/>
    <n v="-2893.1178463623382"/>
    <n v="-2893.1178463623382"/>
    <n v="0"/>
    <n v="0"/>
    <n v="0"/>
    <n v="0"/>
    <n v="0"/>
    <n v="0"/>
    <n v="0"/>
    <n v="2893.1178463623473"/>
    <n v="2893.1178463623473"/>
    <n v="2893.1178463623473"/>
    <n v="2893.1178463623473"/>
    <n v="2893.1178463623473"/>
    <n v="2893.1178463623473"/>
    <n v="2893.1178463623473"/>
    <n v="5786.2356927246947"/>
    <n v="5786.2356927246947"/>
    <n v="5786.2356927246947"/>
    <n v="5786.2356927246947"/>
    <n v="5786.2356927246947"/>
    <n v="5786.2356927246947"/>
    <n v="5786.2356927246947"/>
    <n v="11572.471385449371"/>
    <n v="11572.471385449371"/>
    <n v="11572.471385449371"/>
    <n v="11572.471385449371"/>
    <n v="11572.471385449371"/>
    <n v="11572.471385449371"/>
    <n v="11572.471385449371"/>
  </r>
  <r>
    <x v="1"/>
    <n v="2905"/>
    <n v="2.1999999999999999E-2"/>
    <s v="Option"/>
    <s v="EUR"/>
    <n v="-20"/>
    <x v="10"/>
    <s v="Call"/>
    <d v="2010-03-19T00:00:00"/>
    <n v="0.39756798563679596"/>
    <n v="2.1999999999999999E-2"/>
    <n v="160.41055787487358"/>
    <n v="-3208.2111574974715"/>
    <s v="GoldMine Sacks"/>
    <m/>
    <n v="1347.236298191099"/>
    <n v="3350.5394623296156"/>
    <n v="4.963318974727593"/>
    <n v="27.726046042558011"/>
    <n v="-1.4412554822936774"/>
    <n v="2.2110726120959812"/>
    <n v="-26944.72596382198"/>
    <n v="-67010.789246592307"/>
    <n v="-99.266379494551856"/>
    <n v="-554.52092085116021"/>
    <n v="28.825109645873546"/>
    <n v="-44.221452241919621"/>
    <n v="2927.6957365832741"/>
    <n v="2032.8698726651942"/>
    <n v="1179.5221979879761"/>
    <n v="512.03141146863345"/>
    <n v="-565.58075673166059"/>
    <n v="-1512.2736120139643"/>
    <n v="-3336.998095872209"/>
    <n v="-7756.8691302200205"/>
    <n v="988.58596597709948"/>
    <n v="495.49733007664145"/>
    <n v="198.41346509554114"/>
    <n v="99.237629477834162"/>
    <n v="-99.293127468813509"/>
    <n v="-198.63600919770761"/>
    <n v="-496.91274701455313"/>
    <n v="-994.61976477246026"/>
    <n v="3058.7609947209148"/>
    <n v="2985.3025302343854"/>
    <n v="2927.6957365832741"/>
    <n v="2863.4672648231099"/>
    <n v="2755.378833094549"/>
    <n v="2546.71251629159"/>
    <n v="2041.0292954147553"/>
    <n v="2368.7905186573462"/>
    <n v="2170.9826364833179"/>
    <n v="2032.8698726651942"/>
    <n v="1890.4411886588559"/>
    <n v="1669.7671225808995"/>
    <n v="1286.5134462945502"/>
    <n v="478.05659634403355"/>
    <n v="1612.2310368818898"/>
    <n v="1354.3057198928113"/>
    <n v="1179.5221979879761"/>
    <n v="1002.8389751839495"/>
    <n v="734.80138334195999"/>
    <n v="281.66868109427014"/>
    <n v="-641.02011526976185"/>
    <n v="495.49733007664145"/>
    <n v="198.41346509554114"/>
    <n v="0"/>
    <n v="-198.63600919770761"/>
    <n v="-496.91274701455313"/>
    <n v="-994.61976477246026"/>
    <n v="-1990.8681444162812"/>
    <n v="-999.59558256784021"/>
    <n v="-1307.1383592323537"/>
    <n v="-1512.2736120139643"/>
    <n v="-1717.4635199630075"/>
    <n v="-2025.3042034776399"/>
    <n v="-2538.3782425949539"/>
    <n v="-3563.8374430480599"/>
    <n v="-2851.0738955379429"/>
    <n v="-3141.3798411795278"/>
    <n v="-3336.998095872209"/>
    <n v="-3533.9992856204253"/>
    <n v="-3831.6752588020108"/>
    <n v="-4332.3634587653805"/>
    <n v="-5345.1233988255944"/>
    <n v="-7405.9003017499072"/>
    <n v="-7611.4459568057282"/>
    <n v="-7756.8691302200205"/>
    <n v="-7908.1672248945597"/>
    <n v="-8144.781914610212"/>
    <n v="-8560.6566665021455"/>
    <n v="-9451.7663371803646"/>
  </r>
  <r>
    <x v="1"/>
    <n v="2905"/>
    <n v="2.1999999999999999E-2"/>
    <s v="Option"/>
    <s v="EUR"/>
    <n v="-30"/>
    <x v="11"/>
    <s v="Call"/>
    <d v="2010-03-19T00:00:00"/>
    <n v="0.4264333531544322"/>
    <n v="2.1999999999999999E-2"/>
    <n v="255.12202571128637"/>
    <n v="-7653.6607713385911"/>
    <s v="Exch"/>
    <m/>
    <n v="1740.2041935197692"/>
    <n v="3033.3282242263963"/>
    <n v="4.81966236490352"/>
    <n v="21.271128855411305"/>
    <n v="-1.4958468874075315"/>
    <n v="2.7667284222185429"/>
    <n v="-52206.125805593074"/>
    <n v="-90999.84672679189"/>
    <n v="-144.5898709471056"/>
    <n v="-638.13386566233919"/>
    <n v="44.875406622225945"/>
    <n v="-83.001852666556289"/>
    <n v="6585.6149853351308"/>
    <n v="4257.9276795400156"/>
    <n v="2374.8528730218595"/>
    <n v="1007.1679949432701"/>
    <n v="-1079.9160157907136"/>
    <n v="-2827.8278357256841"/>
    <n v="-6045.6347491652514"/>
    <n v="-13359.464803755163"/>
    <n v="1441.1898700839151"/>
    <n v="721.98492847292073"/>
    <n v="289.04215509558298"/>
    <n v="144.55674613174097"/>
    <n v="-144.62060963782505"/>
    <n v="-289.29821183980721"/>
    <n v="-723.61199407687081"/>
    <n v="-1448.100336108505"/>
    <n v="6938.3780499261538"/>
    <n v="6733.1707666156572"/>
    <n v="6585.6149853351308"/>
    <n v="6430.3212163904973"/>
    <n v="6184.3345708272382"/>
    <n v="5744.4388287230777"/>
    <n v="4778.4486371715502"/>
    <n v="4891.1810881392512"/>
    <n v="4512.914841819822"/>
    <n v="4257.9276795400156"/>
    <n v="4001.0473781827682"/>
    <n v="3612.7137558296431"/>
    <n v="2959.0681777052373"/>
    <n v="1635.3325435641943"/>
    <n v="3084.3243662121154"/>
    <n v="2658.7143453850535"/>
    <n v="2374.8528730218595"/>
    <n v="2090.9323261790223"/>
    <n v="1664.9996419126546"/>
    <n v="955.15686900593209"/>
    <n v="-463.42292120520369"/>
    <n v="721.98492847292073"/>
    <n v="289.04215509558298"/>
    <n v="0"/>
    <n v="-289.29821183980721"/>
    <n v="-723.61199407687081"/>
    <n v="-1448.100336108505"/>
    <n v="-2897.76069700373"/>
    <n v="-2151.2688217543791"/>
    <n v="-2555.1845295625662"/>
    <n v="-2827.8278357256841"/>
    <n v="-3102.7446057070665"/>
    <n v="-3518.746852631316"/>
    <n v="-4219.8432631774313"/>
    <n v="-5642.056215389468"/>
    <n v="-5455.0853594764112"/>
    <n v="-5804.8673201521615"/>
    <n v="-6045.6347491652514"/>
    <n v="-6291.6409226745282"/>
    <n v="-6669.1863088896589"/>
    <n v="-7317.2180464120311"/>
    <n v="-8664.3253537014953"/>
    <n v="-12981.992715507467"/>
    <n v="-13200.05315080658"/>
    <n v="-13359.464803755163"/>
    <n v="-13529.130958309564"/>
    <n v="-13801.133423229498"/>
    <n v="-14295.197191750394"/>
    <n v="-15403.00773216868"/>
  </r>
  <r>
    <x v="1"/>
    <n v="2905"/>
    <n v="2.1999999999999999E-2"/>
    <s v="Option"/>
    <s v="EUR"/>
    <n v="-20"/>
    <x v="10"/>
    <s v="Put"/>
    <d v="2010-03-19T00:00:00"/>
    <n v="0.39756798563679596"/>
    <n v="2.1999999999999999E-2"/>
    <n v="247.05470680207645"/>
    <n v="-4941.0941360415291"/>
    <s v="Exch"/>
    <m/>
    <n v="-1545.8815481712434"/>
    <n v="3350.5394623296156"/>
    <n v="4.963318974727593"/>
    <n v="27.726046042558011"/>
    <n v="-1.4360330952350513"/>
    <n v="-3.3402648037859111"/>
    <n v="30917.630963424868"/>
    <n v="-67010.789246592307"/>
    <n v="-99.266379494551856"/>
    <n v="-554.52092085116021"/>
    <n v="28.720661904701025"/>
    <n v="66.805296075718218"/>
    <n v="-8644.7756488660889"/>
    <n v="-3753.3658200594755"/>
    <n v="-1713.5956483743621"/>
    <n v="-645.21572707630185"/>
    <n v="591.66638181327016"/>
    <n v="1380.844234348383"/>
    <n v="2449.2375968524811"/>
    <n v="3815.6022552293507"/>
    <n v="988.58596597710402"/>
    <n v="495.4973300766369"/>
    <n v="198.41346509554114"/>
    <n v="99.237629477834162"/>
    <n v="-99.293127468818057"/>
    <n v="-198.63600919770306"/>
    <n v="-496.91274701454859"/>
    <n v="-994.61976477246026"/>
    <n v="-8513.7103907284472"/>
    <n v="-8587.1688552149772"/>
    <n v="-8644.7756488660889"/>
    <n v="-8709.0041206262504"/>
    <n v="-8817.0925523548158"/>
    <n v="-9025.7588691577766"/>
    <n v="-9531.4420900346122"/>
    <n v="-3417.4451740673339"/>
    <n v="-3615.2530562413631"/>
    <n v="-3753.3658200594755"/>
    <n v="-3895.7945040658251"/>
    <n v="-4116.4685701437793"/>
    <n v="-4499.7222464301285"/>
    <n v="-5308.1790963806361"/>
    <n v="-1280.8868094804529"/>
    <n v="-1538.8121264695292"/>
    <n v="-1713.5956483743621"/>
    <n v="-1890.2788711783796"/>
    <n v="-2158.3164630203828"/>
    <n v="-2611.4491652680636"/>
    <n v="-3534.1379616321001"/>
    <n v="495.4973300766369"/>
    <n v="198.41346509554114"/>
    <n v="0"/>
    <n v="-198.63600919770306"/>
    <n v="-496.91274701454859"/>
    <n v="-994.61976477246026"/>
    <n v="-1990.8681444162858"/>
    <n v="1893.5222637945071"/>
    <n v="1585.9794871299982"/>
    <n v="1380.844234348383"/>
    <n v="1175.6543263993399"/>
    <n v="867.81364288471195"/>
    <n v="354.73960376739797"/>
    <n v="-670.71959668572163"/>
    <n v="2935.1617971867586"/>
    <n v="2644.8558515451623"/>
    <n v="2449.2375968524811"/>
    <n v="2252.2364071042693"/>
    <n v="1954.5604339226793"/>
    <n v="1453.8722339593187"/>
    <n v="441.11229389910477"/>
    <n v="4166.5710836994731"/>
    <n v="3961.0254286436452"/>
    <n v="3815.6022552293507"/>
    <n v="3664.3041605548137"/>
    <n v="3427.689470839166"/>
    <n v="3011.8147189472279"/>
    <n v="2120.7050482690011"/>
  </r>
  <r>
    <x v="1"/>
    <n v="2905"/>
    <n v="2.1999999999999999E-2"/>
    <s v="Option"/>
    <s v="EUR"/>
    <n v="-25"/>
    <x v="12"/>
    <s v="Put"/>
    <d v="2010-03-19T00:00:00"/>
    <n v="0.50139327707893011"/>
    <n v="2.1999999999999999E-2"/>
    <n v="100.13754085596645"/>
    <n v="-2503.4385213991613"/>
    <s v="Exch"/>
    <m/>
    <n v="-700.37470971974722"/>
    <n v="2087.7268891218614"/>
    <n v="3.9003019949379456"/>
    <n v="262.97250574999822"/>
    <n v="-1.4318946058702244"/>
    <n v="-1.4913652887437956"/>
    <n v="17509.36774299368"/>
    <n v="-52193.172228046533"/>
    <n v="-97.507549873448639"/>
    <n v="-6574.3126437499559"/>
    <n v="35.79736514675561"/>
    <n v="37.284132218594891"/>
    <n v="-6115.0864334906064"/>
    <n v="-2344.89092809969"/>
    <n v="-1015.1204631460388"/>
    <n v="-371.65373752202697"/>
    <n v="329.89812275912413"/>
    <n v="754.11930016369411"/>
    <n v="1300.840423119547"/>
    <n v="1958.5909790047324"/>
    <n v="934.87556966086629"/>
    <n v="478.48571924180021"/>
    <n v="193.64959378565061"/>
    <n v="97.172610709998253"/>
    <n v="-97.830245716636455"/>
    <n v="-196.28258101871552"/>
    <n v="-495.0495600311541"/>
    <n v="-1002.7040410372791"/>
    <n v="-5648.2889560838057"/>
    <n v="-5927.1798173513016"/>
    <n v="-6115.0864334906064"/>
    <n v="-6304.3614595684548"/>
    <n v="-6590.5026504666494"/>
    <n v="-7072.2969546692948"/>
    <n v="-8048.9981355944419"/>
    <n v="-1797.0074700684704"/>
    <n v="-2125.7278051957401"/>
    <n v="-2344.89092809969"/>
    <n v="-2564.0474280270241"/>
    <n v="-2892.7380441301098"/>
    <n v="-3440.3346066599538"/>
    <n v="-4534.1350220838849"/>
    <n v="-486.94854769554752"/>
    <n v="-803.00357550111698"/>
    <n v="-1015.1204631460388"/>
    <n v="-1228.204811744348"/>
    <n v="-1549.3902877474625"/>
    <n v="-2088.0641625371309"/>
    <n v="-3174.0909140282924"/>
    <n v="478.48571924180021"/>
    <n v="193.64959378565061"/>
    <n v="0"/>
    <n v="-196.28258101871552"/>
    <n v="-495.0495600311541"/>
    <n v="-1002.7040410372791"/>
    <n v="-2044.976744579435"/>
    <n v="1165.2338243170832"/>
    <n v="922.31503221238711"/>
    <n v="754.11930016369411"/>
    <n v="581.46128568019151"/>
    <n v="314.98723948129168"/>
    <n v="-146.24618408678316"/>
    <n v="-1117.9485791541906"/>
    <n v="1638.4247201474764"/>
    <n v="1440.8192016842108"/>
    <n v="1300.840423119547"/>
    <n v="1154.8500112968241"/>
    <n v="925.58956808290986"/>
    <n v="519.46809446326938"/>
    <n v="-364.23633485183871"/>
    <n v="2162.2565727005331"/>
    <n v="2045.8566257144612"/>
    <n v="1958.5909790047324"/>
    <n v="1863.9051131725664"/>
    <n v="1708.6250423464903"/>
    <n v="1417.1579405736381"/>
    <n v="729.51465459916278"/>
  </r>
  <r>
    <x v="1"/>
    <n v="2905"/>
    <n v="2.1999999999999999E-2"/>
    <s v="Option"/>
    <s v="EUR"/>
    <n v="-50"/>
    <x v="13"/>
    <s v="Call"/>
    <d v="2010-03-19T00:00:00"/>
    <n v="0.38870814783338209"/>
    <n v="2.1999999999999999E-2"/>
    <n v="124.39082072260032"/>
    <n v="-6219.5410361300164"/>
    <s v="GoldMine Sacks"/>
    <m/>
    <n v="1146.6592317215129"/>
    <n v="3322.8744596476458"/>
    <n v="4.8126427186350194"/>
    <n v="140.12612368576524"/>
    <n v="-1.3680270573624032"/>
    <n v="1.9045000533678369"/>
    <n v="-57332.961586075646"/>
    <n v="-166143.72298238229"/>
    <n v="-240.63213593175098"/>
    <n v="-7006.3061842882616"/>
    <n v="68.401352868120156"/>
    <n v="-95.225002668391852"/>
    <n v="5788.216150180805"/>
    <n v="4152.2203299065695"/>
    <n v="2458.3186651695487"/>
    <n v="1080.5322968184385"/>
    <n v="-1213.2890104581691"/>
    <n v="-3282.8994369081383"/>
    <n v="-7379.3667934422101"/>
    <n v="-17692.622076504638"/>
    <n v="2358.9068876758688"/>
    <n v="1193.0653551317221"/>
    <n v="479.78386915639248"/>
    <n v="240.27217038625963"/>
    <n v="-240.97325167210215"/>
    <n v="-482.59361474369484"/>
    <n v="-1210.8667181325529"/>
    <n v="-2433.7470305245515"/>
    <n v="6017.8782033769749"/>
    <n v="5892.195906679578"/>
    <n v="5788.216150180805"/>
    <n v="5668.0829734012887"/>
    <n v="5458.2369355552246"/>
    <n v="5033.7016942452483"/>
    <n v="3941.4619639563712"/>
    <n v="4855.9207355049039"/>
    <n v="4446.1526531617355"/>
    <n v="4152.2203299065695"/>
    <n v="3843.6442828136846"/>
    <n v="3356.5343155635501"/>
    <n v="2490.3555436720981"/>
    <n v="606.83463880990871"/>
    <n v="3434.3789989139168"/>
    <n v="2856.4139987418057"/>
    <n v="2458.3186651695487"/>
    <n v="2051.5340641843577"/>
    <n v="1427.4101657450444"/>
    <n v="357.08279213195624"/>
    <n v="-1863.0955230332177"/>
    <n v="1193.0653551317221"/>
    <n v="479.78386915639248"/>
    <n v="0"/>
    <n v="-482.59361474369484"/>
    <n v="-1210.8667181325529"/>
    <n v="-2433.7470305245515"/>
    <n v="-4901.6891086045634"/>
    <n v="-1975.4300638912866"/>
    <n v="-2759.9688437154837"/>
    <n v="-3282.8994369081383"/>
    <n v="-3805.7250422995539"/>
    <n v="-4589.7201227708647"/>
    <n v="-5895.5764502974662"/>
    <n v="-8503.4149615821607"/>
    <n v="-6075.89250941931"/>
    <n v="-6856.9172312384526"/>
    <n v="-7379.3667934422101"/>
    <n v="-7902.9490353893434"/>
    <n v="-8690.0331559888455"/>
    <n v="-10005.189236555856"/>
    <n v="-12642.438180163839"/>
    <n v="-16669.596356394304"/>
    <n v="-17273.035328134716"/>
    <n v="-17692.622076504638"/>
    <n v="-18124.069663930783"/>
    <n v="-18790.424717924867"/>
    <n v="-19942.834029884678"/>
    <n v="-22359.61623787379"/>
  </r>
  <r>
    <x v="1"/>
    <n v="2905"/>
    <n v="2.1999999999999999E-2"/>
    <s v="Option"/>
    <s v="EUR"/>
    <n v="25"/>
    <x v="14"/>
    <s v="Put"/>
    <d v="2010-03-19T00:00:00"/>
    <n v="0.53427360882026176"/>
    <n v="2.1999999999999999E-2"/>
    <n v="86.784698579854762"/>
    <n v="2169.6174644963689"/>
    <s v="Exch"/>
    <m/>
    <n v="-595.89279390581737"/>
    <n v="1787.2730758930818"/>
    <n v="3.5579568691462296"/>
    <n v="322.30979330273726"/>
    <n v="-1.392506241827222"/>
    <n v="-1.2718375202472794"/>
    <n v="-14897.319847645434"/>
    <n v="44681.826897327046"/>
    <n v="88.948921728655733"/>
    <n v="8057.7448325684318"/>
    <n v="-34.812656045680548"/>
    <n v="-31.795938006181984"/>
    <n v="5299.320915809787"/>
    <n v="2005.5424289164052"/>
    <n v="865.17041418761664"/>
    <n v="316.36573890552881"/>
    <n v="-280.61252664572578"/>
    <n v="-641.46428343261027"/>
    <n v="-1107.4791026280282"/>
    <n v="-1673.6053580214716"/>
    <n v="-841.51680115733575"/>
    <n v="-433.78414570350401"/>
    <n v="-176.23193586175319"/>
    <n v="-88.53933811197976"/>
    <n v="89.345301949646228"/>
    <n v="179.45806471068977"/>
    <n v="454.04724229219937"/>
    <n v="924.01309077244491"/>
    <n v="4807.9601573415885"/>
    <n v="5102.4110679959986"/>
    <n v="5299.320915809787"/>
    <n v="5496.6416298167896"/>
    <n v="5793.2721384804863"/>
    <n v="6289.0068809665281"/>
    <n v="7283.599897762585"/>
    <n v="1482.2935777623711"/>
    <n v="1795.9023200482279"/>
    <n v="2005.5424289164052"/>
    <n v="2215.5630514061586"/>
    <n v="2531.1911001805015"/>
    <n v="3058.4629783353621"/>
    <n v="4115.7274874638233"/>
    <n v="376.07147203364377"/>
    <n v="668.13262528027906"/>
    <n v="865.17041418761664"/>
    <n v="1063.8381088462752"/>
    <n v="1364.5231135762856"/>
    <n v="1871.6421726712183"/>
    <n v="2902.3081564335457"/>
    <n v="-433.78414570350401"/>
    <n v="-176.23193586175319"/>
    <n v="0"/>
    <n v="179.45806471068977"/>
    <n v="454.04724229219937"/>
    <n v="924.01309077244491"/>
    <n v="1899.2607376265737"/>
    <n v="-1009.3853104859661"/>
    <n v="-792.56900981033311"/>
    <n v="-641.46428343261027"/>
    <n v="-485.60218855888024"/>
    <n v="-243.71384737290498"/>
    <n v="178.27080976369984"/>
    <n v="1077.9789805533142"/>
    <n v="-1407.8641486924951"/>
    <n v="-1232.4425776927285"/>
    <n v="-1107.4791026280282"/>
    <n v="-976.58358269850396"/>
    <n v="-769.96607893865848"/>
    <n v="-401.16842639333896"/>
    <n v="411.06624551527773"/>
    <n v="-1855.9891376252067"/>
    <n v="-1751.8127993567439"/>
    <n v="-1673.6053580214716"/>
    <n v="-1588.6033670422962"/>
    <n v="-1448.8392445976117"/>
    <n v="-1185.2411641895628"/>
    <n v="-557.49510796998857"/>
  </r>
  <r>
    <x v="1"/>
    <n v="2905"/>
    <n v="2.1999999999999999E-2"/>
    <s v="Option"/>
    <s v="EUR"/>
    <n v="-20"/>
    <x v="10"/>
    <s v="Put"/>
    <d v="2010-03-19T00:00:00"/>
    <n v="0.39756798563679596"/>
    <n v="2.1999999999999999E-2"/>
    <n v="247.05470680207645"/>
    <n v="-4941.0941360415291"/>
    <s v="Exch"/>
    <m/>
    <n v="-1545.8815481712434"/>
    <n v="3350.5394623296156"/>
    <n v="4.963318974727593"/>
    <n v="27.726046042558011"/>
    <n v="-1.4360330952350513"/>
    <n v="-3.3402648037859111"/>
    <n v="30917.630963424868"/>
    <n v="-67010.789246592307"/>
    <n v="-99.266379494551856"/>
    <n v="-554.52092085116021"/>
    <n v="28.720661904701025"/>
    <n v="66.805296075718218"/>
    <n v="-8644.7756488660889"/>
    <n v="-3753.3658200594755"/>
    <n v="-1713.5956483743621"/>
    <n v="-645.21572707630185"/>
    <n v="591.66638181327016"/>
    <n v="1380.844234348383"/>
    <n v="2449.2375968524811"/>
    <n v="3815.6022552293507"/>
    <n v="988.58596597710402"/>
    <n v="495.4973300766369"/>
    <n v="198.41346509554114"/>
    <n v="99.237629477834162"/>
    <n v="-99.293127468818057"/>
    <n v="-198.63600919770306"/>
    <n v="-496.91274701454859"/>
    <n v="-994.61976477246026"/>
    <n v="-8513.7103907284472"/>
    <n v="-8587.1688552149772"/>
    <n v="-8644.7756488660889"/>
    <n v="-8709.0041206262504"/>
    <n v="-8817.0925523548158"/>
    <n v="-9025.7588691577766"/>
    <n v="-9531.4420900346122"/>
    <n v="-3417.4451740673339"/>
    <n v="-3615.2530562413631"/>
    <n v="-3753.3658200594755"/>
    <n v="-3895.7945040658251"/>
    <n v="-4116.4685701437793"/>
    <n v="-4499.7222464301285"/>
    <n v="-5308.1790963806361"/>
    <n v="-1280.8868094804529"/>
    <n v="-1538.8121264695292"/>
    <n v="-1713.5956483743621"/>
    <n v="-1890.2788711783796"/>
    <n v="-2158.3164630203828"/>
    <n v="-2611.4491652680636"/>
    <n v="-3534.1379616321001"/>
    <n v="495.4973300766369"/>
    <n v="198.41346509554114"/>
    <n v="0"/>
    <n v="-198.63600919770306"/>
    <n v="-496.91274701454859"/>
    <n v="-994.61976477246026"/>
    <n v="-1990.8681444162858"/>
    <n v="1893.5222637945071"/>
    <n v="1585.9794871299982"/>
    <n v="1380.844234348383"/>
    <n v="1175.6543263993399"/>
    <n v="867.81364288471195"/>
    <n v="354.73960376739797"/>
    <n v="-670.71959668572163"/>
    <n v="2935.1617971867586"/>
    <n v="2644.8558515451623"/>
    <n v="2449.2375968524811"/>
    <n v="2252.2364071042693"/>
    <n v="1954.5604339226793"/>
    <n v="1453.8722339593187"/>
    <n v="441.11229389910477"/>
    <n v="4166.5710836994731"/>
    <n v="3961.0254286436452"/>
    <n v="3815.6022552293507"/>
    <n v="3664.3041605548137"/>
    <n v="3427.689470839166"/>
    <n v="3011.8147189472279"/>
    <n v="2120.7050482690011"/>
  </r>
  <r>
    <x v="1"/>
    <n v="2905"/>
    <n v="2.1999999999999999E-2"/>
    <s v="Option"/>
    <s v="EUR"/>
    <n v="-10"/>
    <x v="12"/>
    <s v="Put"/>
    <d v="2010-03-19T00:00:00"/>
    <n v="0.50139327707893011"/>
    <n v="2.1999999999999999E-2"/>
    <n v="100.13754085596645"/>
    <n v="-1001.3754085596645"/>
    <s v="UBS"/>
    <m/>
    <n v="-700.37470971974722"/>
    <n v="2087.7268891218614"/>
    <n v="3.9003019949379456"/>
    <n v="262.97250574999822"/>
    <n v="-1.4318946058702244"/>
    <n v="-1.4913652887437956"/>
    <n v="7003.7470971974726"/>
    <n v="-20877.268891218613"/>
    <n v="-39.003019949379457"/>
    <n v="-2629.7250574999821"/>
    <n v="14.318946058702245"/>
    <n v="14.913652887437955"/>
    <n v="-2446.0345733962422"/>
    <n v="-937.95637123987603"/>
    <n v="-406.04818525841551"/>
    <n v="-148.66149500881079"/>
    <n v="131.95924910364965"/>
    <n v="301.64772006547764"/>
    <n v="520.33616924781882"/>
    <n v="783.43639160189298"/>
    <n v="373.95022786434652"/>
    <n v="191.39428769672008"/>
    <n v="77.459837514260244"/>
    <n v="38.869044283999301"/>
    <n v="-39.132098286654582"/>
    <n v="-78.513032407486207"/>
    <n v="-198.01982401246164"/>
    <n v="-401.08161641491165"/>
    <n v="-2259.3155824335226"/>
    <n v="-2370.871926940521"/>
    <n v="-2446.0345733962422"/>
    <n v="-2521.7445838273816"/>
    <n v="-2636.2010601866596"/>
    <n v="-2828.9187818677183"/>
    <n v="-3219.5992542377771"/>
    <n v="-718.80298802738821"/>
    <n v="-850.29112207829598"/>
    <n v="-937.95637123987603"/>
    <n v="-1025.6189712108096"/>
    <n v="-1157.0952176520439"/>
    <n v="-1376.1338426639816"/>
    <n v="-1813.6540088335539"/>
    <n v="-194.77941907821901"/>
    <n v="-321.20143020044679"/>
    <n v="-406.04818525841551"/>
    <n v="-491.28192469773921"/>
    <n v="-619.75611509898499"/>
    <n v="-835.22566501485244"/>
    <n v="-1269.6363656113169"/>
    <n v="191.39428769672008"/>
    <n v="77.459837514260244"/>
    <n v="0"/>
    <n v="-78.513032407486207"/>
    <n v="-198.01982401246164"/>
    <n v="-401.08161641491165"/>
    <n v="-817.99069783177401"/>
    <n v="466.09352972683325"/>
    <n v="368.92601288495484"/>
    <n v="301.64772006547764"/>
    <n v="232.5845142720766"/>
    <n v="125.99489579251667"/>
    <n v="-58.498473634713264"/>
    <n v="-447.17943166167629"/>
    <n v="655.36988805899057"/>
    <n v="576.32768067368431"/>
    <n v="520.33616924781882"/>
    <n v="461.94000451872967"/>
    <n v="370.23582723316395"/>
    <n v="207.78723778530775"/>
    <n v="-145.69453394073548"/>
    <n v="864.90262908021327"/>
    <n v="818.34265028578443"/>
    <n v="783.43639160189298"/>
    <n v="745.56204526902661"/>
    <n v="683.45001693859615"/>
    <n v="566.86317622945523"/>
    <n v="291.80586183966511"/>
  </r>
  <r>
    <x v="1"/>
    <n v="2905"/>
    <n v="2.1999999999999999E-2"/>
    <s v="Option"/>
    <s v="EUR"/>
    <n v="-10"/>
    <x v="13"/>
    <s v="Call"/>
    <d v="2010-03-19T00:00:00"/>
    <n v="0.38870814783338209"/>
    <n v="2.1999999999999999E-2"/>
    <n v="124.39082072260032"/>
    <n v="-1243.9082072260032"/>
    <s v="Exch"/>
    <m/>
    <n v="1146.6592317215129"/>
    <n v="3322.8744596476458"/>
    <n v="4.8126427186350194"/>
    <n v="140.12612368576524"/>
    <n v="-1.3680270573624032"/>
    <n v="1.9045000533678369"/>
    <n v="-11466.592317215129"/>
    <n v="-33228.744596476456"/>
    <n v="-48.126427186350192"/>
    <n v="-1401.2612368576524"/>
    <n v="13.680270573624032"/>
    <n v="-19.045000533678369"/>
    <n v="1157.643230036161"/>
    <n v="830.44406598131388"/>
    <n v="491.66373303390969"/>
    <n v="216.10645936368769"/>
    <n v="-242.65780209163381"/>
    <n v="-656.57988738162771"/>
    <n v="-1475.8733586884421"/>
    <n v="-3538.5244153009271"/>
    <n v="471.78137753517376"/>
    <n v="238.61307102634441"/>
    <n v="95.956773831278497"/>
    <n v="48.054434077251926"/>
    <n v="-48.19465033442043"/>
    <n v="-96.518722948738969"/>
    <n v="-242.17334362651059"/>
    <n v="-486.74940610491035"/>
    <n v="1203.5756406753949"/>
    <n v="1178.4391813359157"/>
    <n v="1157.643230036161"/>
    <n v="1133.6165946802578"/>
    <n v="1091.647387111045"/>
    <n v="1006.7403388490495"/>
    <n v="788.29239279127421"/>
    <n v="971.18414710098079"/>
    <n v="889.23053063234704"/>
    <n v="830.44406598131388"/>
    <n v="768.72885656273695"/>
    <n v="671.30686311271006"/>
    <n v="498.07110873441957"/>
    <n v="121.36692776198174"/>
    <n v="686.87579978278336"/>
    <n v="571.28279974836119"/>
    <n v="491.66373303390969"/>
    <n v="410.30681283687159"/>
    <n v="285.48203314900888"/>
    <n v="71.416558426391248"/>
    <n v="-372.61910460664353"/>
    <n v="238.61307102634441"/>
    <n v="95.956773831278497"/>
    <n v="0"/>
    <n v="-96.518722948738969"/>
    <n v="-242.17334362651059"/>
    <n v="-486.74940610491035"/>
    <n v="-980.33782172091264"/>
    <n v="-395.08601277825733"/>
    <n v="-551.99376874309678"/>
    <n v="-656.57988738162771"/>
    <n v="-761.14500845991074"/>
    <n v="-917.94402455417298"/>
    <n v="-1179.1152900594932"/>
    <n v="-1700.6829923164321"/>
    <n v="-1215.1785018838621"/>
    <n v="-1371.3834462476905"/>
    <n v="-1475.8733586884421"/>
    <n v="-1580.5898070778687"/>
    <n v="-1738.0066311977691"/>
    <n v="-2001.0378473111712"/>
    <n v="-2528.487636032768"/>
    <n v="-3333.9192712788608"/>
    <n v="-3454.607065626943"/>
    <n v="-3538.5244153009271"/>
    <n v="-3624.8139327861563"/>
    <n v="-3758.0849435849732"/>
    <n v="-3988.566805976935"/>
    <n v="-4471.9232475747585"/>
  </r>
  <r>
    <x v="1"/>
    <n v="2905"/>
    <n v="2.1999999999999999E-2"/>
    <s v="Option"/>
    <s v="EUR"/>
    <n v="-25"/>
    <x v="15"/>
    <s v="Call"/>
    <d v="2010-03-19T00:00:00"/>
    <n v="0.38287914834035391"/>
    <n v="2.1999999999999999E-2"/>
    <n v="95.422994441474202"/>
    <n v="-2385.5748610368551"/>
    <s v="Exch"/>
    <m/>
    <n v="956.76087808973671"/>
    <n v="3172.6553278263582"/>
    <n v="4.5261678220769141"/>
    <n v="312.32347630840945"/>
    <n v="-1.2684950071667187"/>
    <n v="1.604684276385804"/>
    <n v="-23919.021952243416"/>
    <n v="-79316.383195658957"/>
    <n v="-113.15419555192285"/>
    <n v="-7808.0869077102361"/>
    <n v="31.712375179167967"/>
    <n v="-40.117106909645102"/>
    <n v="2252.889754884714"/>
    <n v="1664.0138565287898"/>
    <n v="1004.5382151197998"/>
    <n v="447.04014662855229"/>
    <n v="-510.4181935768338"/>
    <n v="-1398.2116632781242"/>
    <n v="-3205.1115067577884"/>
    <n v="-7948.8441052768285"/>
    <n v="1080.0329491628959"/>
    <n v="554.64995760584941"/>
    <n v="224.66588857804766"/>
    <n v="112.75391614762498"/>
    <n v="-113.535165356069"/>
    <n v="-227.79618158045594"/>
    <n v="-574.44863249359628"/>
    <n v="-1162.7311836047143"/>
    <n v="2331.3593272566145"/>
    <n v="2289.5297208085299"/>
    <n v="2252.889754884714"/>
    <n v="2208.9123975450475"/>
    <n v="2128.9599853170403"/>
    <n v="1958.8788663406901"/>
    <n v="1492.3250867671413"/>
    <n v="1948.8710701222253"/>
    <n v="1785.2248107668033"/>
    <n v="1664.0138565287898"/>
    <n v="1534.0356150562741"/>
    <n v="1324.2526722216071"/>
    <n v="940.63797385730231"/>
    <n v="75.97228037510888"/>
    <n v="1429.4425495227329"/>
    <n v="1180.0504822810153"/>
    <n v="1004.5382151197998"/>
    <n v="822.62959522407755"/>
    <n v="539.35352029735384"/>
    <n v="44.355870716776735"/>
    <n v="-1007.5243704783958"/>
    <n v="554.64995760584941"/>
    <n v="224.66588857804766"/>
    <n v="0"/>
    <n v="-227.79618158045594"/>
    <n v="-574.44863249359628"/>
    <n v="-1162.7311836047143"/>
    <n v="-2366.3348967766892"/>
    <n v="-753.16893508917246"/>
    <n v="-1139.636190514841"/>
    <n v="-1398.2116632781242"/>
    <n v="-1657.3835151685444"/>
    <n v="-2047.0422775110933"/>
    <n v="-2698.2410960493835"/>
    <n v="-4004.3409012783914"/>
    <n v="-2526.5505550889543"/>
    <n v="-2933.71465976947"/>
    <n v="-3205.1115067577884"/>
    <n v="-3476.456336511018"/>
    <n v="-3883.3514472359752"/>
    <n v="-4561.1034973164633"/>
    <n v="-5914.6291916202808"/>
    <n v="-7364.6760615942185"/>
    <n v="-7711.4597932064844"/>
    <n v="-7948.8441052768285"/>
    <n v="-8190.399798094415"/>
    <n v="-8559.3749917564091"/>
    <n v="-9188.5330397958169"/>
    <n v="-10483.747063735615"/>
  </r>
  <r>
    <x v="1"/>
    <n v="2905"/>
    <n v="2.1999999999999999E-2"/>
    <s v="Option"/>
    <s v="EUR"/>
    <n v="50"/>
    <x v="16"/>
    <s v="Call"/>
    <d v="2010-03-19T00:00:00"/>
    <n v="0.37949325066550765"/>
    <n v="2.1999999999999999E-2"/>
    <n v="72.423370820039963"/>
    <n v="3621.1685410019982"/>
    <s v="JP Horgan"/>
    <m/>
    <n v="783.13944121492943"/>
    <n v="2923.756245762359"/>
    <n v="4.1341979071967021"/>
    <n v="515.31088231063961"/>
    <n v="-1.1492378459494941"/>
    <n v="1.32407377498226"/>
    <n v="39156.97206074647"/>
    <n v="146187.81228811794"/>
    <n v="206.70989535983512"/>
    <n v="25765.544115531982"/>
    <n v="-57.461892297474705"/>
    <n v="66.203688749112999"/>
    <n v="-3457.4236377011002"/>
    <n v="-2620.3665788104217"/>
    <n v="-1611.309050841166"/>
    <n v="-725.78985448629965"/>
    <n v="842.61339662945716"/>
    <n v="2337.3399581105673"/>
    <n v="5467.8744725270235"/>
    <n v="14060.28208993614"/>
    <n v="-1901.7258437810483"/>
    <n v="-997.27475883839816"/>
    <n v="-408.02281048275972"/>
    <n v="-205.39176968031825"/>
    <n v="207.9695255443653"/>
    <n v="418.34826801959366"/>
    <n v="1062.444706886879"/>
    <n v="2171.7305711542053"/>
    <n v="-3562.7551452199968"/>
    <n v="-3508.1541357155288"/>
    <n v="-3457.4236377011002"/>
    <n v="-3394.0731643412632"/>
    <n v="-3273.9958608477345"/>
    <n v="-3004.7950451857973"/>
    <n v="-2215.0368919204184"/>
    <n v="-3068.0972266497788"/>
    <n v="-2814.8522679153857"/>
    <n v="-2620.3665788104217"/>
    <n v="-2406.7470065663115"/>
    <n v="-2053.19272264137"/>
    <n v="-1385.858911273499"/>
    <n v="180.77286836894473"/>
    <n v="-2327.51641470507"/>
    <n v="-1911.6939716147726"/>
    <n v="-1611.309050841166"/>
    <n v="-1294.5522787078403"/>
    <n v="-792.29168815832054"/>
    <n v="105.60416296008839"/>
    <n v="2070.4485820491582"/>
    <n v="-997.27475883839816"/>
    <n v="-408.02281048275972"/>
    <n v="0"/>
    <n v="418.34826801959366"/>
    <n v="1062.444706886879"/>
    <n v="2171.7305711542053"/>
    <n v="4484.8082212574072"/>
    <n v="1106.1697225078262"/>
    <n v="1841.3043028798484"/>
    <n v="2337.3399581105673"/>
    <n v="2837.3004807833581"/>
    <n v="3593.3773851871365"/>
    <n v="4866.2982107291209"/>
    <n v="7443.8351294933682"/>
    <n v="4099.1519403264756"/>
    <n v="4920.1989449735038"/>
    <n v="5467.8744725270235"/>
    <n v="6015.7114579774088"/>
    <n v="6837.6388788037502"/>
    <n v="8207.5813687028585"/>
    <n v="10945.760221856359"/>
    <n v="12759.876151349317"/>
    <n v="13535.827325487708"/>
    <n v="14060.28208993614"/>
    <n v="14589.471903109439"/>
    <n v="15390.679138901271"/>
    <n v="16741.561266773864"/>
    <n v="19482.154585998422"/>
  </r>
  <r>
    <x v="1"/>
    <n v="2905"/>
    <n v="2.1999999999999999E-2"/>
    <s v="Option"/>
    <s v="EUR"/>
    <n v="-20"/>
    <x v="13"/>
    <s v="Put"/>
    <d v="2010-03-19T00:00:00"/>
    <n v="0.38870814783338209"/>
    <n v="2.1999999999999999E-2"/>
    <n v="297.67911857700619"/>
    <n v="-5953.5823715401239"/>
    <s v="Exch"/>
    <m/>
    <n v="-1746.4586146408292"/>
    <n v="3322.8744596476458"/>
    <n v="4.8126427186350194"/>
    <n v="140.12612368576524"/>
    <n v="-1.3575822832451512"/>
    <n v="-3.808256598871584"/>
    <n v="34929.172292816584"/>
    <n v="-66457.489192952911"/>
    <n v="-96.252854372700384"/>
    <n v="-2802.5224737153048"/>
    <n v="27.151645664903022"/>
    <n v="76.165131977431685"/>
    <n v="-9257.1849253770415"/>
    <n v="-4125.3475607620385"/>
    <n v="-1909.790380294512"/>
    <n v="-725.03421981756219"/>
    <n v="671.93153436166995"/>
    <n v="1579.9580715990942"/>
    <n v="2834.4889753478083"/>
    <n v="4495.4225548475097"/>
    <n v="943.56275507034752"/>
    <n v="477.2261420526911"/>
    <n v="191.91354766255699"/>
    <n v="96.108868154510674"/>
    <n v="-96.389300668838587"/>
    <n v="-193.03744589747566"/>
    <n v="-484.34668725301435"/>
    <n v="-973.49881220982297"/>
    <n v="-9165.3201040985732"/>
    <n v="-9215.5930227775298"/>
    <n v="-9257.1849253770415"/>
    <n v="-9305.2381960888397"/>
    <n v="-9389.1766112272671"/>
    <n v="-9558.9907077512635"/>
    <n v="-9995.8865998668116"/>
    <n v="-3843.8673985227069"/>
    <n v="-4007.774631459979"/>
    <n v="-4125.3475607620385"/>
    <n v="-4248.7779795991992"/>
    <n v="-4443.6219664992541"/>
    <n v="-4790.0934752558305"/>
    <n v="-5543.5018372007107"/>
    <n v="-1519.3662467967715"/>
    <n v="-1750.5522468656181"/>
    <n v="-1909.790380294512"/>
    <n v="-2072.5042206885928"/>
    <n v="-2322.1537800643137"/>
    <n v="-2750.2847295095626"/>
    <n v="-3638.356055575623"/>
    <n v="477.2261420526911"/>
    <n v="191.91354766255699"/>
    <n v="0"/>
    <n v="-193.03744589747566"/>
    <n v="-484.34668725301435"/>
    <n v="-973.49881220982297"/>
    <n v="-1960.675643441823"/>
    <n v="2102.945820805835"/>
    <n v="1789.1303088761561"/>
    <n v="1579.9580715990942"/>
    <n v="1370.8278294425281"/>
    <n v="1057.2297972540036"/>
    <n v="534.88726624336323"/>
    <n v="-508.24813827051912"/>
    <n v="3355.8786889569774"/>
    <n v="3043.468800229316"/>
    <n v="2834.4889753478083"/>
    <n v="2625.0560785689595"/>
    <n v="2310.2224303291587"/>
    <n v="1784.1599981023546"/>
    <n v="729.26042065916135"/>
    <n v="4904.6328428916468"/>
    <n v="4663.2572541954851"/>
    <n v="4495.4225548475097"/>
    <n v="4322.8435198770621"/>
    <n v="4056.3014982794311"/>
    <n v="3595.3377734954961"/>
    <n v="2628.6248902998523"/>
  </r>
  <r>
    <x v="1"/>
    <n v="2905"/>
    <n v="2.1999999999999999E-2"/>
    <s v="Option"/>
    <s v="EUR"/>
    <n v="50"/>
    <x v="14"/>
    <s v="Put"/>
    <d v="2010-03-19T00:00:00"/>
    <n v="0.53427360882026176"/>
    <n v="2.1999999999999999E-2"/>
    <n v="86.784698579854762"/>
    <n v="4339.2349289927379"/>
    <s v="Exch"/>
    <m/>
    <n v="-595.89279390581737"/>
    <n v="1787.2730758930818"/>
    <n v="3.5579568691462296"/>
    <n v="322.30979330273726"/>
    <n v="-1.392506241827222"/>
    <n v="-1.2718375202472794"/>
    <n v="-29794.639695290869"/>
    <n v="89363.653794654092"/>
    <n v="177.89784345731147"/>
    <n v="16115.489665136864"/>
    <n v="-69.625312091361096"/>
    <n v="-63.591876012363969"/>
    <n v="10598.641831619574"/>
    <n v="4011.0848578328105"/>
    <n v="1730.3408283752333"/>
    <n v="632.73147781105763"/>
    <n v="-561.22505329145156"/>
    <n v="-1282.9285668652205"/>
    <n v="-2214.9582052560563"/>
    <n v="-3347.2107160429432"/>
    <n v="-1683.0336023146715"/>
    <n v="-867.56829140700802"/>
    <n v="-352.46387172350637"/>
    <n v="-177.07867622395952"/>
    <n v="178.69060389929246"/>
    <n v="358.91612942137954"/>
    <n v="908.09448458439874"/>
    <n v="1848.0261815448898"/>
    <n v="9615.9203146831769"/>
    <n v="10204.822135991997"/>
    <n v="10598.641831619574"/>
    <n v="10993.283259633579"/>
    <n v="11586.544276960973"/>
    <n v="12578.013761933056"/>
    <n v="14567.19979552517"/>
    <n v="2964.5871555247422"/>
    <n v="3591.8046400964558"/>
    <n v="4011.0848578328105"/>
    <n v="4431.1261028123172"/>
    <n v="5062.382200361003"/>
    <n v="6116.9259566707242"/>
    <n v="8231.4549749276466"/>
    <n v="752.14294406728754"/>
    <n v="1336.2652505605581"/>
    <n v="1730.3408283752333"/>
    <n v="2127.6762176925504"/>
    <n v="2729.0462271525712"/>
    <n v="3743.2843453424366"/>
    <n v="5804.6163128670914"/>
    <n v="-867.56829140700802"/>
    <n v="-352.46387172350637"/>
    <n v="0"/>
    <n v="358.91612942137954"/>
    <n v="908.09448458439874"/>
    <n v="1848.0261815448898"/>
    <n v="3798.5214752531474"/>
    <n v="-2018.7706209719322"/>
    <n v="-1585.1380196206662"/>
    <n v="-1282.9285668652205"/>
    <n v="-971.20437711776049"/>
    <n v="-487.42769474580996"/>
    <n v="356.54161952739969"/>
    <n v="2155.9579611066283"/>
    <n v="-2815.7282973849901"/>
    <n v="-2464.885155385457"/>
    <n v="-2214.9582052560563"/>
    <n v="-1953.1671653970079"/>
    <n v="-1539.932157877317"/>
    <n v="-802.33685278667792"/>
    <n v="822.13249103055546"/>
    <n v="-3711.9782752504134"/>
    <n v="-3503.6255987134878"/>
    <n v="-3347.2107160429432"/>
    <n v="-3177.2067340845924"/>
    <n v="-2897.6784891952234"/>
    <n v="-2370.4823283791256"/>
    <n v="-1114.9902159399771"/>
  </r>
  <r>
    <x v="1"/>
    <n v="2905"/>
    <n v="2.1999999999999999E-2"/>
    <s v="Option"/>
    <s v="EUR"/>
    <n v="10"/>
    <x v="14"/>
    <s v="Put"/>
    <d v="2010-06-18T00:00:00"/>
    <n v="0.48470273685574106"/>
    <n v="2.3E-2"/>
    <n v="164.20892157424362"/>
    <n v="1642.0892157424362"/>
    <s v="GoldMine Sacks"/>
    <m/>
    <n v="-723.75749353754077"/>
    <n v="1433.710779532194"/>
    <n v="6.0544023371569509"/>
    <n v="292.53995246291123"/>
    <n v="-0.91049528335083674"/>
    <n v="-3.8681276713088697"/>
    <n v="-7237.5749353754072"/>
    <n v="14337.107795321939"/>
    <n v="60.544023371569509"/>
    <n v="2925.3995246291124"/>
    <n v="-9.1049528335083671"/>
    <n v="-38.6812767130887"/>
    <n v="2139.0714587839002"/>
    <n v="882.10167584187047"/>
    <n v="399.58645130739569"/>
    <n v="150.60511213484574"/>
    <n v="-139.134323611122"/>
    <n v="-327.85841084234335"/>
    <n v="-594.71116567265085"/>
    <n v="-983.71813531940461"/>
    <n v="-586.90282670534884"/>
    <n v="-298.62171771081648"/>
    <n v="-120.47625086579956"/>
    <n v="-60.394473850855093"/>
    <n v="60.687127470541782"/>
    <n v="121.64823098427178"/>
    <n v="306.0067713183912"/>
    <n v="617.32791722561842"/>
    <n v="1836.3732408854992"/>
    <n v="2017.9296852156506"/>
    <n v="2139.0714587839002"/>
    <n v="2260.261995753136"/>
    <n v="2442.0843296611847"/>
    <n v="2745.0436260834576"/>
    <n v="3349.7470899512691"/>
    <n v="560.54851890258306"/>
    <n v="753.42678151782707"/>
    <n v="882.10167584187047"/>
    <n v="1010.813717026158"/>
    <n v="1203.8967014010495"/>
    <n v="1525.566173155695"/>
    <n v="2167.4694895489097"/>
    <n v="85.304020421446012"/>
    <n v="273.41586692169017"/>
    <n v="399.58645130739569"/>
    <n v="526.2612987672162"/>
    <n v="717.05372022175197"/>
    <n v="1036.6065111643422"/>
    <n v="1679.0016990342269"/>
    <n v="-298.62171771081648"/>
    <n v="-120.47625086579956"/>
    <n v="0"/>
    <n v="121.64823098427178"/>
    <n v="306.0067713183912"/>
    <n v="617.32791722561842"/>
    <n v="1250.3134413610655"/>
    <n v="-604.85401520731443"/>
    <n v="-440.323921790648"/>
    <n v="-327.85841084234335"/>
    <n v="-213.45708201483603"/>
    <n v="-38.683453933301735"/>
    <n v="259.61279566295389"/>
    <n v="875.11340415796326"/>
    <n v="-846.41147389006562"/>
    <n v="-697.68315426448737"/>
    <n v="-594.71116567265085"/>
    <n v="-489.03775071348377"/>
    <n v="-326.039643969591"/>
    <n v="-44.272601934968634"/>
    <n v="547.45972474292216"/>
    <n v="-1181.2960002919904"/>
    <n v="-1066.0154830073373"/>
    <n v="-983.71813531940461"/>
    <n v="-897.45217215546802"/>
    <n v="-761.28184682275844"/>
    <n v="-518.5660961461565"/>
    <n v="13.227488160069925"/>
  </r>
  <r>
    <x v="1"/>
    <n v="2905"/>
    <n v="2.1999999999999999E-2"/>
    <s v="Option"/>
    <s v="EUR"/>
    <n v="-20"/>
    <x v="16"/>
    <s v="Call"/>
    <d v="2010-06-18T00:00:00"/>
    <n v="0.32953064934971316"/>
    <n v="2.3E-2"/>
    <n v="126.62422408051043"/>
    <n v="-2532.4844816102086"/>
    <s v="Exch"/>
    <m/>
    <n v="979.94893212571617"/>
    <n v="2425.2517712914055"/>
    <n v="6.9628477684274861"/>
    <n v="545.53778294329254"/>
    <n v="-0.71623772663935259"/>
    <n v="3.7172227007996632"/>
    <n v="-19598.978642514325"/>
    <n v="-48505.035425828108"/>
    <n v="-139.25695536854971"/>
    <n v="-10910.755658865852"/>
    <n v="14.324754532787052"/>
    <n v="-74.344454015993264"/>
    <n v="2221.2088265258753"/>
    <n v="1497.6732690213635"/>
    <n v="861.01877813934152"/>
    <n v="372.70631015515619"/>
    <n v="-411.48289036250617"/>
    <n v="-1102.4765045911545"/>
    <n v="-2450.9622401116485"/>
    <n v="-5848.8681708587046"/>
    <n v="1316.1803916777626"/>
    <n v="680.32401236912619"/>
    <n v="276.19546067435522"/>
    <n v="138.69484009502457"/>
    <n v="-139.78676612280424"/>
    <n v="-280.57339633380934"/>
    <n v="-708.14064728987432"/>
    <n v="-1434.3531170379151"/>
    <n v="2397.2597913265208"/>
    <n v="2301.2611932861446"/>
    <n v="2221.2088265258753"/>
    <n v="2128.7128544495436"/>
    <n v="1967.8806558825017"/>
    <n v="1646.6615165708095"/>
    <n v="844.18962953038999"/>
    <n v="1916.0048688060647"/>
    <n v="1674.5929693486391"/>
    <n v="1497.6732690213635"/>
    <n v="1309.6937259568256"/>
    <n v="1009.7776896752748"/>
    <n v="470.84941299320462"/>
    <n v="-710.37367964674104"/>
    <n v="1416.6246509990401"/>
    <n v="1090.41149215921"/>
    <n v="861.01877813934152"/>
    <n v="623.68526659012559"/>
    <n v="255.18852376245832"/>
    <n v="-385.22081927879299"/>
    <n v="-1732.0174238406321"/>
    <n v="680.32401236912619"/>
    <n v="276.19546067435522"/>
    <n v="0"/>
    <n v="-280.57339633380934"/>
    <n v="-708.14064728987432"/>
    <n v="-1434.3531170379151"/>
    <n v="-2918.837664786015"/>
    <n v="-326.11209828025494"/>
    <n v="-790.53860005789375"/>
    <n v="-1102.4765045911545"/>
    <n v="-1415.8507161855732"/>
    <n v="-1888.0107651328217"/>
    <n v="-2678.8611322247925"/>
    <n v="-4267.8260000250157"/>
    <n v="-1617.6857037913987"/>
    <n v="-2117.6921495027591"/>
    <n v="-2450.9622401116485"/>
    <n v="-2784.1276908928012"/>
    <n v="-3283.6015183866766"/>
    <n v="-4115.0786315672622"/>
    <n v="-5773.0208893342433"/>
    <n v="-5025.8819200413882"/>
    <n v="-5517.9280704397524"/>
    <n v="-5848.8681708587046"/>
    <n v="-6181.6225591784087"/>
    <n v="-6683.4293820323091"/>
    <n v="-7524.856340884885"/>
    <n v="-9217.727520899738"/>
  </r>
  <r>
    <x v="1"/>
    <n v="2905"/>
    <n v="2.1999999999999999E-2"/>
    <s v="Option"/>
    <s v="EUR"/>
    <n v="-40"/>
    <x v="11"/>
    <s v="Put"/>
    <d v="2010-06-18T00:00:00"/>
    <n v="0.37669519516657596"/>
    <n v="2.3E-2"/>
    <n v="238.78242357083286"/>
    <n v="-9551.2969428333145"/>
    <s v="Exch"/>
    <m/>
    <n v="-1156.4630723736047"/>
    <n v="2238.3477505150181"/>
    <n v="7.346016438039257"/>
    <n v="-0.12708011031559752"/>
    <n v="-0.85197658391114661"/>
    <n v="-6.0779187357579616"/>
    <n v="46258.522894944188"/>
    <n v="-89533.910020600728"/>
    <n v="-293.84065752157028"/>
    <n v="5.0832044126239007"/>
    <n v="34.079063356445864"/>
    <n v="243.11674943031846"/>
    <n v="-13131.051570060927"/>
    <n v="-5571.4060014892766"/>
    <n v="-2543.6858631993164"/>
    <n v="-961.44854381630466"/>
    <n v="889.84573598194402"/>
    <n v="2096.9678755342511"/>
    <n v="3796.0359796620878"/>
    <n v="6217.2430768222875"/>
    <n v="2935.7318900475184"/>
    <n v="1468.9133868638874"/>
    <n v="587.66460450898194"/>
    <n v="293.83874162744178"/>
    <n v="-293.83831796323648"/>
    <n v="-587.66392853978687"/>
    <n v="-1468.9544808762093"/>
    <n v="-2936.5897497635615"/>
    <n v="-12191.822740110656"/>
    <n v="-12744.656574423962"/>
    <n v="-13131.051570060927"/>
    <n v="-13529.620034988475"/>
    <n v="-14147.044804898378"/>
    <n v="-15218.32152254804"/>
    <n v="-17471.369339990808"/>
    <n v="-4236.4092806703411"/>
    <n v="-5035.3888919391557"/>
    <n v="-5571.4060014892766"/>
    <n v="-6109.5512474493171"/>
    <n v="-6919.9308334624675"/>
    <n v="-8276.5623497433262"/>
    <n v="-11001.028216019158"/>
    <n v="-1104.8320272290221"/>
    <n v="-1968.2877080182971"/>
    <n v="-2543.6858631993164"/>
    <n v="-3118.8192873474327"/>
    <n v="-3980.9048618572251"/>
    <n v="-5415.6872632559134"/>
    <n v="-8275.4696466027053"/>
    <n v="1468.9133868638874"/>
    <n v="587.66460450898194"/>
    <n v="0"/>
    <n v="-587.66392853978687"/>
    <n v="-1468.9544808762093"/>
    <n v="-2936.5897497635615"/>
    <n v="-5864.1422473340026"/>
    <n v="3528.3717718967"/>
    <n v="2672.0478218006974"/>
    <n v="2096.9678755342511"/>
    <n v="1519.2126637882075"/>
    <n v="648.56793434196788"/>
    <n v="-810.25961706027374"/>
    <n v="-3743.3524720808055"/>
    <n v="5136.0611139234015"/>
    <n v="4338.4337517689482"/>
    <n v="3796.0359796620878"/>
    <n v="3246.6042263151758"/>
    <n v="2411.4744254016523"/>
    <n v="996.82162370456808"/>
    <n v="-1887.7118352339812"/>
    <n v="7280.5108854292412"/>
    <n v="6657.5015068907669"/>
    <n v="6217.2430768222875"/>
    <n v="5759.7965729469433"/>
    <n v="5045.7411324059603"/>
    <n v="3794.8001771361169"/>
    <n v="1130.963085945682"/>
  </r>
  <r>
    <x v="1"/>
    <n v="2905"/>
    <n v="2.1999999999999999E-2"/>
    <s v="Option"/>
    <s v="EUR"/>
    <n v="-50"/>
    <x v="13"/>
    <s v="Call"/>
    <d v="2010-06-18T00:00:00"/>
    <n v="0.33882025143471611"/>
    <n v="2.3E-2"/>
    <n v="186.9696877524691"/>
    <n v="-9348.4843876234554"/>
    <s v="Exch"/>
    <m/>
    <n v="1271.2322064624832"/>
    <n v="2539.162794790027"/>
    <n v="7.495388738287394"/>
    <n v="119.80245414147275"/>
    <n v="-0.79031422574787924"/>
    <n v="4.7232257664354034"/>
    <n v="-63561.610323124158"/>
    <n v="-126958.13973950135"/>
    <n v="-374.76943691436969"/>
    <n v="-5990.1227070736377"/>
    <n v="39.515711287393962"/>
    <n v="-236.16128832177017"/>
    <n v="7875.2611561139956"/>
    <n v="5093.9500911810119"/>
    <n v="2860.1966613022228"/>
    <n v="1220.3655699229387"/>
    <n v="-1321.8659939196641"/>
    <n v="-3492.4136259804527"/>
    <n v="-7592.3801451035961"/>
    <n v="-17408.665308119238"/>
    <n v="3702.0493094780818"/>
    <n v="1864.7104530641627"/>
    <n v="748.24442675391083"/>
    <n v="374.45821340490966"/>
    <n v="-375.05784083313074"/>
    <n v="-750.65034225781346"/>
    <n v="-1880.0778277200266"/>
    <n v="-3768.6352391516721"/>
    <n v="8565.2062652983441"/>
    <n v="8175.2429652373266"/>
    <n v="7875.2611561139956"/>
    <n v="7546.1801545459848"/>
    <n v="7003.3982644515017"/>
    <n v="5986.6569040556096"/>
    <n v="3637.4552946280801"/>
    <n v="6440.9999981570818"/>
    <n v="5648.3421025206044"/>
    <n v="5093.9500911810119"/>
    <n v="4522.2424902052007"/>
    <n v="3637.3939298606329"/>
    <n v="2105.2277008548062"/>
    <n v="-1103.7423647388493"/>
    <n v="4504.3079611454741"/>
    <n v="3526.1379268622759"/>
    <n v="2860.1966613022228"/>
    <n v="2185.31241519986"/>
    <n v="1159.279705585385"/>
    <n v="-578.54638542345356"/>
    <n v="-4119.2508847643294"/>
    <n v="1864.7104530641627"/>
    <n v="748.24442675391083"/>
    <n v="0"/>
    <n v="-750.65034225781346"/>
    <n v="-1880.0778277200266"/>
    <n v="-3768.6352391516721"/>
    <n v="-7555.2879174461959"/>
    <n v="-1507.3400932815616"/>
    <n v="-2698.7232798288915"/>
    <n v="-3492.4136259804527"/>
    <n v="-4285.5936463534927"/>
    <n v="-5474.3066654547765"/>
    <n v="-7452.3224319449473"/>
    <n v="-11394.25793098925"/>
    <n v="-5592.0836556029935"/>
    <n v="-6791.4271050282878"/>
    <n v="-7592.3801451035961"/>
    <n v="-8394.08186605425"/>
    <n v="-9597.5102721470303"/>
    <n v="-11604.016068476743"/>
    <n v="-15612.711693074971"/>
    <n v="-15637.855392880158"/>
    <n v="-16688.558270850204"/>
    <n v="-17408.665308119238"/>
    <n v="-18141.589500675662"/>
    <n v="-19260.79050426864"/>
    <n v="-21166.785661262769"/>
    <n v="-25076.656914906958"/>
  </r>
  <r>
    <x v="1"/>
    <n v="2905"/>
    <n v="2.1999999999999999E-2"/>
    <s v="Option"/>
    <s v="EUR"/>
    <n v="-25"/>
    <x v="17"/>
    <s v="Put"/>
    <d v="2010-06-18T00:00:00"/>
    <n v="0.36020947541332365"/>
    <n v="2.3E-2"/>
    <n v="271.57191542452347"/>
    <n v="-6789.2978856130867"/>
    <s v="Exch"/>
    <m/>
    <n v="-1300.4294968291229"/>
    <n v="2396.5867630387206"/>
    <n v="7.5211204630561204"/>
    <n v="-29.497061053967954"/>
    <n v="-0.83126746526660822"/>
    <n v="-6.8478965629679376"/>
    <n v="32510.73742072807"/>
    <n v="-59914.669075968013"/>
    <n v="-188.028011576403"/>
    <n v="737.42652634919887"/>
    <n v="20.781686631665206"/>
    <n v="171.19741407419843"/>
    <n v="-8994.6566580580675"/>
    <n v="-3872.2292296399191"/>
    <n v="-1778.6163515118744"/>
    <n v="-674.41001101364009"/>
    <n v="626.50050065811342"/>
    <n v="1479.9107861642028"/>
    <n v="2687.7951343791719"/>
    <n v="4420.8310632043349"/>
    <n v="1883.6295024301194"/>
    <n v="941.01968698951737"/>
    <n v="376.20081310683418"/>
    <n v="188.06454608953231"/>
    <n v="-187.99080365037639"/>
    <n v="-375.9058459125697"/>
    <n v="-939.17625425789311"/>
    <n v="-1876.2573829305609"/>
    <n v="-8488.494582022111"/>
    <n v="-8783.1801897291716"/>
    <n v="-8994.6566580580675"/>
    <n v="-9216.5439717725458"/>
    <n v="-9566.3218819541034"/>
    <n v="-10186.38707449395"/>
    <n v="-11525.698342133819"/>
    <n v="-3074.9210423571812"/>
    <n v="-3550.2990282678979"/>
    <n v="-3872.2292296399191"/>
    <n v="-4197.4150745021125"/>
    <n v="-4690.1964242624954"/>
    <n v="-5521.638239573349"/>
    <n v="-7208.0139588490738"/>
    <n v="-885.4684475413876"/>
    <n v="-1420.7167157292361"/>
    <n v="-1778.6163515118744"/>
    <n v="-2137.1478934482866"/>
    <n v="-2675.805277294995"/>
    <n v="-3574.9088410834984"/>
    <n v="-5373.6837424955011"/>
    <n v="941.01968698951737"/>
    <n v="376.20081310683418"/>
    <n v="0"/>
    <n v="-375.9058459125697"/>
    <n v="-939.17625425789311"/>
    <n v="-1876.2573829305609"/>
    <n v="-3743.13645754562"/>
    <n v="2420.4669487968258"/>
    <n v="1856.7520498413955"/>
    <n v="1479.9107861642028"/>
    <n v="1102.4649192962045"/>
    <n v="535.48528211868529"/>
    <n v="-410.69484302341834"/>
    <n v="-2303.1494380515769"/>
    <n v="3586.0768134602495"/>
    <n v="3049.8952772548164"/>
    <n v="2687.7951343791719"/>
    <n v="2322.696204625413"/>
    <n v="1770.4715867579948"/>
    <n v="840.92828824975072"/>
    <n v="-1038.7757258848694"/>
    <n v="5152.5981909526536"/>
    <n v="4722.2506358278079"/>
    <n v="4420.8310632043349"/>
    <n v="4109.5751356141245"/>
    <n v="3626.9820917814172"/>
    <n v="2789.047536630474"/>
    <n v="1026.3482208483224"/>
  </r>
  <r>
    <x v="1"/>
    <n v="2905"/>
    <n v="2.1999999999999999E-2"/>
    <s v="Option"/>
    <s v="EUR"/>
    <n v="-20"/>
    <x v="18"/>
    <s v="Call"/>
    <d v="2010-06-18T00:00:00"/>
    <n v="0.32811799827176868"/>
    <n v="2.3E-2"/>
    <n v="104.5547774814396"/>
    <n v="-2091.095549628792"/>
    <s v="JP Horgan"/>
    <m/>
    <n v="852.19575727293477"/>
    <n v="2296.3143233678788"/>
    <n v="6.564409173184397"/>
    <n v="805.50390439952787"/>
    <n v="-0.67307369454553478"/>
    <n v="3.2568470078588416"/>
    <n v="-17043.915145458697"/>
    <n v="-45926.286467357575"/>
    <n v="-131.28818346368794"/>
    <n v="-16110.078087990558"/>
    <n v="13.461473890910696"/>
    <n v="-65.136940157176838"/>
    <n v="1859.3703837442365"/>
    <n v="1275.144699833877"/>
    <n v="740.68076225228651"/>
    <n v="322.70065321936727"/>
    <n v="-359.41644376053773"/>
    <n v="-969.3310346651424"/>
    <n v="-2178.237424652682"/>
    <n v="-5302.4737038401254"/>
    <n v="1203.11969304277"/>
    <n v="633.14287911683095"/>
    <n v="259.16754444104754"/>
    <n v="130.45991366237786"/>
    <n v="-132.07201273735109"/>
    <n v="-265.6290605598565"/>
    <n v="-674.10781601005965"/>
    <n v="-1375.6398268486691"/>
    <n v="1999.4667893149285"/>
    <n v="1924.4558060673262"/>
    <n v="1859.3703837442365"/>
    <n v="1782.2009947868942"/>
    <n v="1644.4246385607539"/>
    <n v="1360.2288636932303"/>
    <n v="621.5705409114571"/>
    <n v="1636.9856774464688"/>
    <n v="1430.4722420166206"/>
    <n v="1275.144699833877"/>
    <n v="1107.3266577785023"/>
    <n v="834.97653597505177"/>
    <n v="335.28184223916014"/>
    <n v="-788.37235043147757"/>
    <n v="1239.7554265418512"/>
    <n v="949.12633002540019"/>
    <n v="740.68076225228651"/>
    <n v="522.27221465521097"/>
    <n v="178.75752656144414"/>
    <n v="-427.72926961720714"/>
    <n v="-1728.2108970630725"/>
    <n v="633.14287911683095"/>
    <n v="259.16754444104754"/>
    <n v="0"/>
    <n v="-265.6290605598565"/>
    <n v="-674.10781601005965"/>
    <n v="-1375.6398268486691"/>
    <n v="-2829.4282717095007"/>
    <n v="-222.35977704587867"/>
    <n v="-667.68512401988119"/>
    <n v="-969.3310346651424"/>
    <n v="-1274.0067878162063"/>
    <n v="-1735.592336096704"/>
    <n v="-2513.9581987253609"/>
    <n v="-4090.9048409242837"/>
    <n v="-1351.0250664865839"/>
    <n v="-1846.7294038724435"/>
    <n v="-2178.237424652682"/>
    <n v="-2510.3497605752432"/>
    <n v="-3009.3290967170856"/>
    <n v="-3842.2025659428914"/>
    <n v="-5508.4194826080984"/>
    <n v="-4437.3711926623691"/>
    <n v="-4955.8242559211358"/>
    <n v="-5302.4737038401254"/>
    <n v="-5649.7089314554505"/>
    <n v="-6171.3389224416205"/>
    <n v="-7041.8753397026267"/>
    <n v="-8783.0822752292697"/>
  </r>
  <r>
    <x v="1"/>
    <n v="2905"/>
    <n v="2.1999999999999999E-2"/>
    <s v="Option"/>
    <s v="EUR"/>
    <n v="-10"/>
    <x v="17"/>
    <s v="Put"/>
    <d v="2010-06-18T00:00:00"/>
    <n v="0.36020947541332365"/>
    <n v="2.3E-2"/>
    <n v="271.57191542452347"/>
    <n v="-2715.7191542452347"/>
    <s v="Exch"/>
    <m/>
    <n v="-1300.4294968291229"/>
    <n v="2396.5867630387206"/>
    <n v="7.5211204630561204"/>
    <n v="-29.497061053967954"/>
    <n v="-0.83126746526660822"/>
    <n v="-6.8478965629679376"/>
    <n v="13004.294968291229"/>
    <n v="-23965.867630387205"/>
    <n v="-75.211204630561198"/>
    <n v="294.97061053967957"/>
    <n v="8.3126746526660824"/>
    <n v="68.478965629679379"/>
    <n v="-3597.8626632232272"/>
    <n v="-1548.8916918559676"/>
    <n v="-711.44654060474977"/>
    <n v="-269.76400440545603"/>
    <n v="250.60020026324537"/>
    <n v="591.96431446568113"/>
    <n v="1075.1180537516689"/>
    <n v="1768.332425281734"/>
    <n v="753.45180097204775"/>
    <n v="376.40787479580695"/>
    <n v="150.48032524273367"/>
    <n v="75.225818435812926"/>
    <n v="-75.196321460150557"/>
    <n v="-150.36233836502788"/>
    <n v="-375.67050170315724"/>
    <n v="-750.50295317222435"/>
    <n v="-3395.3978328088442"/>
    <n v="-3513.2720758916685"/>
    <n v="-3597.8626632232272"/>
    <n v="-3686.6175887090185"/>
    <n v="-3826.5287527816417"/>
    <n v="-4074.5548297975802"/>
    <n v="-4610.2793368535276"/>
    <n v="-1229.9684169428724"/>
    <n v="-1420.1196113071592"/>
    <n v="-1548.8916918559676"/>
    <n v="-1678.9660298008448"/>
    <n v="-1876.0785697049982"/>
    <n v="-2208.6552958293396"/>
    <n v="-2883.2055835396295"/>
    <n v="-354.18737901655504"/>
    <n v="-568.28668629169442"/>
    <n v="-711.44654060474977"/>
    <n v="-854.85915737931464"/>
    <n v="-1070.3221109179981"/>
    <n v="-1429.9635364333994"/>
    <n v="-2149.4734969982005"/>
    <n v="376.40787479580695"/>
    <n v="150.48032524273367"/>
    <n v="0"/>
    <n v="-150.36233836502788"/>
    <n v="-375.67050170315724"/>
    <n v="-750.50295317222435"/>
    <n v="-1497.254583018248"/>
    <n v="968.18677951873042"/>
    <n v="742.70081993655822"/>
    <n v="591.96431446568113"/>
    <n v="440.98596771848179"/>
    <n v="214.19411284747412"/>
    <n v="-164.27793720936734"/>
    <n v="-921.25977522063067"/>
    <n v="1434.4307253840998"/>
    <n v="1219.9581109019266"/>
    <n v="1075.1180537516689"/>
    <n v="929.07848185016519"/>
    <n v="708.18863470319798"/>
    <n v="336.37131529990029"/>
    <n v="-415.51029035394777"/>
    <n v="2061.0392763810614"/>
    <n v="1888.9002543311233"/>
    <n v="1768.332425281734"/>
    <n v="1643.83005424565"/>
    <n v="1450.7928367125669"/>
    <n v="1115.6190146521897"/>
    <n v="410.539288339329"/>
  </r>
  <r>
    <x v="1"/>
    <n v="2905"/>
    <n v="2.1999999999999999E-2"/>
    <s v="Option"/>
    <s v="EUR"/>
    <n v="20"/>
    <x v="19"/>
    <s v="Call"/>
    <d v="2010-06-18T00:00:00"/>
    <n v="0.32822542861494541"/>
    <n v="2.3E-2"/>
    <n v="86.648861868060294"/>
    <n v="1732.9772373612059"/>
    <s v="Exch"/>
    <m/>
    <n v="738.33534939934304"/>
    <n v="2139.4790638196469"/>
    <n v="6.1180711125945217"/>
    <n v="1060.8848783525759"/>
    <n v="-0.62804280691160452"/>
    <n v="2.8388534662321638"/>
    <n v="14766.706987986861"/>
    <n v="42789.581276392935"/>
    <n v="122.36142225189043"/>
    <n v="21217.697567051517"/>
    <n v="-12.56085613823209"/>
    <n v="56.777069324643278"/>
    <n v="-1557.471099738161"/>
    <n v="-1083.8017404341406"/>
    <n v="-635.37166818351238"/>
    <n v="-278.45941974367179"/>
    <n v="312.66913642617737"/>
    <n v="848.46650201340935"/>
    <n v="1926.1844392472221"/>
    <n v="4780.374783115808"/>
    <n v="-1083.1957971064037"/>
    <n v="-581.48738653631199"/>
    <n v="-240.25270717555713"/>
    <n v="-121.27284779859792"/>
    <n v="123.39581729945394"/>
    <n v="248.75899629708783"/>
    <n v="635.28578809584587"/>
    <n v="1307.6224872399825"/>
    <n v="-1669.3686273113308"/>
    <n v="-1610.5107238735177"/>
    <n v="-1557.471099738161"/>
    <n v="-1493.0019993786925"/>
    <n v="-1374.9146705613282"/>
    <n v="-1123.5453164174301"/>
    <n v="-444.25412039822049"/>
    <n v="-1394.6687407441023"/>
    <n v="-1219.2679259357101"/>
    <n v="-1083.8017404341406"/>
    <n v="-934.91214050931717"/>
    <n v="-689.00089056958336"/>
    <n v="-227.98488140870063"/>
    <n v="836.70468372778942"/>
    <n v="-1079.0115931065725"/>
    <n v="-822.94064562167478"/>
    <n v="-635.37166818351238"/>
    <n v="-436.15254471399339"/>
    <n v="-118.44241324456561"/>
    <n v="452.11578198794768"/>
    <n v="1701.5840711569422"/>
    <n v="-581.48738653631199"/>
    <n v="-240.25270717555713"/>
    <n v="0"/>
    <n v="248.75899629708783"/>
    <n v="635.28578809584587"/>
    <n v="1307.6224872399825"/>
    <n v="2723.0140144380016"/>
    <n v="140.66026773674366"/>
    <n v="560.79377455291251"/>
    <n v="848.46650201340935"/>
    <n v="1141.0460453873111"/>
    <n v="1587.4437556958446"/>
    <n v="2346.7401860173732"/>
    <n v="3901.5942797033995"/>
    <n v="1118.5227407918865"/>
    <n v="1601.3545903879503"/>
    <n v="1926.1844392472221"/>
    <n v="2252.8494046562992"/>
    <n v="2745.5545317961605"/>
    <n v="3571.8824051708043"/>
    <n v="5234.7657897766567"/>
    <n v="3886.8781531991772"/>
    <n v="4423.0245836463337"/>
    <n v="4780.374783115808"/>
    <n v="5137.6075266244288"/>
    <n v="5673.1546294376494"/>
    <n v="6564.6678946763041"/>
    <n v="8342.288036682985"/>
  </r>
  <r>
    <x v="1"/>
    <n v="2905"/>
    <n v="2.1999999999999999E-2"/>
    <s v="Option"/>
    <s v="EUR"/>
    <n v="-10"/>
    <x v="15"/>
    <s v="Call"/>
    <d v="2010-06-18T00:00:00"/>
    <n v="0.33295082614007965"/>
    <n v="2.3E-2"/>
    <n v="154.0267813874168"/>
    <n v="-1540.267813874168"/>
    <s v="Darklays Capital"/>
    <m/>
    <n v="1121.7738316028287"/>
    <n v="2511.5945669952803"/>
    <n v="7.2855759055119034"/>
    <n v="305.60436320356257"/>
    <n v="-0.75617841007131448"/>
    <n v="4.2156652324452191"/>
    <n v="-11217.738316028288"/>
    <n v="-25115.945669952802"/>
    <n v="-72.855759055119037"/>
    <n v="-3056.0436320356257"/>
    <n v="7.5617841007131448"/>
    <n v="-42.156652324452189"/>
    <n v="1327.0971486234266"/>
    <n v="877.37289857187079"/>
    <n v="498.66042097692798"/>
    <n v="214.3337019782382"/>
    <n v="-234.41246670088503"/>
    <n v="-623.69569548559866"/>
    <n v="-1371.0996803694616"/>
    <n v="-3206.2680465329572"/>
    <n v="706.52816484748769"/>
    <n v="359.74862622582918"/>
    <n v="145.05880517927835"/>
    <n v="72.697914562761525"/>
    <n v="-73.003786877161474"/>
    <n v="-146.28551951332611"/>
    <n v="-367.55926819417255"/>
    <n v="-739.98127095729842"/>
    <n v="1437.8804579164455"/>
    <n v="1376.348558312246"/>
    <n v="1327.0971486234266"/>
    <n v="1271.6737765080936"/>
    <n v="1177.8624211655597"/>
    <n v="996.52903219476457"/>
    <n v="561.23886177984957"/>
    <n v="1116.8680405646739"/>
    <n v="977.21361067115879"/>
    <n v="877.37289857187079"/>
    <n v="772.96095046056507"/>
    <n v="609.04157937547552"/>
    <n v="320.23120207235479"/>
    <n v="-297.68553922457158"/>
    <n v="803.84100724288942"/>
    <n v="623.34657431409937"/>
    <n v="498.66042097692798"/>
    <n v="371.11643014025958"/>
    <n v="175.36173245547843"/>
    <n v="-160.06614090070229"/>
    <n v="-853.32641718563764"/>
    <n v="359.74862622582918"/>
    <n v="145.05880517927835"/>
    <n v="0"/>
    <n v="-146.28551951332611"/>
    <n v="-367.55926819417255"/>
    <n v="-739.98127095729842"/>
    <n v="-1492.7658688058818"/>
    <n v="-227.25163272374857"/>
    <n v="-464.94731531004618"/>
    <n v="-623.69569548559866"/>
    <n v="-782.59755098365986"/>
    <n v="-1021.1310498967305"/>
    <n v="-1418.8574131990504"/>
    <n v="-2213.4896041693924"/>
    <n v="-959.04586887247888"/>
    <n v="-1206.3433649393869"/>
    <n v="-1371.0996803694616"/>
    <n v="-1535.7559398899002"/>
    <n v="-1782.530544024994"/>
    <n v="-2193.1848896913675"/>
    <n v="-3011.6340260263382"/>
    <n v="-2821.7915929810692"/>
    <n v="-3050.8737283142"/>
    <n v="-3206.2680465329572"/>
    <n v="-3363.3735568337306"/>
    <n v="-3601.6292680145398"/>
    <n v="-4003.9116531135778"/>
    <n v="-4820.2733106043142"/>
  </r>
  <r>
    <x v="1"/>
    <n v="2905"/>
    <n v="2.1999999999999999E-2"/>
    <s v="Option"/>
    <s v="EUR"/>
    <n v="-20"/>
    <x v="20"/>
    <s v="Put"/>
    <d v="2010-06-18T00:00:00"/>
    <n v="0.39741595217249831"/>
    <n v="2.3E-2"/>
    <n v="212.5127406744291"/>
    <n v="-4250.2548134885819"/>
    <s v="Exch"/>
    <m/>
    <n v="-1025.263878502949"/>
    <n v="2044.6253762674446"/>
    <n v="7.0793485906035771"/>
    <n v="69.53330042957063"/>
    <n v="-0.86853130976168136"/>
    <n v="-5.39195842326584"/>
    <n v="20505.277570058977"/>
    <n v="-40892.50752534889"/>
    <n v="-141.58697181207154"/>
    <n v="-1390.6660085914127"/>
    <n v="17.370626195233626"/>
    <n v="107.8391684653168"/>
    <n v="-5937.6249344913867"/>
    <n v="-2489.2471595576535"/>
    <n v="-1131.431365931885"/>
    <n v="-426.7209994428913"/>
    <n v="394.01392575029377"/>
    <n v="927.24099479646384"/>
    <n v="1675.8278272460143"/>
    <n v="2741.4368893739165"/>
    <n v="1405.3499250122945"/>
    <n v="705.80847945526102"/>
    <n v="282.87273924888268"/>
    <n v="141.51462076172493"/>
    <n v="-141.65381020416135"/>
    <n v="-283.43097462443893"/>
    <n v="-709.36302989809974"/>
    <n v="-1420.5616018286264"/>
    <n v="-5411.9248419793803"/>
    <n v="-5723.8697640771989"/>
    <n v="-5937.6249344913867"/>
    <n v="-6155.2896683455083"/>
    <n v="-6488.0126782308753"/>
    <n v="-7055.8136846712523"/>
    <n v="-8225.2453545777862"/>
    <n v="-1808.3981781233706"/>
    <n v="-2216.7387639464187"/>
    <n v="-2489.2471595576535"/>
    <n v="-2761.8919400280129"/>
    <n v="-3170.9796858248501"/>
    <n v="-3852.6993102275765"/>
    <n v="-5213.7051463181069"/>
    <n v="-421.71154247502727"/>
    <n v="-847.6945864051595"/>
    <n v="-1131.431365931885"/>
    <n v="-1414.9473849179549"/>
    <n v="-1839.7736281420612"/>
    <n v="-2546.5014359023462"/>
    <n v="-3954.2529963410379"/>
    <n v="705.80847945526102"/>
    <n v="282.87273924888268"/>
    <n v="0"/>
    <n v="-283.43097462443893"/>
    <n v="-709.36302989809974"/>
    <n v="-1420.5616018286264"/>
    <n v="-2844.1128825802252"/>
    <n v="1601.4341502723209"/>
    <n v="1198.9499396377937"/>
    <n v="927.24099479646384"/>
    <n v="653.30385970511088"/>
    <n v="238.93984781063409"/>
    <n v="-458.74725143352862"/>
    <n v="-1870.6195930811236"/>
    <n v="2297.8836953352857"/>
    <n v="1928.5821750073364"/>
    <n v="1675.8278272460143"/>
    <n v="1418.6566680768851"/>
    <n v="1025.8762128784338"/>
    <n v="356.3096712401034"/>
    <n v="-1020.764609333421"/>
    <n v="3227.4949826761758"/>
    <n v="2943.444330179349"/>
    <n v="2741.4368893739165"/>
    <n v="2530.5628574627781"/>
    <n v="2199.6517327275774"/>
    <n v="1615.6756789332439"/>
    <n v="358.87023150761706"/>
  </r>
  <r>
    <x v="1"/>
    <n v="2905"/>
    <n v="2.1999999999999999E-2"/>
    <s v="Option"/>
    <s v="EUR"/>
    <n v="20"/>
    <x v="20"/>
    <s v="Put"/>
    <d v="2010-06-18T00:00:00"/>
    <n v="0.39741595217249831"/>
    <n v="2.3E-2"/>
    <n v="212.5127406744291"/>
    <n v="4250.2548134885819"/>
    <s v="JP Horgan"/>
    <m/>
    <n v="-1025.263878502949"/>
    <n v="2044.6253762674446"/>
    <n v="7.0793485906035771"/>
    <n v="69.53330042957063"/>
    <n v="-0.86853130976168136"/>
    <n v="-5.39195842326584"/>
    <n v="-20505.277570058977"/>
    <n v="40892.50752534889"/>
    <n v="141.58697181207154"/>
    <n v="1390.6660085914127"/>
    <n v="-17.370626195233626"/>
    <n v="-107.8391684653168"/>
    <n v="5937.6249344913867"/>
    <n v="2489.2471595576535"/>
    <n v="1131.431365931885"/>
    <n v="426.7209994428913"/>
    <n v="-394.01392575029377"/>
    <n v="-927.24099479646384"/>
    <n v="-1675.8278272460143"/>
    <n v="-2741.4368893739165"/>
    <n v="-1405.3499250122945"/>
    <n v="-705.80847945526102"/>
    <n v="-282.87273924888268"/>
    <n v="-141.51462076172493"/>
    <n v="141.65381020416135"/>
    <n v="283.43097462443893"/>
    <n v="709.36302989809974"/>
    <n v="1420.5616018286264"/>
    <n v="5411.9248419793803"/>
    <n v="5723.8697640771989"/>
    <n v="5937.6249344913867"/>
    <n v="6155.2896683455083"/>
    <n v="6488.0126782308753"/>
    <n v="7055.8136846712523"/>
    <n v="8225.2453545777862"/>
    <n v="1808.3981781233706"/>
    <n v="2216.7387639464187"/>
    <n v="2489.2471595576535"/>
    <n v="2761.8919400280129"/>
    <n v="3170.9796858248501"/>
    <n v="3852.6993102275765"/>
    <n v="5213.7051463181069"/>
    <n v="421.71154247502727"/>
    <n v="847.6945864051595"/>
    <n v="1131.431365931885"/>
    <n v="1414.9473849179549"/>
    <n v="1839.7736281420612"/>
    <n v="2546.5014359023462"/>
    <n v="3954.2529963410379"/>
    <n v="-705.80847945526102"/>
    <n v="-282.87273924888268"/>
    <n v="0"/>
    <n v="283.43097462443893"/>
    <n v="709.36302989809974"/>
    <n v="1420.5616018286264"/>
    <n v="2844.1128825802252"/>
    <n v="-1601.4341502723209"/>
    <n v="-1198.9499396377937"/>
    <n v="-927.24099479646384"/>
    <n v="-653.30385970511088"/>
    <n v="-238.93984781063409"/>
    <n v="458.74725143352862"/>
    <n v="1870.6195930811236"/>
    <n v="-2297.8836953352857"/>
    <n v="-1928.5821750073364"/>
    <n v="-1675.8278272460143"/>
    <n v="-1418.6566680768851"/>
    <n v="-1025.8762128784338"/>
    <n v="-356.3096712401034"/>
    <n v="1020.764609333421"/>
    <n v="-3227.4949826761758"/>
    <n v="-2943.444330179349"/>
    <n v="-2741.4368893739165"/>
    <n v="-2530.5628574627781"/>
    <n v="-2199.6517327275774"/>
    <n v="-1615.6756789332439"/>
    <n v="-358.87023150761706"/>
  </r>
  <r>
    <x v="1"/>
    <n v="2905"/>
    <n v="2.1999999999999999E-2"/>
    <s v="Option"/>
    <s v="EUR"/>
    <n v="-20"/>
    <x v="18"/>
    <s v="Put"/>
    <d v="2010-09-17T00:00:00"/>
    <n v="0.29815741679134772"/>
    <n v="2.5000000000000001E-2"/>
    <n v="558.63011298435072"/>
    <n v="-11172.602259687013"/>
    <s v="Exch"/>
    <m/>
    <n v="-1912.137057507716"/>
    <n v="2104.3815140985789"/>
    <n v="8.595026797083527"/>
    <n v="854.88762468851871"/>
    <n v="-0.45855566591517538"/>
    <n v="-16.923062811589499"/>
    <n v="38242.741150154317"/>
    <n v="-42087.630281971578"/>
    <n v="-171.90053594167054"/>
    <n v="-17097.752493770375"/>
    <n v="9.1711133183035081"/>
    <n v="338.46125623179"/>
    <n v="-9157.3108678644203"/>
    <n v="-4228.6416682319714"/>
    <n v="-2015.6533058968625"/>
    <n v="-781.5949202079355"/>
    <n v="747.94343964367272"/>
    <n v="1805.9402037062728"/>
    <n v="3398.3516827560106"/>
    <n v="5965.1493860533265"/>
    <n v="1594.9100208501886"/>
    <n v="834.08370411958913"/>
    <n v="340.14574873155198"/>
    <n v="171.01703598719723"/>
    <n v="-172.72839144095997"/>
    <n v="-347.01018759745693"/>
    <n v="-877.83293502302968"/>
    <n v="-1782.8613860945325"/>
    <n v="-8906.2366858688656"/>
    <n v="-9042.9571648123201"/>
    <n v="-9157.3108678644203"/>
    <n v="-9289.2163055952042"/>
    <n v="-9517.4618825867547"/>
    <n v="-9968.5667159045952"/>
    <n v="-11072.359991911821"/>
    <n v="-3695.1936505404001"/>
    <n v="-4001.9438848891286"/>
    <n v="-4228.6416682319714"/>
    <n v="-4470.4021919065372"/>
    <n v="-4857.0165181857419"/>
    <n v="-5552.2019785515067"/>
    <n v="-7071.2052047353473"/>
    <n v="-1326.2928951433014"/>
    <n v="-1729.5907436576408"/>
    <n v="-2015.6533058968625"/>
    <n v="-2312.9483703467076"/>
    <n v="-2776.2333578375592"/>
    <n v="-3583.8600602187262"/>
    <n v="-5284.2687811757423"/>
    <n v="834.08370411958913"/>
    <n v="340.14574873155198"/>
    <n v="0"/>
    <n v="-347.01018759745693"/>
    <n v="-877.83293502302968"/>
    <n v="-1782.8613860945325"/>
    <n v="-3638.3230956840953"/>
    <n v="2759.0561890558956"/>
    <n v="2190.1317583814398"/>
    <n v="1805.9402037062728"/>
    <n v="1418.7627835895546"/>
    <n v="833.69666674300333"/>
    <n v="-149.30137625126008"/>
    <n v="-2129.5614168641214"/>
    <n v="4434.5428777022062"/>
    <n v="3813.331187948088"/>
    <n v="3398.3516827560106"/>
    <n v="2982.9673409268844"/>
    <n v="2359.506079853395"/>
    <n v="1320.4473087045653"/>
    <n v="-752.55168736393443"/>
    <n v="7045.4965989875654"/>
    <n v="6397.8954804159139"/>
    <n v="5965.1493860533265"/>
    <n v="5531.8948727503494"/>
    <n v="4881.4824872421514"/>
    <n v="3797.2487900201077"/>
    <n v="1633.5054757348462"/>
  </r>
  <r>
    <x v="1"/>
    <n v="2905"/>
    <n v="2.1999999999999999E-2"/>
    <s v="Option"/>
    <s v="EUR"/>
    <n v="-20"/>
    <x v="20"/>
    <s v="Put"/>
    <d v="2010-09-17T00:00:00"/>
    <n v="0.36858239664855386"/>
    <n v="2.5000000000000001E-2"/>
    <n v="254.97539334618409"/>
    <n v="-5099.5078669236818"/>
    <s v="Exch"/>
    <m/>
    <n v="-1026.6494887879398"/>
    <n v="1752.7056756340671"/>
    <n v="8.8495405280099639"/>
    <n v="49.243974837691823"/>
    <n v="-0.62645468839673502"/>
    <n v="-8.7782526173570137"/>
    <n v="20532.989775758797"/>
    <n v="-35054.113512681346"/>
    <n v="-176.99081056019929"/>
    <n v="-984.87949675383652"/>
    <n v="12.5290937679347"/>
    <n v="175.56505234714027"/>
    <n v="-5679.8208593212712"/>
    <n v="-2427.8142821303436"/>
    <n v="-1117.3944101174357"/>
    <n v="-424.8838631910894"/>
    <n v="396.8441130229985"/>
    <n v="942.26304286536561"/>
    <n v="1729.0094567507504"/>
    <n v="2914.9344976229736"/>
    <n v="1760.6040311422225"/>
    <n v="883.24983158567875"/>
    <n v="353.75658325469203"/>
    <n v="176.93814121645119"/>
    <n v="-177.0367811941469"/>
    <n v="-354.15297261403339"/>
    <n v="-885.80866898920704"/>
    <n v="-1772.0860299424794"/>
    <n v="-4987.7919434871637"/>
    <n v="-5399.4920298005582"/>
    <n v="-5679.8208593212712"/>
    <n v="-5963.9828588875753"/>
    <n v="-6396.1399351890896"/>
    <n v="-7128.4146506987281"/>
    <n v="-8620.5979978782398"/>
    <n v="-1577.5726122418564"/>
    <n v="-2087.7052084395064"/>
    <n v="-2427.8142821303436"/>
    <n v="-2767.8373125306553"/>
    <n v="-3277.5521118842653"/>
    <n v="-4125.726883484358"/>
    <n v="-5814.3998066326321"/>
    <n v="-235.29341293403377"/>
    <n v="-764.83724591669215"/>
    <n v="-1117.3944101174357"/>
    <n v="-1469.5391551773309"/>
    <n v="-1996.9212518609584"/>
    <n v="-2873.4407308503978"/>
    <n v="-4615.8620736753528"/>
    <n v="883.24983158567875"/>
    <n v="353.75658325469203"/>
    <n v="0"/>
    <n v="-354.15297261403339"/>
    <n v="-885.80866898920704"/>
    <n v="-1772.0860299424794"/>
    <n v="-3540.6892981725423"/>
    <n v="1800.1775111681104"/>
    <n v="1287.4537034394075"/>
    <n v="942.26304286536561"/>
    <n v="594.94156712932181"/>
    <n v="70.801356780164042"/>
    <n v="-808.72997359367218"/>
    <n v="-2578.7652255668513"/>
    <n v="2540.7945820108671"/>
    <n v="2057.8387550310094"/>
    <n v="1729.0094567507504"/>
    <n v="1395.6957587635179"/>
    <n v="888.80711837104855"/>
    <n v="29.942843096280285"/>
    <n v="-1720.091263600234"/>
    <n v="3596.1751804218375"/>
    <n v="3196.041463390477"/>
    <n v="2914.9344976229736"/>
    <n v="2624.0602102899356"/>
    <n v="2172.103992642019"/>
    <n v="1385.3210133010793"/>
    <n v="-274.37689348652839"/>
  </r>
  <r>
    <x v="1"/>
    <n v="2905"/>
    <n v="2.1999999999999999E-2"/>
    <s v="Option"/>
    <s v="EUR"/>
    <n v="5"/>
    <x v="12"/>
    <s v="Put"/>
    <d v="2010-09-17T00:00:00"/>
    <n v="0.42327066685481735"/>
    <n v="2.5000000000000001E-2"/>
    <n v="224.2834239356215"/>
    <n v="1121.4171196781076"/>
    <s v="Darklays Capital"/>
    <m/>
    <n v="-836.71815787568255"/>
    <n v="1403.5031212085391"/>
    <n v="8.1378315348870682"/>
    <n v="205.98587405962013"/>
    <n v="-0.66666206220882362"/>
    <n v="-7.267134121995233"/>
    <n v="-4183.5907893784124"/>
    <n v="7017.5156060426962"/>
    <n v="40.689157674435343"/>
    <n v="1029.9293702981006"/>
    <n v="-3.333310311044118"/>
    <n v="-36.335670609976162"/>
    <n v="1164.04881248437"/>
    <n v="494.51788558818009"/>
    <n v="227.47354108568118"/>
    <n v="86.526796475397418"/>
    <n v="-80.912604681186053"/>
    <n v="-192.37914033828019"/>
    <n v="-354.0687392346149"/>
    <n v="-601.71504053708929"/>
    <n v="-399.67203141407651"/>
    <n v="-201.92994750330797"/>
    <n v="-81.158662424269892"/>
    <n v="-40.6359889695932"/>
    <n v="40.739049558479792"/>
    <n v="81.571718136520985"/>
    <n v="204.54753728208686"/>
    <n v="410.68087125643842"/>
    <n v="976.42639070606094"/>
    <n v="1088.853335261595"/>
    <n v="1164.04881248437"/>
    <n v="1239.3869425097346"/>
    <n v="1352.5808566483811"/>
    <n v="1541.4872711726748"/>
    <n v="1919.0036509633187"/>
    <n v="287.96566519047076"/>
    <n v="411.96455809360202"/>
    <n v="494.51788558818009"/>
    <n v="576.97102098177027"/>
    <n v="700.44543013553209"/>
    <n v="905.62733104822769"/>
    <n v="1313.3328777631714"/>
    <n v="20.674469017741899"/>
    <n v="144.6625483734914"/>
    <n v="227.47354108568118"/>
    <n v="310.36272850891805"/>
    <n v="434.77578560027382"/>
    <n v="642.13338580750928"/>
    <n v="1055.7992518891331"/>
    <n v="-201.92994750330797"/>
    <n v="-81.158662424269892"/>
    <n v="0"/>
    <n v="81.571718136520985"/>
    <n v="204.54753728208686"/>
    <n v="410.68087125643842"/>
    <n v="825.03989264289032"/>
    <n v="-385.38518350376194"/>
    <n v="-270.35152237987916"/>
    <n v="-192.37914033828019"/>
    <n v="-113.55289719723089"/>
    <n v="6.022547284344455"/>
    <n v="208.07005636753445"/>
    <n v="618.58206938493879"/>
    <n v="-535.19342054824335"/>
    <n v="-427.71037951595076"/>
    <n v="-354.0687392346149"/>
    <n v="-279.07866927918576"/>
    <n v="-164.43939513032774"/>
    <n v="31.216184800398992"/>
    <n v="434.08311769955446"/>
    <n v="-754.17268770580199"/>
    <n v="-664.68554025047661"/>
    <n v="-601.71504053708929"/>
    <n v="-536.42393397073874"/>
    <n v="-434.67143000208523"/>
    <n v="-256.62658666455854"/>
    <n v="122.37257722632421"/>
  </r>
  <r>
    <x v="2"/>
    <n v="10022"/>
    <n v="5.0000000000000001E-3"/>
    <s v="Future"/>
    <s v="JPY"/>
    <n v="-10"/>
    <x v="0"/>
    <m/>
    <d v="2010-03-19T00:00:00"/>
    <m/>
    <m/>
    <n v="10012.668785076199"/>
    <n v="-100126.68785076198"/>
    <s v="Exch"/>
    <m/>
    <n v="10012.668785076199"/>
    <n v="0"/>
    <n v="0"/>
    <n v="0"/>
    <n v="0.13715984637090683"/>
    <n v="18.653739106443332"/>
    <n v="-100126.68785076198"/>
    <n v="0"/>
    <n v="0"/>
    <n v="0"/>
    <n v="-1.3715984637090683"/>
    <n v="-186.53739106443334"/>
    <n v="20025.337570152387"/>
    <n v="10012.668785076185"/>
    <n v="5006.3343925381014"/>
    <n v="2002.5337570152442"/>
    <n v="-2002.5337570152442"/>
    <n v="-5006.3343925381014"/>
    <n v="-10012.668785076203"/>
    <n v="-20025.337570152406"/>
    <n v="0"/>
    <n v="0"/>
    <n v="0"/>
    <n v="0"/>
    <n v="0"/>
    <n v="0"/>
    <n v="0"/>
    <n v="0"/>
    <n v="20025.337570152387"/>
    <n v="20025.337570152387"/>
    <n v="20025.337570152387"/>
    <n v="20025.337570152387"/>
    <n v="20025.337570152387"/>
    <n v="20025.337570152387"/>
    <n v="20025.337570152387"/>
    <n v="10012.668785076185"/>
    <n v="10012.668785076185"/>
    <n v="10012.668785076185"/>
    <n v="10012.668785076185"/>
    <n v="10012.668785076185"/>
    <n v="10012.668785076185"/>
    <n v="10012.668785076185"/>
    <n v="5006.3343925381014"/>
    <n v="5006.3343925381014"/>
    <n v="5006.3343925381014"/>
    <n v="5006.3343925381014"/>
    <n v="5006.3343925381014"/>
    <n v="5006.3343925381014"/>
    <n v="5006.3343925381014"/>
    <n v="0"/>
    <n v="0"/>
    <n v="0"/>
    <n v="0"/>
    <n v="0"/>
    <n v="0"/>
    <n v="0"/>
    <n v="-5006.3343925381014"/>
    <n v="-5006.3343925381014"/>
    <n v="-5006.3343925381014"/>
    <n v="-5006.3343925381014"/>
    <n v="-5006.3343925381014"/>
    <n v="-5006.3343925381014"/>
    <n v="-5006.3343925381014"/>
    <n v="-10012.668785076203"/>
    <n v="-10012.668785076203"/>
    <n v="-10012.668785076203"/>
    <n v="-10012.668785076203"/>
    <n v="-10012.668785076203"/>
    <n v="-10012.668785076203"/>
    <n v="-10012.668785076203"/>
    <n v="-20025.337570152406"/>
    <n v="-20025.337570152406"/>
    <n v="-20025.337570152406"/>
    <n v="-20025.337570152406"/>
    <n v="-20025.337570152406"/>
    <n v="-20025.337570152406"/>
    <n v="-20025.337570152406"/>
  </r>
  <r>
    <x v="2"/>
    <n v="10022"/>
    <n v="5.0000000000000001E-3"/>
    <s v="Option"/>
    <s v="JPY"/>
    <n v="-20"/>
    <x v="21"/>
    <s v="Call"/>
    <d v="2010-03-19T00:00:00"/>
    <n v="0.41000000000000003"/>
    <n v="5.0000000000000001E-3"/>
    <n v="705.96860456899594"/>
    <n v="-14119.372091379919"/>
    <s v="Exch"/>
    <m/>
    <n v="5359.3186948225975"/>
    <n v="11241.853599719911"/>
    <n v="17.173856348503627"/>
    <n v="-32.795007876457611"/>
    <n v="-5.1677417728495127"/>
    <n v="8.6692549626642439"/>
    <n v="-107186.37389645196"/>
    <n v="-224837.0719943982"/>
    <n v="-343.4771269700725"/>
    <n v="655.90015752915224"/>
    <n v="103.35483545699026"/>
    <n v="-173.38509925328486"/>
    <n v="12556.391350084567"/>
    <n v="8417.8352487136726"/>
    <n v="4786.7215425701397"/>
    <n v="2052.9804340877308"/>
    <n v="-2232.6812443426024"/>
    <n v="-5904.3355621652881"/>
    <n v="-12810.838817096592"/>
    <n v="-28975.904909135679"/>
    <n v="3437.7858694090173"/>
    <n v="1718.1724194941671"/>
    <n v="687.08331705947785"/>
    <n v="343.50965740144602"/>
    <n v="-343.44406746189634"/>
    <n v="-686.82095821524854"/>
    <n v="-1716.5327167073337"/>
    <n v="-3431.2276295010088"/>
    <n v="13179.263869244971"/>
    <n v="12822.905282455251"/>
    <n v="12556.391350084567"/>
    <n v="12268.462112569676"/>
    <n v="11799.654172781093"/>
    <n v="10931.516039704369"/>
    <n v="8937.0733818877488"/>
    <n v="9750.0522056868158"/>
    <n v="8958.861839552219"/>
    <n v="8417.8352487136726"/>
    <n v="7867.5619533583904"/>
    <n v="7027.2696512633047"/>
    <n v="5594.5313378316223"/>
    <n v="2643.5474700842769"/>
    <n v="6383.1682091311541"/>
    <n v="5427.4782497269643"/>
    <n v="4786.7215425701397"/>
    <n v="4143.573068222704"/>
    <n v="3175.1298454889093"/>
    <n v="1553.4040455071408"/>
    <n v="-1708.1371995417885"/>
    <n v="1718.1724194941671"/>
    <n v="687.08331705947785"/>
    <n v="0"/>
    <n v="-686.82095821524854"/>
    <n v="-1716.5327167073337"/>
    <n v="-3431.2276295010088"/>
    <n v="-6854.3149061513213"/>
    <n v="-4218.3062684207471"/>
    <n v="-5227.8600258494589"/>
    <n v="-5904.3355621652881"/>
    <n v="-6583.0706799297877"/>
    <n v="-7604.6760989232462"/>
    <n v="-9314.513628912282"/>
    <n v="-12750.838257543401"/>
    <n v="-11283.060909728956"/>
    <n v="-12192.120575685767"/>
    <n v="-12810.838817096592"/>
    <n v="-13438.153873456777"/>
    <n v="-14392.899038088326"/>
    <n v="-16013.806464654626"/>
    <n v="-19333.451553457744"/>
    <n v="-27946.467399589092"/>
    <n v="-28545.032498205619"/>
    <n v="-28975.904909135679"/>
    <n v="-29429.542219775158"/>
    <n v="-30148.151514735564"/>
    <n v="-31432.647620112293"/>
    <n v="-34248.749423339177"/>
  </r>
  <r>
    <x v="2"/>
    <n v="10022"/>
    <n v="5.0000000000000001E-3"/>
    <s v="Option"/>
    <s v="JPY"/>
    <n v="-10"/>
    <x v="22"/>
    <s v="Put"/>
    <d v="2010-03-19T00:00:00"/>
    <n v="0.47216774083559543"/>
    <n v="5.0000000000000001E-3"/>
    <n v="406.81126774628319"/>
    <n v="-4068.1126774628319"/>
    <s v="Exch"/>
    <m/>
    <n v="-2865.1110308839361"/>
    <n v="8355.7862474652648"/>
    <n v="14.700417788778919"/>
    <n v="634.42730798547746"/>
    <n v="-5.098150078692246"/>
    <n v="-6.095636063201507"/>
    <n v="28651.110308839361"/>
    <n v="-83557.862474652648"/>
    <n v="-147.00417788778918"/>
    <n v="-6344.2730798547746"/>
    <n v="50.98150078692246"/>
    <n v="60.95636063201507"/>
    <n v="-9723.9500168280028"/>
    <n v="-3797.8243180972095"/>
    <n v="-1654.2033698165824"/>
    <n v="-607.27766822810281"/>
    <n v="540.44498706253307"/>
    <n v="1236.9547511919791"/>
    <n v="2135.818135689542"/>
    <n v="3212.976170935025"/>
    <n v="1430.0444416351456"/>
    <n v="726.16334045635085"/>
    <n v="292.68364655261848"/>
    <n v="146.68011665180074"/>
    <n v="-147.3147976556902"/>
    <n v="-295.22541906262632"/>
    <n v="-742.1838857813691"/>
    <n v="-1496.1119791662486"/>
    <n v="-9138.3889726200323"/>
    <n v="-9486.3222705635872"/>
    <n v="-9723.9500168280028"/>
    <n v="-9965.5345188396768"/>
    <n v="-10334.413410171646"/>
    <n v="-10963.680134821097"/>
    <n v="-12262.145460124384"/>
    <n v="-3022.5751199673687"/>
    <n v="-3487.7880656112393"/>
    <n v="-3797.8243180972095"/>
    <n v="-4107.7628833310246"/>
    <n v="-4572.4652999053433"/>
    <n v="-5346.3445713419605"/>
    <n v="-6891.3011422496493"/>
    <n v="-876.03358600596039"/>
    <n v="-1342.5184266962424"/>
    <n v="-1654.2033698165824"/>
    <n v="-1966.3408662862548"/>
    <n v="-2435.2357374549001"/>
    <n v="-3218.0702228784048"/>
    <n v="-4786.3293669805898"/>
    <n v="726.16334045635085"/>
    <n v="292.68364655261848"/>
    <n v="0"/>
    <n v="-295.22541906262632"/>
    <n v="-742.1838857813691"/>
    <n v="-1496.1119791662486"/>
    <n v="-3027.949228149696"/>
    <n v="1873.6781456214862"/>
    <n v="1496.2301293073278"/>
    <n v="1236.9547511919791"/>
    <n v="972.31531081015419"/>
    <n v="566.49401435392065"/>
    <n v="-129.73135229432046"/>
    <n v="-1577.60236477121"/>
    <n v="2665.0999456159047"/>
    <n v="2354.2816993821884"/>
    <n v="2135.818135689542"/>
    <n v="1909.2828285261157"/>
    <n v="1555.8886259043402"/>
    <n v="935.72301374798826"/>
    <n v="-394.72534301390169"/>
    <n v="3533.6776315227939"/>
    <n v="3350.0281762672657"/>
    <n v="3212.976170935025"/>
    <n v="3064.8536262470952"/>
    <n v="2823.152400243298"/>
    <n v="2373.0113265890986"/>
    <n v="1325.046769681137"/>
  </r>
  <r>
    <x v="2"/>
    <n v="10022"/>
    <n v="5.0000000000000001E-3"/>
    <s v="Option"/>
    <s v="JPY"/>
    <n v="-20"/>
    <x v="21"/>
    <s v="Put"/>
    <d v="2010-03-19T00:00:00"/>
    <n v="0.41000000000000003"/>
    <n v="5.0000000000000001E-3"/>
    <n v="705.96860456899594"/>
    <n v="-14119.372091379919"/>
    <s v="GoldMine Sacks"/>
    <m/>
    <n v="-4653.3500902536016"/>
    <n v="11241.853599719911"/>
    <n v="17.173856348503627"/>
    <n v="-32.795007876457611"/>
    <n v="-5.1677417728495127"/>
    <n v="-9.9844841437790883"/>
    <n v="93067.001805072039"/>
    <n v="-224837.0719943982"/>
    <n v="-343.4771269700725"/>
    <n v="655.90015752915224"/>
    <n v="103.35483545699026"/>
    <n v="199.68968287558175"/>
    <n v="-27494.283790220197"/>
    <n v="-11607.502321438715"/>
    <n v="-5225.9472425060449"/>
    <n v="-1952.0870799427757"/>
    <n v="1772.3862696878678"/>
    <n v="4108.3332229109055"/>
    <n v="7214.4987530558137"/>
    <n v="11074.770231169128"/>
    <n v="3437.7858694090173"/>
    <n v="1718.1724194941671"/>
    <n v="687.08331705947785"/>
    <n v="343.50965740144602"/>
    <n v="-343.44406746189634"/>
    <n v="-686.82095821524854"/>
    <n v="-1716.5327167073337"/>
    <n v="-3431.2276295010088"/>
    <n v="-26871.411271059787"/>
    <n v="-27227.769857849507"/>
    <n v="-27494.283790220197"/>
    <n v="-27782.213027735088"/>
    <n v="-28251.020967523655"/>
    <n v="-29119.159100600409"/>
    <n v="-31113.601758417008"/>
    <n v="-10275.285364465526"/>
    <n v="-11066.475730600141"/>
    <n v="-11607.502321438715"/>
    <n v="-12157.77561679397"/>
    <n v="-12998.067918889064"/>
    <n v="-14430.806232320738"/>
    <n v="-17381.790100068101"/>
    <n v="-3629.5005759450578"/>
    <n v="-4585.1905353492475"/>
    <n v="-5225.9472425060449"/>
    <n v="-5869.0957168534987"/>
    <n v="-6837.5389395873026"/>
    <n v="-8459.2647395690619"/>
    <n v="-11720.805984618"/>
    <n v="1718.1724194941671"/>
    <n v="687.08331705947785"/>
    <n v="0"/>
    <n v="-686.82095821524854"/>
    <n v="-1716.5327167073337"/>
    <n v="-3431.2276295010088"/>
    <n v="-6854.3149061513213"/>
    <n v="5794.3625166554557"/>
    <n v="4784.808759226753"/>
    <n v="4108.3332229109055"/>
    <n v="3429.598105146415"/>
    <n v="2407.9926861529566"/>
    <n v="698.15515616392076"/>
    <n v="-2738.1694724671979"/>
    <n v="8742.2766604234039"/>
    <n v="7833.2169944666293"/>
    <n v="7214.4987530558137"/>
    <n v="6587.1836966956289"/>
    <n v="5632.4385320640977"/>
    <n v="4011.5311054977701"/>
    <n v="691.88601669466152"/>
    <n v="12104.207740715692"/>
    <n v="11505.642642099174"/>
    <n v="11074.770231169128"/>
    <n v="10621.132920529672"/>
    <n v="9902.5236255692325"/>
    <n v="8618.0275201925178"/>
    <n v="5801.925716965643"/>
  </r>
  <r>
    <x v="2"/>
    <n v="10022"/>
    <n v="5.0000000000000001E-3"/>
    <s v="Option"/>
    <s v="JPY"/>
    <n v="-20"/>
    <x v="23"/>
    <s v="Call"/>
    <d v="2010-03-19T00:00:00"/>
    <n v="0.39753782583952535"/>
    <n v="5.0000000000000001E-3"/>
    <n v="554.76515320714407"/>
    <n v="-11095.303064142881"/>
    <s v="Exch"/>
    <m/>
    <n v="4660.5885132066678"/>
    <n v="11596.114854726689"/>
    <n v="17.17659241382335"/>
    <n v="96.703682221908721"/>
    <n v="-5.0132425387673099"/>
    <n v="7.64920516383473"/>
    <n v="-93211.77026413336"/>
    <n v="-231922.2970945338"/>
    <n v="-343.53184827646703"/>
    <n v="-1934.0736444381744"/>
    <n v="100.26485077534619"/>
    <n v="-152.98410327669461"/>
    <n v="10125.81779138988"/>
    <n v="7031.6294979884924"/>
    <n v="4080.1648528453916"/>
    <n v="1771.264878594302"/>
    <n v="-1956.5974605226438"/>
    <n v="-5231.8047336531527"/>
    <n v="-11545.138701877386"/>
    <n v="-26838.976749679059"/>
    <n v="3421.1060963604905"/>
    <n v="1714.749563868445"/>
    <n v="686.64768909626218"/>
    <n v="343.43158163541375"/>
    <n v="-343.62514877728245"/>
    <n v="-687.42387969756237"/>
    <n v="-1719.6860981121608"/>
    <n v="-3442.1476443531901"/>
    <n v="10578.977630095642"/>
    <n v="10325.010259964291"/>
    <n v="10125.81779138988"/>
    <n v="9903.7074651622625"/>
    <n v="9529.8859464646521"/>
    <n v="8808.1261536293132"/>
    <n v="7058.7243952808694"/>
    <n v="8193.6803073559677"/>
    <n v="7509.4225280254523"/>
    <n v="7031.6294979884924"/>
    <n v="6538.8833792531295"/>
    <n v="5775.4032365975218"/>
    <n v="4449.356057128507"/>
    <n v="1651.8996794711438"/>
    <n v="5577.350253984996"/>
    <n v="4684.9349298699508"/>
    <n v="4080.1648528453916"/>
    <n v="3468.8059653527762"/>
    <n v="2541.3179946273794"/>
    <n v="973.29365997191417"/>
    <n v="-2219.7280960268108"/>
    <n v="1714.749563868445"/>
    <n v="686.64768909626218"/>
    <n v="0"/>
    <n v="-687.42387969756237"/>
    <n v="-1719.6860981121608"/>
    <n v="-3442.1476443531901"/>
    <n v="-6890.0114273862528"/>
    <n v="-3457.3163773836677"/>
    <n v="-4521.7911201386232"/>
    <n v="-5231.8047336531527"/>
    <n v="-5942.0037536329073"/>
    <n v="-7007.4895313633169"/>
    <n v="-8783.3080316626183"/>
    <n v="-12332.527496566345"/>
    <n v="-9863.0197307334129"/>
    <n v="-10867.979188087684"/>
    <n v="-11545.138701877386"/>
    <n v="-12227.073846854728"/>
    <n v="-13257.484121124107"/>
    <n v="-14990.584381372519"/>
    <n v="-18496.080943113611"/>
    <n v="-25623.764397172872"/>
    <n v="-26335.471005105919"/>
    <n v="-26838.976749679059"/>
    <n v="-27362.805552861701"/>
    <n v="-28181.989898312677"/>
    <n v="-29621.722067014689"/>
    <n v="-32706.48931774127"/>
  </r>
  <r>
    <x v="2"/>
    <n v="10022"/>
    <n v="5.0000000000000001E-3"/>
    <s v="Option"/>
    <s v="JPY"/>
    <n v="-20"/>
    <x v="23"/>
    <s v="Put"/>
    <d v="2010-03-19T00:00:00"/>
    <n v="0.39753782583952535"/>
    <n v="5.0000000000000001E-3"/>
    <n v="855.48490019456494"/>
    <n v="-17109.698003891299"/>
    <s v="Exch"/>
    <m/>
    <n v="-5352.0802718695322"/>
    <n v="11596.114854726689"/>
    <n v="17.17659241382335"/>
    <n v="96.703682221908721"/>
    <n v="-5.0091230901784405"/>
    <n v="-11.564778950694759"/>
    <n v="107041.60543739065"/>
    <n v="-231922.2970945338"/>
    <n v="-343.53184827646703"/>
    <n v="-1934.0736444381744"/>
    <n v="100.18246180356881"/>
    <n v="231.29557901389518"/>
    <n v="-29924.857348914884"/>
    <n v="-12993.708072163863"/>
    <n v="-5932.5039322308294"/>
    <n v="-2233.8026354362046"/>
    <n v="2048.4700535078446"/>
    <n v="4780.8640514230319"/>
    <n v="8480.1988682750289"/>
    <n v="13211.698390625706"/>
    <n v="3421.1060963604905"/>
    <n v="1714.749563868445"/>
    <n v="686.64768909628037"/>
    <n v="343.43158163543194"/>
    <n v="-343.62514877730064"/>
    <n v="-687.42387969754418"/>
    <n v="-1719.686098112179"/>
    <n v="-3442.1476443532083"/>
    <n v="-29471.697510209142"/>
    <n v="-29725.664880340501"/>
    <n v="-29924.857348914884"/>
    <n v="-30146.967675142514"/>
    <n v="-30520.789193840101"/>
    <n v="-31242.548986675447"/>
    <n v="-32991.950745023896"/>
    <n v="-11831.657262796398"/>
    <n v="-12515.91504212689"/>
    <n v="-12993.708072163863"/>
    <n v="-13486.454190899258"/>
    <n v="-14249.934333554847"/>
    <n v="-15575.981513023853"/>
    <n v="-18373.437890681234"/>
    <n v="-4435.3185310911977"/>
    <n v="-5327.7338552062611"/>
    <n v="-5932.5039322308294"/>
    <n v="-6543.8628197234175"/>
    <n v="-7471.3507904488142"/>
    <n v="-9039.3751251043068"/>
    <n v="-12232.396881103014"/>
    <n v="1714.749563868445"/>
    <n v="686.64768909628037"/>
    <n v="0"/>
    <n v="-687.42387969754418"/>
    <n v="-1719.686098112179"/>
    <n v="-3442.1476443532083"/>
    <n v="-6890.0114273862528"/>
    <n v="6555.3524076925351"/>
    <n v="5490.8776649375795"/>
    <n v="4780.8640514230319"/>
    <n v="4070.6650314432773"/>
    <n v="3005.1792537128858"/>
    <n v="1229.3607534135845"/>
    <n v="-2319.858711490142"/>
    <n v="10162.317839419002"/>
    <n v="9157.3583820647309"/>
    <n v="8480.1988682750289"/>
    <n v="7798.2637232976867"/>
    <n v="6767.8534490283073"/>
    <n v="5034.7531887798868"/>
    <n v="1529.2566270387852"/>
    <n v="14426.910743131939"/>
    <n v="13715.204135198919"/>
    <n v="13211.698390625706"/>
    <n v="12687.869587443129"/>
    <n v="11868.685241992098"/>
    <n v="10428.953073290122"/>
    <n v="7344.1858225635406"/>
  </r>
  <r>
    <x v="2"/>
    <n v="10022"/>
    <n v="5.0000000000000001E-3"/>
    <s v="Option"/>
    <s v="JPY"/>
    <n v="50"/>
    <x v="24"/>
    <s v="Put"/>
    <d v="2010-03-19T00:00:00"/>
    <n v="0.53413924786865796"/>
    <n v="5.0000000000000001E-3"/>
    <n v="300.50652353568876"/>
    <n v="15025.326176784438"/>
    <s v="Exch"/>
    <m/>
    <n v="-2063.5656328803757"/>
    <n v="6189.3048272388996"/>
    <n v="12.318062603675854"/>
    <n v="1114.822410604223"/>
    <n v="-4.8337957475203792"/>
    <n v="-4.4042988119532156"/>
    <n v="-103178.28164401879"/>
    <n v="309465.24136194499"/>
    <n v="615.90313018379265"/>
    <n v="55741.120530211148"/>
    <n v="-241.68978737601896"/>
    <n v="-220.21494059766079"/>
    <n v="36700.960894180069"/>
    <n v="13890.151227804427"/>
    <n v="5992.1227831198621"/>
    <n v="2191.1366109751725"/>
    <n v="-1943.5109004449373"/>
    <n v="-4442.7460041289805"/>
    <n v="-7670.2897368774302"/>
    <n v="-11591.006406326636"/>
    <n v="-5827.1398621008302"/>
    <n v="-3003.691001636264"/>
    <n v="-1220.281804027627"/>
    <n v="-613.06972698765776"/>
    <n v="618.6451504045408"/>
    <n v="1242.5992427091614"/>
    <n v="3143.8660996588396"/>
    <n v="6397.8403888588218"/>
    <n v="33300.310809056238"/>
    <n v="35338.154830890518"/>
    <n v="36700.960894180069"/>
    <n v="38066.629314117337"/>
    <n v="40119.657639372461"/>
    <n v="43550.788181105687"/>
    <n v="50434.863270506183"/>
    <n v="10267.591477471047"/>
    <n v="12438.780793895308"/>
    <n v="13890.151227804427"/>
    <n v="15344.142726238009"/>
    <n v="17529.241746233605"/>
    <n v="21179.504919453644"/>
    <n v="28498.723318115866"/>
    <n v="2605.6409408623267"/>
    <n v="4627.8657103109708"/>
    <n v="5992.1227831198621"/>
    <n v="7367.6448425338776"/>
    <n v="9449.473249984454"/>
    <n v="12960.492843019096"/>
    <n v="20096.033897212124"/>
    <n v="-3003.691001636264"/>
    <n v="-1220.281804027627"/>
    <n v="0"/>
    <n v="1242.5992427091614"/>
    <n v="3143.8660996588396"/>
    <n v="6397.8403888588218"/>
    <n v="13150.035637541123"/>
    <n v="-6990.4716073192048"/>
    <n v="-5489.0800909237551"/>
    <n v="-4442.7460041289805"/>
    <n v="-3363.4873062450197"/>
    <n v="-1688.5772200690667"/>
    <n v="1233.293428430261"/>
    <n v="7462.7044042625812"/>
    <n v="-9750.3767718001545"/>
    <n v="-8535.619802863017"/>
    <n v="-7670.2897368774302"/>
    <n v="-6763.8950196994192"/>
    <n v="-5333.1829289430407"/>
    <n v="-2779.5289453835949"/>
    <n v="2844.3632086030107"/>
    <n v="-12853.914036295611"/>
    <n v="-12132.550030570763"/>
    <n v="-11591.006406326636"/>
    <n v="-11002.415971355145"/>
    <n v="-10034.634845182973"/>
    <n v="-8209.4033524019378"/>
    <n v="-3862.830279665468"/>
  </r>
  <r>
    <x v="2"/>
    <n v="10022"/>
    <n v="5.0000000000000001E-3"/>
    <s v="Option"/>
    <s v="JPY"/>
    <n v="-20"/>
    <x v="22"/>
    <s v="Put"/>
    <d v="2010-03-19T00:00:00"/>
    <n v="0.47216774083559543"/>
    <n v="5.0000000000000001E-3"/>
    <n v="406.81126774628319"/>
    <n v="-8136.2253549256639"/>
    <s v="GoldMine Sacks"/>
    <m/>
    <n v="-2865.1110308839361"/>
    <n v="8355.7862474652648"/>
    <n v="14.700417788778919"/>
    <n v="634.42730798547746"/>
    <n v="-5.098150078692246"/>
    <n v="-6.095636063201507"/>
    <n v="57302.220617678722"/>
    <n v="-167115.7249493053"/>
    <n v="-294.00835577557837"/>
    <n v="-12688.546159709549"/>
    <n v="101.96300157384492"/>
    <n v="121.91272126403014"/>
    <n v="-19447.900033656006"/>
    <n v="-7595.6486361944189"/>
    <n v="-3308.4067396331648"/>
    <n v="-1214.5553364562056"/>
    <n v="1080.8899741250661"/>
    <n v="2473.9095023839582"/>
    <n v="4271.6362713790841"/>
    <n v="6425.9523418700501"/>
    <n v="2860.0888832702913"/>
    <n v="1452.3266809127017"/>
    <n v="585.36729310523697"/>
    <n v="293.36023330360149"/>
    <n v="-294.6295953113804"/>
    <n v="-590.45083812525263"/>
    <n v="-1484.3677715627382"/>
    <n v="-2992.2239583324972"/>
    <n v="-18276.777945240065"/>
    <n v="-18972.644541127174"/>
    <n v="-19447.900033656006"/>
    <n v="-19931.069037679354"/>
    <n v="-20668.826820343293"/>
    <n v="-21927.360269642195"/>
    <n v="-24524.290920248768"/>
    <n v="-6045.1502399347373"/>
    <n v="-6975.5761312224786"/>
    <n v="-7595.6486361944189"/>
    <n v="-8215.5257666620491"/>
    <n v="-9144.9305998106865"/>
    <n v="-10692.689142683921"/>
    <n v="-13782.602284499299"/>
    <n v="-1752.0671720119208"/>
    <n v="-2685.0368533924848"/>
    <n v="-3308.4067396331648"/>
    <n v="-3932.6817325725096"/>
    <n v="-4870.4714749098002"/>
    <n v="-6436.1404457568096"/>
    <n v="-9572.6587339611797"/>
    <n v="1452.3266809127017"/>
    <n v="585.36729310523697"/>
    <n v="0"/>
    <n v="-590.45083812525263"/>
    <n v="-1484.3677715627382"/>
    <n v="-2992.2239583324972"/>
    <n v="-6055.8984562993919"/>
    <n v="3747.3562912429725"/>
    <n v="2992.4602586146557"/>
    <n v="2473.9095023839582"/>
    <n v="1944.6306216203084"/>
    <n v="1132.9880287078413"/>
    <n v="-259.46270458864092"/>
    <n v="-3155.20472954242"/>
    <n v="5330.1998912318095"/>
    <n v="4708.5633987643769"/>
    <n v="4271.6362713790841"/>
    <n v="3818.5656570522315"/>
    <n v="3111.7772518086804"/>
    <n v="1871.4460274959765"/>
    <n v="-789.45068602780339"/>
    <n v="7067.3552630455879"/>
    <n v="6700.0563525345315"/>
    <n v="6425.9523418700501"/>
    <n v="6129.7072524941905"/>
    <n v="5646.3048004865959"/>
    <n v="4746.0226531781973"/>
    <n v="2650.093539362274"/>
  </r>
  <r>
    <x v="2"/>
    <n v="10022"/>
    <n v="5.0000000000000001E-3"/>
    <s v="Option"/>
    <s v="JPY"/>
    <n v="-20"/>
    <x v="22"/>
    <s v="Put"/>
    <d v="2010-03-19T00:00:00"/>
    <n v="0.47216774083559543"/>
    <n v="5.0000000000000001E-3"/>
    <n v="406.81126774628319"/>
    <n v="-8136.2253549256639"/>
    <s v="Exch"/>
    <m/>
    <n v="-2865.1110308839361"/>
    <n v="8355.7862474652648"/>
    <n v="14.700417788778919"/>
    <n v="634.42730798547746"/>
    <n v="-5.098150078692246"/>
    <n v="-6.095636063201507"/>
    <n v="57302.220617678722"/>
    <n v="-167115.7249493053"/>
    <n v="-294.00835577557837"/>
    <n v="-12688.546159709549"/>
    <n v="101.96300157384492"/>
    <n v="121.91272126403014"/>
    <n v="-19447.900033656006"/>
    <n v="-7595.6486361944189"/>
    <n v="-3308.4067396331648"/>
    <n v="-1214.5553364562056"/>
    <n v="1080.8899741250661"/>
    <n v="2473.9095023839582"/>
    <n v="4271.6362713790841"/>
    <n v="6425.9523418700501"/>
    <n v="2860.0888832702913"/>
    <n v="1452.3266809127017"/>
    <n v="585.36729310523697"/>
    <n v="293.36023330360149"/>
    <n v="-294.6295953113804"/>
    <n v="-590.45083812525263"/>
    <n v="-1484.3677715627382"/>
    <n v="-2992.2239583324972"/>
    <n v="-18276.777945240065"/>
    <n v="-18972.644541127174"/>
    <n v="-19447.900033656006"/>
    <n v="-19931.069037679354"/>
    <n v="-20668.826820343293"/>
    <n v="-21927.360269642195"/>
    <n v="-24524.290920248768"/>
    <n v="-6045.1502399347373"/>
    <n v="-6975.5761312224786"/>
    <n v="-7595.6486361944189"/>
    <n v="-8215.5257666620491"/>
    <n v="-9144.9305998106865"/>
    <n v="-10692.689142683921"/>
    <n v="-13782.602284499299"/>
    <n v="-1752.0671720119208"/>
    <n v="-2685.0368533924848"/>
    <n v="-3308.4067396331648"/>
    <n v="-3932.6817325725096"/>
    <n v="-4870.4714749098002"/>
    <n v="-6436.1404457568096"/>
    <n v="-9572.6587339611797"/>
    <n v="1452.3266809127017"/>
    <n v="585.36729310523697"/>
    <n v="0"/>
    <n v="-590.45083812525263"/>
    <n v="-1484.3677715627382"/>
    <n v="-2992.2239583324972"/>
    <n v="-6055.8984562993919"/>
    <n v="3747.3562912429725"/>
    <n v="2992.4602586146557"/>
    <n v="2473.9095023839582"/>
    <n v="1944.6306216203084"/>
    <n v="1132.9880287078413"/>
    <n v="-259.46270458864092"/>
    <n v="-3155.20472954242"/>
    <n v="5330.1998912318095"/>
    <n v="4708.5633987643769"/>
    <n v="4271.6362713790841"/>
    <n v="3818.5656570522315"/>
    <n v="3111.7772518086804"/>
    <n v="1871.4460274959765"/>
    <n v="-789.45068602780339"/>
    <n v="7067.3552630455879"/>
    <n v="6700.0563525345315"/>
    <n v="6425.9523418700501"/>
    <n v="6129.7072524941905"/>
    <n v="5646.3048004865959"/>
    <n v="4746.0226531781973"/>
    <n v="2650.093539362274"/>
  </r>
  <r>
    <x v="2"/>
    <n v="10022"/>
    <n v="5.0000000000000001E-3"/>
    <s v="Option"/>
    <s v="JPY"/>
    <n v="-25"/>
    <x v="21"/>
    <s v="Call"/>
    <d v="2010-03-19T00:00:00"/>
    <n v="0.41000000000000003"/>
    <n v="5.0000000000000001E-3"/>
    <n v="705.96860456899594"/>
    <n v="-17649.215114224899"/>
    <s v="Exch"/>
    <m/>
    <n v="5359.3186948225975"/>
    <n v="11241.853599719911"/>
    <n v="17.173856348503627"/>
    <n v="-32.795007876457611"/>
    <n v="-5.1677417728495127"/>
    <n v="8.6692549626642439"/>
    <n v="-133982.96737056493"/>
    <n v="-281046.33999299776"/>
    <n v="-429.34640871259069"/>
    <n v="819.8751969114403"/>
    <n v="129.19354432123782"/>
    <n v="-216.73137406660609"/>
    <n v="15695.489187605708"/>
    <n v="10522.294060892091"/>
    <n v="5983.4019282126746"/>
    <n v="2566.2255426096635"/>
    <n v="-2790.8515554282531"/>
    <n v="-7380.4194527066102"/>
    <n v="-16013.54852137074"/>
    <n v="-36219.881136419601"/>
    <n v="4297.2323367612717"/>
    <n v="2147.7155243677089"/>
    <n v="858.85414632434731"/>
    <n v="429.38707175180753"/>
    <n v="-429.30508432737042"/>
    <n v="-858.52619776906067"/>
    <n v="-2145.6658958841672"/>
    <n v="-4289.034536876261"/>
    <n v="16474.079836556215"/>
    <n v="16028.631603069065"/>
    <n v="15695.489187605708"/>
    <n v="15335.577640712094"/>
    <n v="14749.567715976365"/>
    <n v="13664.395049630462"/>
    <n v="11171.341727359686"/>
    <n v="12187.565257108519"/>
    <n v="11198.577299440274"/>
    <n v="10522.294060892091"/>
    <n v="9834.4524416979875"/>
    <n v="8784.0870640791309"/>
    <n v="6993.1641722895274"/>
    <n v="3304.4343376053462"/>
    <n v="7978.9602614139421"/>
    <n v="6784.347812158705"/>
    <n v="5983.4019282126746"/>
    <n v="5179.46633527838"/>
    <n v="3968.9123068611366"/>
    <n v="1941.755056883926"/>
    <n v="-2135.1714994272356"/>
    <n v="2147.7155243677089"/>
    <n v="858.85414632434731"/>
    <n v="0"/>
    <n v="-858.52619776906067"/>
    <n v="-2145.6658958841672"/>
    <n v="-4289.034536876261"/>
    <n v="-8567.8936326891526"/>
    <n v="-5272.8828355259338"/>
    <n v="-6534.8250323118236"/>
    <n v="-7380.4194527066102"/>
    <n v="-8228.8383499122356"/>
    <n v="-9505.8451236540568"/>
    <n v="-11643.142036140353"/>
    <n v="-15938.547821929251"/>
    <n v="-14103.826137161195"/>
    <n v="-15240.150719607209"/>
    <n v="-16013.54852137074"/>
    <n v="-16797.69234182097"/>
    <n v="-17991.123797610409"/>
    <n v="-20017.258080818283"/>
    <n v="-24166.814441822178"/>
    <n v="-34933.084249486361"/>
    <n v="-35681.29062275702"/>
    <n v="-36219.881136419601"/>
    <n v="-36786.927774718948"/>
    <n v="-37685.189393419452"/>
    <n v="-39290.809525140365"/>
    <n v="-42810.936779173971"/>
  </r>
  <r>
    <x v="2"/>
    <n v="10022"/>
    <n v="5.0000000000000001E-3"/>
    <s v="Option"/>
    <s v="JPY"/>
    <n v="10"/>
    <x v="24"/>
    <s v="Put"/>
    <d v="2010-03-19T00:00:00"/>
    <n v="0.53413924786865796"/>
    <n v="5.0000000000000001E-3"/>
    <n v="300.50652353568876"/>
    <n v="3005.0652353568876"/>
    <s v="JP Horgan"/>
    <m/>
    <n v="-2063.5656328803757"/>
    <n v="6189.3048272388996"/>
    <n v="12.318062603675854"/>
    <n v="1114.822410604223"/>
    <n v="-4.8337957475203792"/>
    <n v="-4.4042988119532156"/>
    <n v="-20635.656328803758"/>
    <n v="61893.048272388995"/>
    <n v="123.18062603675854"/>
    <n v="11148.224106042231"/>
    <n v="-48.337957475203794"/>
    <n v="-44.042988119532154"/>
    <n v="7340.1921788360141"/>
    <n v="2778.0302455608853"/>
    <n v="1198.4245566239724"/>
    <n v="438.2273221950345"/>
    <n v="-388.70218008898746"/>
    <n v="-888.54920082579611"/>
    <n v="-1534.057947375486"/>
    <n v="-2318.2012812653275"/>
    <n v="-1165.427972420166"/>
    <n v="-600.7382003272528"/>
    <n v="-244.0563608055254"/>
    <n v="-122.61394539753155"/>
    <n v="123.72903008090816"/>
    <n v="248.51984854183229"/>
    <n v="628.77321993176793"/>
    <n v="1279.5680777717644"/>
    <n v="6660.0621618112473"/>
    <n v="7067.6309661781033"/>
    <n v="7340.1921788360141"/>
    <n v="7613.3258628234671"/>
    <n v="8023.9315278744925"/>
    <n v="8710.1576362211381"/>
    <n v="10086.972654101237"/>
    <n v="2053.5182954942093"/>
    <n v="2487.7561587790615"/>
    <n v="2778.0302455608853"/>
    <n v="3068.8285452476021"/>
    <n v="3505.8483492467212"/>
    <n v="4235.9009838907286"/>
    <n v="5699.7446636231734"/>
    <n v="521.12818817246534"/>
    <n v="925.57314206219417"/>
    <n v="1198.4245566239724"/>
    <n v="1473.5289685067755"/>
    <n v="1889.8946499968906"/>
    <n v="2592.0985686038193"/>
    <n v="4019.2067794424247"/>
    <n v="-600.7382003272528"/>
    <n v="-244.0563608055254"/>
    <n v="0"/>
    <n v="248.51984854183229"/>
    <n v="628.77321993176793"/>
    <n v="1279.5680777717644"/>
    <n v="2630.0071275082246"/>
    <n v="-1398.094321463841"/>
    <n v="-1097.8160181847511"/>
    <n v="-888.54920082579611"/>
    <n v="-672.69746124900394"/>
    <n v="-337.71544401381334"/>
    <n v="246.65868568605219"/>
    <n v="1492.5408808525162"/>
    <n v="-1950.0753543600308"/>
    <n v="-1707.1239605726032"/>
    <n v="-1534.057947375486"/>
    <n v="-1352.7790039398838"/>
    <n v="-1066.636585788608"/>
    <n v="-555.90578907671897"/>
    <n v="568.87264172060213"/>
    <n v="-2570.7828072591224"/>
    <n v="-2426.5100061141529"/>
    <n v="-2318.2012812653275"/>
    <n v="-2200.4831942710289"/>
    <n v="-2006.9269690365945"/>
    <n v="-1641.8806704803876"/>
    <n v="-772.56605593309359"/>
  </r>
  <r>
    <x v="2"/>
    <n v="10022"/>
    <n v="5.0000000000000001E-3"/>
    <s v="Option"/>
    <s v="JPY"/>
    <n v="-25"/>
    <x v="21"/>
    <s v="Put"/>
    <d v="2010-06-18T00:00:00"/>
    <n v="0.36000000000000004"/>
    <n v="5.0000000000000001E-3"/>
    <n v="945.69811475775714"/>
    <n v="-23642.452868943928"/>
    <s v="Exch"/>
    <m/>
    <n v="-4527.2484503304167"/>
    <n v="8336.2186768370284"/>
    <n v="26.146036003405563"/>
    <n v="-102.50678772842016"/>
    <n v="-2.9469738354638091"/>
    <n v="-23.841054899973141"/>
    <n v="113181.21125826042"/>
    <n v="-208405.46692092571"/>
    <n v="-653.65090008513903"/>
    <n v="2562.6696932105042"/>
    <n v="73.674345886595233"/>
    <n v="596.02637249932855"/>
    <n v="-31300.755347593484"/>
    <n v="-13478.113184232392"/>
    <n v="-6191.4555031509508"/>
    <n v="-2347.779908069856"/>
    <n v="2181.1331267288551"/>
    <n v="5152.4577101122759"/>
    <n v="9358.3843102093506"/>
    <n v="15393.774765995113"/>
    <n v="6548.1493900799251"/>
    <n v="3271.311416923345"/>
    <n v="1307.8049712054508"/>
    <n v="653.7778635484301"/>
    <n v="-653.52159727353865"/>
    <n v="-1306.7799144389937"/>
    <n v="-3264.9051766899447"/>
    <n v="-6522.5296362000563"/>
    <n v="-29545.780513256886"/>
    <n v="-30567.335996819609"/>
    <n v="-31300.755347593484"/>
    <n v="-32070.493874181102"/>
    <n v="-33284.235028470561"/>
    <n v="-35436.628496588834"/>
    <n v="-40087.684032638754"/>
    <n v="-10709.399728838844"/>
    <n v="-12360.072713908427"/>
    <n v="-13478.113184232392"/>
    <n v="-14607.584315769054"/>
    <n v="-16319.359670311633"/>
    <n v="-19207.943971692977"/>
    <n v="-25067.754577100277"/>
    <n v="-3088.0932454157119"/>
    <n v="-4947.8291663536311"/>
    <n v="-6191.4555031509508"/>
    <n v="-7437.3384271161058"/>
    <n v="-9309.2459605456716"/>
    <n v="-12433.949594331034"/>
    <n v="-18685.829473631973"/>
    <n v="3271.311416923345"/>
    <n v="1307.8049712054508"/>
    <n v="0"/>
    <n v="-1306.7799144389937"/>
    <n v="-3264.9051766899447"/>
    <n v="-6522.5296362000563"/>
    <n v="-13012.468738020061"/>
    <n v="8423.4849466188734"/>
    <n v="6462.9757608109121"/>
    <n v="5152.4577101122759"/>
    <n v="3839.8863015847724"/>
    <n v="1868.2864835282544"/>
    <n v="-1421.7734648096211"/>
    <n v="-8001.8095574131967"/>
    <n v="12483.420037732423"/>
    <n v="10618.021336034486"/>
    <n v="9358.3843102093506"/>
    <n v="8088.3990689786742"/>
    <n v="6167.6358846942321"/>
    <n v="2934.756582393436"/>
    <n v="-3601.9627412808177"/>
    <n v="17940.705140913145"/>
    <n v="16442.782446772799"/>
    <n v="15393.774765995113"/>
    <n v="14310.641428422525"/>
    <n v="12631.453722710228"/>
    <n v="9716.254263634346"/>
    <n v="3584.9045895452605"/>
  </r>
  <r>
    <x v="2"/>
    <n v="10022"/>
    <n v="5.0000000000000001E-3"/>
    <s v="Option"/>
    <s v="JPY"/>
    <n v="-10"/>
    <x v="22"/>
    <s v="Put"/>
    <d v="2010-06-18T00:00:00"/>
    <n v="0.42216774083559544"/>
    <n v="5.0000000000000001E-3"/>
    <n v="667.7534821882723"/>
    <n v="-6677.534821882723"/>
    <s v="Exch"/>
    <m/>
    <n v="-3164.0295072936733"/>
    <n v="6386.7291114580748"/>
    <n v="23.490799399988845"/>
    <n v="529.49939843623292"/>
    <n v="-3.109424299922761"/>
    <n v="-16.691876584318617"/>
    <n v="31640.295072936733"/>
    <n v="-63867.291114580745"/>
    <n v="-234.90799399988845"/>
    <n v="-5294.9939843623288"/>
    <n v="31.09424299922761"/>
    <n v="166.91876584318618"/>
    <n v="-9282.9912251682654"/>
    <n v="-3857.8910024907191"/>
    <n v="-1748.7808969081834"/>
    <n v="-658.81246516514693"/>
    <n v="607.72340632634496"/>
    <n v="1429.6335744769294"/>
    <n v="2583.7199905202806"/>
    <n v="4233.2779795687311"/>
    <n v="2312.7009675499812"/>
    <n v="1166.8326591608275"/>
    <n v="468.69199620466588"/>
    <n v="234.63529729053334"/>
    <n v="-235.16512779804088"/>
    <n v="-470.81529933712773"/>
    <n v="-1180.2795467179476"/>
    <n v="-2369.1301866282038"/>
    <n v="-8296.4228465520719"/>
    <n v="-8885.0494946043582"/>
    <n v="-9282.9912251682654"/>
    <n v="-9684.6228727788948"/>
    <n v="-10292.879053223445"/>
    <n v="-11318.771289624914"/>
    <n v="-13399.959911081391"/>
    <n v="-2677.6797941681298"/>
    <n v="-3386.082672946427"/>
    <n v="-3857.8910024907191"/>
    <n v="-4329.3008837638763"/>
    <n v="-5035.6147149141225"/>
    <n v="-6210.4725184722884"/>
    <n v="-8550.1929663737337"/>
    <n v="-551.44544489510736"/>
    <n v="-1269.6757318509844"/>
    <n v="-1748.7808969081834"/>
    <n v="-2227.9877885995757"/>
    <n v="-2946.7924569397701"/>
    <n v="-4144.1690208672298"/>
    <n v="-6533.3648803002916"/>
    <n v="1166.8326591608275"/>
    <n v="468.69199620466588"/>
    <n v="0"/>
    <n v="-470.81529933712773"/>
    <n v="-1180.2795467179476"/>
    <n v="-2369.1301866282038"/>
    <n v="-4760.1411776733812"/>
    <n v="2528.3143546401561"/>
    <n v="1873.7277941702996"/>
    <n v="1429.6335744769294"/>
    <n v="980.3566339173949"/>
    <n v="298.22108306476366"/>
    <n v="-856.0461114423515"/>
    <n v="-3207.8921476604501"/>
    <n v="3588.1427522076865"/>
    <n v="2993.1111501935084"/>
    <n v="2583.7199905202806"/>
    <n v="2165.6135019323619"/>
    <n v="1524.3695348640495"/>
    <n v="425.04519655888998"/>
    <n v="-1854.1461301928348"/>
    <n v="5013.7730580043608"/>
    <n v="4558.3310721228481"/>
    <n v="4233.2779795687311"/>
    <n v="3892.972136836745"/>
    <n v="3357.059942939577"/>
    <n v="2406.3149230511635"/>
    <n v="343.11572046555739"/>
  </r>
  <r>
    <x v="2"/>
    <n v="10022"/>
    <n v="5.0000000000000001E-3"/>
    <s v="Option"/>
    <s v="JPY"/>
    <n v="-15"/>
    <x v="22"/>
    <s v="Put"/>
    <d v="2010-06-18T00:00:00"/>
    <n v="0.42216774083559544"/>
    <n v="5.0000000000000001E-3"/>
    <n v="667.7534821882723"/>
    <n v="-10016.302232824084"/>
    <s v="GoldMine Sacks"/>
    <m/>
    <n v="-3164.0295072936733"/>
    <n v="6386.7291114580748"/>
    <n v="23.490799399988845"/>
    <n v="529.49939843623292"/>
    <n v="-3.109424299922761"/>
    <n v="-16.691876584318617"/>
    <n v="47460.442609405101"/>
    <n v="-95800.936671871124"/>
    <n v="-352.36199099983264"/>
    <n v="-7942.4909765434941"/>
    <n v="46.641364498841412"/>
    <n v="250.37814876477927"/>
    <n v="-13924.4868377524"/>
    <n v="-5786.8365037360782"/>
    <n v="-2623.1713453622751"/>
    <n v="-988.2186977477204"/>
    <n v="911.58510948951744"/>
    <n v="2144.4503617153941"/>
    <n v="3875.5799857804209"/>
    <n v="6349.9169693530976"/>
    <n v="3469.0514513249718"/>
    <n v="1750.2489887412412"/>
    <n v="703.03799430699883"/>
    <n v="351.95294593580002"/>
    <n v="-352.74769169706133"/>
    <n v="-706.22294900569159"/>
    <n v="-1770.4193200769214"/>
    <n v="-3553.6952799423057"/>
    <n v="-12444.63426982811"/>
    <n v="-13327.574241906539"/>
    <n v="-13924.4868377524"/>
    <n v="-14526.934309168344"/>
    <n v="-15439.31857983517"/>
    <n v="-16978.156934437371"/>
    <n v="-20099.939866622088"/>
    <n v="-4016.5196912521947"/>
    <n v="-5079.1240094196401"/>
    <n v="-5786.8365037360782"/>
    <n v="-6493.951325645814"/>
    <n v="-7553.4220723711842"/>
    <n v="-9315.7087777084325"/>
    <n v="-12825.289449560601"/>
    <n v="-827.16816734266104"/>
    <n v="-1904.5135977764767"/>
    <n v="-2623.1713453622751"/>
    <n v="-3341.9816828993635"/>
    <n v="-4420.1886854096556"/>
    <n v="-6216.2535313008448"/>
    <n v="-9800.0473204504378"/>
    <n v="1750.2489887412412"/>
    <n v="703.03799430699883"/>
    <n v="0"/>
    <n v="-706.22294900569159"/>
    <n v="-1770.4193200769214"/>
    <n v="-3553.6952799423057"/>
    <n v="-7140.2117665100723"/>
    <n v="3792.4715319602342"/>
    <n v="2810.5916912554494"/>
    <n v="2144.4503617153941"/>
    <n v="1470.5349508760924"/>
    <n v="447.33162459714549"/>
    <n v="-1284.0691671635273"/>
    <n v="-4811.8382214906751"/>
    <n v="5382.2141283115297"/>
    <n v="4489.6667252902625"/>
    <n v="3875.5799857804209"/>
    <n v="3248.4202528985429"/>
    <n v="2286.5543022960742"/>
    <n v="637.56779483833498"/>
    <n v="-2781.2191952892522"/>
    <n v="7520.6595870065403"/>
    <n v="6837.4966081842731"/>
    <n v="6349.9169693530976"/>
    <n v="5839.4582052551177"/>
    <n v="5035.5899144093655"/>
    <n v="3609.4723845767453"/>
    <n v="514.67358069833608"/>
  </r>
  <r>
    <x v="2"/>
    <n v="10022"/>
    <n v="5.0000000000000001E-3"/>
    <s v="Option"/>
    <s v="JPY"/>
    <n v="-20"/>
    <x v="25"/>
    <s v="Call"/>
    <d v="2010-06-18T00:00:00"/>
    <n v="0.32950101005471172"/>
    <n v="5.0000000000000001E-3"/>
    <n v="438.99639307709685"/>
    <n v="-8779.9278615419371"/>
    <s v="Exch"/>
    <m/>
    <n v="3399.8507265051057"/>
    <n v="8424.1630525351666"/>
    <n v="24.183422866491583"/>
    <n v="1907.420276560372"/>
    <n v="-2.4997920932606426"/>
    <n v="12.897968192193247"/>
    <n v="-67997.014530102111"/>
    <n v="-168483.26105070332"/>
    <n v="-483.66845732983165"/>
    <n v="-38148.405531207442"/>
    <n v="49.995841865212853"/>
    <n v="-257.95936384386494"/>
    <n v="7702.2948436273646"/>
    <n v="5194.5705720452906"/>
    <n v="2986.7978810937348"/>
    <n v="1292.9976657257703"/>
    <n v="-1427.6889431714608"/>
    <n v="-3825.5067956802395"/>
    <n v="-8505.8477189728819"/>
    <n v="-20303.227693110719"/>
    <n v="4569.6895961498012"/>
    <n v="2362.5453475026643"/>
    <n v="959.23113133462721"/>
    <n v="481.70312945898331"/>
    <n v="-485.52093879759923"/>
    <n v="-974.5380846376429"/>
    <n v="-2459.8004177877192"/>
    <n v="-4982.8119152769978"/>
    <n v="8312.3667243301352"/>
    <n v="7979.7801051177621"/>
    <n v="7702.2948436273646"/>
    <n v="7381.5684042538596"/>
    <n v="6823.6968796671454"/>
    <n v="5709.0318933834078"/>
    <n v="2922.9426482399822"/>
    <n v="6645.8762460304615"/>
    <n v="5808.4691364161472"/>
    <n v="5194.5705720452906"/>
    <n v="4542.1579062380806"/>
    <n v="3501.028992060742"/>
    <n v="1629.7034715848667"/>
    <n v="-2473.1848045811421"/>
    <n v="4915.3261614853227"/>
    <n v="3783.1418961433383"/>
    <n v="2986.7978810937348"/>
    <n v="2162.7590975050953"/>
    <n v="883.10992772431746"/>
    <n v="-1341.218242967816"/>
    <n v="-6020.1472826161444"/>
    <n v="2362.5453475026643"/>
    <n v="959.23113133462721"/>
    <n v="0"/>
    <n v="-974.5380846376429"/>
    <n v="-2459.8004177877192"/>
    <n v="-4982.8119152769978"/>
    <n v="-10141.047913416241"/>
    <n v="-1128.2598116755707"/>
    <n v="-2741.7118871186176"/>
    <n v="-3825.5067956802395"/>
    <n v="-4914.3559017409734"/>
    <n v="-6555.0198598386032"/>
    <n v="-9303.2717381229304"/>
    <n v="-14825.518456954051"/>
    <n v="-5609.6926803209408"/>
    <n v="-7347.509114366394"/>
    <n v="-8505.8477189728819"/>
    <n v="-9663.8412182757111"/>
    <n v="-11399.906327139388"/>
    <n v="-14290.002585885914"/>
    <n v="-20052.918013979914"/>
    <n v="-17440.730418400592"/>
    <n v="-19152.22125530542"/>
    <n v="-20303.227693110719"/>
    <n v="-21460.475170383586"/>
    <n v="-23205.543962074378"/>
    <n v="-26131.446627903453"/>
    <n v="-32017.5382320102"/>
  </r>
  <r>
    <x v="2"/>
    <n v="10022"/>
    <n v="5.0000000000000001E-3"/>
    <s v="Option"/>
    <s v="JPY"/>
    <n v="-10"/>
    <x v="25"/>
    <s v="Put"/>
    <d v="2010-06-18T00:00:00"/>
    <n v="0.32950101005471172"/>
    <n v="5.0000000000000001E-3"/>
    <n v="1639.3790116710452"/>
    <n v="-16393.79011671045"/>
    <s v="UBS"/>
    <m/>
    <n v="-6600.3442889134849"/>
    <n v="8424.1630525351666"/>
    <n v="24.183422866491583"/>
    <n v="1907.420276560372"/>
    <n v="-2.4833484957456569"/>
    <n v="-35.893589172409321"/>
    <n v="66003.442889134851"/>
    <n v="-84241.630525351662"/>
    <n v="-241.83422866491583"/>
    <n v="-19074.202765603721"/>
    <n v="24.833484957456569"/>
    <n v="358.93589172409321"/>
    <n v="-16149.242609023495"/>
    <n v="-7402.9097293959239"/>
    <n v="-3506.6985671624388"/>
    <n v="-1353.5401702208492"/>
    <n v="1286.1945314979766"/>
    <n v="3087.3441098691637"/>
    <n v="5747.2711559321397"/>
    <n v="9848.7761842818109"/>
    <n v="2284.8447980748824"/>
    <n v="1181.2726737513185"/>
    <n v="479.61556566731815"/>
    <n v="240.85156472947347"/>
    <n v="-242.7604693988178"/>
    <n v="-487.26904231883054"/>
    <n v="-1229.9002088938596"/>
    <n v="-2491.405957638508"/>
    <n v="-15844.206668672114"/>
    <n v="-16010.499978278303"/>
    <n v="-16149.242609023495"/>
    <n v="-16309.605828710246"/>
    <n v="-16588.541591003595"/>
    <n v="-17145.874084145489"/>
    <n v="-18538.918706717177"/>
    <n v="-6677.2568924033476"/>
    <n v="-7095.9604472105002"/>
    <n v="-7402.9097293959239"/>
    <n v="-7729.1160622995358"/>
    <n v="-8249.6805193881937"/>
    <n v="-9185.3432796261313"/>
    <n v="-11236.787417709156"/>
    <n v="-2542.4344269666381"/>
    <n v="-3108.5265596376485"/>
    <n v="-3506.6985671624388"/>
    <n v="-3918.7179589567495"/>
    <n v="-4558.5425438471611"/>
    <n v="-5670.7066291932188"/>
    <n v="-8010.1711490173784"/>
    <n v="1181.2726737513185"/>
    <n v="479.61556566731815"/>
    <n v="0"/>
    <n v="-487.26904231883054"/>
    <n v="-1229.9002088938596"/>
    <n v="-2491.405957638508"/>
    <n v="-5070.5239567081298"/>
    <n v="4435.9676018714981"/>
    <n v="3629.2415641499792"/>
    <n v="3087.3441098691637"/>
    <n v="2542.9195568387968"/>
    <n v="1722.587577789991"/>
    <n v="348.46163864781374"/>
    <n v="-2412.6617207677464"/>
    <n v="7195.3486752581284"/>
    <n v="6326.4404582353927"/>
    <n v="5747.2711559321397"/>
    <n v="5168.2744062807342"/>
    <n v="4300.2418518489048"/>
    <n v="2855.193722475633"/>
    <n v="-26.263991571368024"/>
    <n v="11280.024821636871"/>
    <n v="10424.279403184455"/>
    <n v="9848.7761842818109"/>
    <n v="9270.1524456453808"/>
    <n v="8397.6180497999758"/>
    <n v="6934.6667168854492"/>
    <n v="3991.620914832074"/>
  </r>
  <r>
    <x v="2"/>
    <n v="10022"/>
    <n v="5.0000000000000001E-3"/>
    <s v="Option"/>
    <s v="JPY"/>
    <n v="-15"/>
    <x v="23"/>
    <s v="Call"/>
    <d v="2010-06-18T00:00:00"/>
    <n v="0.34753782583952536"/>
    <n v="5.0000000000000001E-3"/>
    <n v="784.31358243083378"/>
    <n v="-11764.703736462507"/>
    <s v="Exch"/>
    <m/>
    <n v="4942.9768123679669"/>
    <n v="8695.4049438432685"/>
    <n v="26.328501836023584"/>
    <n v="26.434128603088269"/>
    <n v="-2.8666617285441185"/>
    <n v="18.115820645479566"/>
    <n v="-74144.652185519502"/>
    <n v="-130431.07415764903"/>
    <n v="-394.92752754035376"/>
    <n v="-396.51192904632404"/>
    <n v="42.99992592816178"/>
    <n v="-271.73730968219348"/>
    <n v="9638.3496118468975"/>
    <n v="6090.123821716661"/>
    <n v="3377.2954995147074"/>
    <n v="1430.4251224767404"/>
    <n v="-1534.7102162929832"/>
    <n v="-4027.1208194458541"/>
    <n v="-8661.7284555519072"/>
    <n v="-19498.409806003801"/>
    <n v="3942.7649519475494"/>
    <n v="1973.6555042749023"/>
    <n v="789.7469322386587"/>
    <n v="394.90418454955488"/>
    <n v="-394.94399193406935"/>
    <n v="-789.90804217496134"/>
    <n v="-1974.7463427023149"/>
    <n v="-3948.4283831316998"/>
    <n v="10517.332318098903"/>
    <n v="10012.67941932806"/>
    <n v="9638.3496118468975"/>
    <n v="9237.1714458542629"/>
    <n v="8590.9548256453545"/>
    <n v="7414.7773370244058"/>
    <n v="4790.7931497422451"/>
    <n v="7634.9767724378262"/>
    <n v="6719.1937349027376"/>
    <n v="6090.123821716661"/>
    <n v="5448.8442181584514"/>
    <n v="4467.9054055405031"/>
    <n v="2793.5930619645501"/>
    <n v="-651.51150941905371"/>
    <n v="5183.7361583339971"/>
    <n v="4104.2972217125243"/>
    <n v="3377.2954995147074"/>
    <n v="2645.6100349524718"/>
    <n v="1541.0517323647559"/>
    <n v="-313.60213272254896"/>
    <n v="-4051.8473739745127"/>
    <n v="1973.6555042749023"/>
    <n v="789.7469322386587"/>
    <n v="0"/>
    <n v="-789.90804217496134"/>
    <n v="-1974.7463427023149"/>
    <n v="-3948.4283831316998"/>
    <n v="-7886.9471963252563"/>
    <n v="-1993.310314616424"/>
    <n v="-3213.7226144590159"/>
    <n v="-4027.1208194458541"/>
    <n v="-4840.2323619121807"/>
    <n v="-6059.1764458639955"/>
    <n v="-8088.2260339203503"/>
    <n v="-12133.605590786578"/>
    <n v="-6669.3486954161654"/>
    <n v="-7861.6984369220881"/>
    <n v="-8661.7284555519072"/>
    <n v="-9464.95076164495"/>
    <n v="-10674.457944061611"/>
    <n v="-12698.998447025488"/>
    <n v="-16763.662987637344"/>
    <n v="-17812.839283970723"/>
    <n v="-18808.523448756965"/>
    <n v="-19498.409806003801"/>
    <n v="-20205.641796428008"/>
    <n v="-21293.740984805663"/>
    <n v="-23164.357751232717"/>
    <n v="-27048.363475075952"/>
  </r>
  <r>
    <x v="2"/>
    <n v="10022"/>
    <n v="5.0000000000000001E-3"/>
    <s v="Option"/>
    <s v="JPY"/>
    <n v="-20"/>
    <x v="21"/>
    <s v="Put"/>
    <d v="2010-06-18T00:00:00"/>
    <n v="0.36000000000000004"/>
    <n v="5.0000000000000001E-3"/>
    <n v="945.69811475775714"/>
    <n v="-18913.962295155143"/>
    <s v="Exch"/>
    <m/>
    <n v="-4527.2484503304167"/>
    <n v="8336.2186768370284"/>
    <n v="26.146036003405563"/>
    <n v="-102.50678772842016"/>
    <n v="-2.9469738354638091"/>
    <n v="-23.841054899973141"/>
    <n v="90544.969006608328"/>
    <n v="-166724.37353674058"/>
    <n v="-522.92072006811122"/>
    <n v="2050.1357545684032"/>
    <n v="58.939476709276178"/>
    <n v="476.82109799946284"/>
    <n v="-25040.604278074788"/>
    <n v="-10782.490547385914"/>
    <n v="-4953.1644025207606"/>
    <n v="-1878.2239264558848"/>
    <n v="1744.9065013830841"/>
    <n v="4121.9661680898207"/>
    <n v="7486.7074481674808"/>
    <n v="12315.01981279609"/>
    <n v="5238.5195120639401"/>
    <n v="2617.049133538676"/>
    <n v="1046.2439769643606"/>
    <n v="523.02229083874408"/>
    <n v="-522.81727781883092"/>
    <n v="-1045.423931551195"/>
    <n v="-2611.9241413519558"/>
    <n v="-5218.023708960045"/>
    <n v="-23636.624410605509"/>
    <n v="-24453.868797455689"/>
    <n v="-25040.604278074788"/>
    <n v="-25656.395099344882"/>
    <n v="-26627.388022776449"/>
    <n v="-28349.302797271066"/>
    <n v="-32070.147226111003"/>
    <n v="-8567.5197830710749"/>
    <n v="-9888.0581711267405"/>
    <n v="-10782.490547385914"/>
    <n v="-11686.067452615243"/>
    <n v="-13055.487736249306"/>
    <n v="-15366.35517735438"/>
    <n v="-20054.203661680222"/>
    <n v="-2470.4745963325695"/>
    <n v="-3958.2633330829049"/>
    <n v="-4953.1644025207606"/>
    <n v="-5949.8707416928846"/>
    <n v="-7447.396768436538"/>
    <n v="-9947.1596754648272"/>
    <n v="-14948.66357890558"/>
    <n v="2617.049133538676"/>
    <n v="1046.2439769643606"/>
    <n v="0"/>
    <n v="-1045.423931551195"/>
    <n v="-2611.9241413519558"/>
    <n v="-5218.023708960045"/>
    <n v="-10409.974990416049"/>
    <n v="6738.7879572950987"/>
    <n v="5170.3806086487293"/>
    <n v="4121.9661680898207"/>
    <n v="3071.9090412678179"/>
    <n v="1494.6291868226035"/>
    <n v="-1137.4187718476969"/>
    <n v="-6401.447645930557"/>
    <n v="9986.7360301859389"/>
    <n v="8494.4170688275881"/>
    <n v="7486.7074481674808"/>
    <n v="6470.7192551829394"/>
    <n v="4934.1087077553857"/>
    <n v="2347.8052659147488"/>
    <n v="-2881.5701930246541"/>
    <n v="14352.564112730515"/>
    <n v="13154.225957418239"/>
    <n v="12315.01981279609"/>
    <n v="11448.51314273802"/>
    <n v="10105.162978168182"/>
    <n v="7773.0034109074768"/>
    <n v="2867.9236716362084"/>
  </r>
  <r>
    <x v="2"/>
    <n v="10022"/>
    <n v="5.0000000000000001E-3"/>
    <s v="Option"/>
    <s v="JPY"/>
    <n v="-20"/>
    <x v="26"/>
    <s v="Call"/>
    <d v="2010-06-18T00:00:00"/>
    <n v="0.32811057320454412"/>
    <n v="5.0000000000000001E-3"/>
    <n v="362.50006316623876"/>
    <n v="-7250.0012633247752"/>
    <s v="JP Horgan"/>
    <m/>
    <n v="2956.4549297354911"/>
    <n v="7974.4667038571006"/>
    <n v="22.795867821988697"/>
    <n v="2811.2702220085002"/>
    <n v="-2.3470987921778925"/>
    <n v="11.299693802315376"/>
    <n v="-59129.098594709823"/>
    <n v="-159489.334077142"/>
    <n v="-455.91735643977393"/>
    <n v="-56225.404440170008"/>
    <n v="46.941975843557849"/>
    <n v="-225.99387604630752"/>
    <n v="6447.5887461481288"/>
    <n v="4422.6108358431293"/>
    <n v="2569.2409316128123"/>
    <n v="1119.4590658547077"/>
    <n v="-1246.9629425838593"/>
    <n v="-3363.2825043471439"/>
    <n v="-7558.8382184998773"/>
    <n v="-18405.098475527666"/>
    <n v="4176.2334093593381"/>
    <n v="2198.2869778552868"/>
    <n v="899.93830887415243"/>
    <n v="453.02670794784717"/>
    <n v="-458.65304921976531"/>
    <n v="-922.48936920848791"/>
    <n v="-2341.252678896617"/>
    <n v="-4778.2495585415109"/>
    <n v="6933.0813579000896"/>
    <n v="6673.1973663634599"/>
    <n v="6447.5887461481288"/>
    <n v="6180.0054877241064"/>
    <n v="5702.1084593704036"/>
    <n v="4715.9295036759613"/>
    <n v="2151.4359255616091"/>
    <n v="5677.8002778623504"/>
    <n v="4961.5305263849632"/>
    <n v="4422.6108358431293"/>
    <n v="3840.2271099575955"/>
    <n v="2894.8714361998964"/>
    <n v="1159.9041429043564"/>
    <n v="-2742.8018682670518"/>
    <n v="4301.2805685745479"/>
    <n v="3292.7629782247095"/>
    <n v="2569.2409316128123"/>
    <n v="1811.0083580317541"/>
    <n v="618.24766726936105"/>
    <n v="-1488.058350068568"/>
    <n v="-6005.764398968231"/>
    <n v="2198.2869778552868"/>
    <n v="899.93830887415243"/>
    <n v="0"/>
    <n v="-922.48936920848791"/>
    <n v="-2341.252678896617"/>
    <n v="-4778.2495585415109"/>
    <n v="-9829.4126322491866"/>
    <n v="-768.70177674480146"/>
    <n v="-2315.4469633083681"/>
    <n v="-3363.2825043471439"/>
    <n v="-4421.7275738686567"/>
    <n v="-6025.4087438773968"/>
    <n v="-8729.9461092209003"/>
    <n v="-14209.936124805354"/>
    <n v="-4684.4073513355761"/>
    <n v="-6406.8588248859669"/>
    <n v="-7558.8382184998773"/>
    <n v="-8712.9624167097609"/>
    <n v="-10447.03504033585"/>
    <n v="-13341.610083826745"/>
    <n v="-19132.740572595376"/>
    <n v="-15396.802012488042"/>
    <n v="-17199.706076765233"/>
    <n v="-18405.098475527666"/>
    <n v="-19612.482918254045"/>
    <n v="-21426.193166095854"/>
    <n v="-24452.912360794835"/>
    <n v="-30506.469593350903"/>
  </r>
  <r>
    <x v="2"/>
    <n v="10022"/>
    <n v="5.0000000000000001E-3"/>
    <s v="Option"/>
    <s v="JPY"/>
    <n v="5"/>
    <x v="24"/>
    <s v="Put"/>
    <d v="2010-06-18T00:00:00"/>
    <n v="0.48413924786865792"/>
    <n v="5.0000000000000001E-3"/>
    <n v="571.29818452504742"/>
    <n v="2856.4909226252371"/>
    <s v="Exch"/>
    <m/>
    <n v="-2519.8719715572929"/>
    <n v="4993.3610176188577"/>
    <n v="21.061898385625238"/>
    <n v="1013.8209279742146"/>
    <n v="-3.1987436965611598"/>
    <n v="-13.465645337454575"/>
    <n v="-12599.359857786465"/>
    <n v="24966.80508809429"/>
    <n v="105.30949192812619"/>
    <n v="5069.1046398710732"/>
    <n v="-15.993718482805798"/>
    <n v="-67.328226687272874"/>
    <n v="3723.8645277164483"/>
    <n v="1535.6536798475736"/>
    <n v="695.63014172626254"/>
    <n v="262.18060868355224"/>
    <n v="-242.20526928958861"/>
    <n v="-570.72305158942982"/>
    <n v="-1035.2038068987292"/>
    <n v="-1712.1695290011519"/>
    <n v="-1020.9580948295229"/>
    <n v="-519.44421816853037"/>
    <n v="-209.55877944503982"/>
    <n v="-105.05034303243065"/>
    <n v="105.55745117050492"/>
    <n v="211.58958693930344"/>
    <n v="532.24142184170432"/>
    <n v="1073.6860226907675"/>
    <n v="3197.9006770579167"/>
    <n v="3513.3641050472784"/>
    <n v="3723.8645277164483"/>
    <n v="3934.4569120732876"/>
    <n v="4250.4207282705102"/>
    <n v="4776.917665505739"/>
    <n v="5827.8718850898877"/>
    <n v="976.51433426070753"/>
    <n v="1311.9086994951135"/>
    <n v="1535.6536798475736"/>
    <n v="1759.4586223950546"/>
    <n v="2095.184428909065"/>
    <n v="2654.4751639790388"/>
    <n v="3770.5150161561437"/>
    <n v="149.01625560522007"/>
    <n v="476.1947994283787"/>
    <n v="695.63014172626254"/>
    <n v="915.93526847406793"/>
    <n v="1247.7376989613458"/>
    <n v="1803.4368050403873"/>
    <n v="2920.477762104922"/>
    <n v="-519.44421816853037"/>
    <n v="-209.55877944503982"/>
    <n v="0"/>
    <n v="211.58958693930344"/>
    <n v="532.24142184170432"/>
    <n v="1073.6860226907675"/>
    <n v="2174.4706373232884"/>
    <n v="-1052.5778015164474"/>
    <n v="-766.36018365579503"/>
    <n v="-570.72305158942982"/>
    <n v="-371.72515942151222"/>
    <n v="-67.723294782392713"/>
    <n v="451.10473130264381"/>
    <n v="1521.55347839265"/>
    <n v="-1473.0542329291904"/>
    <n v="-1214.3278639218408"/>
    <n v="-1035.2038068987292"/>
    <n v="-851.38493468933689"/>
    <n v="-567.85847528130716"/>
    <n v="-77.763364726542932"/>
    <n v="951.39044507455992"/>
    <n v="-2055.8150689972454"/>
    <n v="-1855.3108205573221"/>
    <n v="-1712.1695290011519"/>
    <n v="-1562.1240853806546"/>
    <n v="-1325.2776240063031"/>
    <n v="-903.11675047820017"/>
    <n v="21.805455057743757"/>
  </r>
  <r>
    <x v="2"/>
    <n v="10022"/>
    <n v="5.0000000000000001E-3"/>
    <s v="Option"/>
    <s v="JPY"/>
    <n v="-20"/>
    <x v="26"/>
    <s v="Call"/>
    <d v="2010-06-18T00:00:00"/>
    <n v="0.32811057320454412"/>
    <n v="5.0000000000000001E-3"/>
    <n v="362.50006316623876"/>
    <n v="-7250.0012633247752"/>
    <s v="Exch"/>
    <m/>
    <n v="2956.4549297354911"/>
    <n v="7974.4667038571006"/>
    <n v="22.795867821988697"/>
    <n v="2811.2702220085002"/>
    <n v="-2.3470987921778925"/>
    <n v="11.299693802315376"/>
    <n v="-59129.098594709823"/>
    <n v="-159489.334077142"/>
    <n v="-455.91735643977393"/>
    <n v="-56225.404440170008"/>
    <n v="46.941975843557849"/>
    <n v="-225.99387604630752"/>
    <n v="6447.5887461481288"/>
    <n v="4422.6108358431293"/>
    <n v="2569.2409316128123"/>
    <n v="1119.4590658547077"/>
    <n v="-1246.9629425838593"/>
    <n v="-3363.2825043471439"/>
    <n v="-7558.8382184998773"/>
    <n v="-18405.098475527666"/>
    <n v="4176.2334093593381"/>
    <n v="2198.2869778552868"/>
    <n v="899.93830887415243"/>
    <n v="453.02670794784717"/>
    <n v="-458.65304921976531"/>
    <n v="-922.48936920848791"/>
    <n v="-2341.252678896617"/>
    <n v="-4778.2495585415109"/>
    <n v="6933.0813579000896"/>
    <n v="6673.1973663634599"/>
    <n v="6447.5887461481288"/>
    <n v="6180.0054877241064"/>
    <n v="5702.1084593704036"/>
    <n v="4715.9295036759613"/>
    <n v="2151.4359255616091"/>
    <n v="5677.8002778623504"/>
    <n v="4961.5305263849632"/>
    <n v="4422.6108358431293"/>
    <n v="3840.2271099575955"/>
    <n v="2894.8714361998964"/>
    <n v="1159.9041429043564"/>
    <n v="-2742.8018682670518"/>
    <n v="4301.2805685745479"/>
    <n v="3292.7629782247095"/>
    <n v="2569.2409316128123"/>
    <n v="1811.0083580317541"/>
    <n v="618.24766726936105"/>
    <n v="-1488.058350068568"/>
    <n v="-6005.764398968231"/>
    <n v="2198.2869778552868"/>
    <n v="899.93830887415243"/>
    <n v="0"/>
    <n v="-922.48936920848791"/>
    <n v="-2341.252678896617"/>
    <n v="-4778.2495585415109"/>
    <n v="-9829.4126322491866"/>
    <n v="-768.70177674480146"/>
    <n v="-2315.4469633083681"/>
    <n v="-3363.2825043471439"/>
    <n v="-4421.7275738686567"/>
    <n v="-6025.4087438773968"/>
    <n v="-8729.9461092209003"/>
    <n v="-14209.936124805354"/>
    <n v="-4684.4073513355761"/>
    <n v="-6406.8588248859669"/>
    <n v="-7558.8382184998773"/>
    <n v="-8712.9624167097609"/>
    <n v="-10447.03504033585"/>
    <n v="-13341.610083826745"/>
    <n v="-19132.740572595376"/>
    <n v="-15396.802012488042"/>
    <n v="-17199.706076765233"/>
    <n v="-18405.098475527666"/>
    <n v="-19612.482918254045"/>
    <n v="-21426.193166095854"/>
    <n v="-24452.912360794835"/>
    <n v="-30506.469593350903"/>
  </r>
  <r>
    <x v="2"/>
    <n v="10022"/>
    <n v="5.0000000000000001E-3"/>
    <s v="Option"/>
    <s v="JPY"/>
    <n v="-10"/>
    <x v="27"/>
    <s v="Put"/>
    <d v="2010-09-17T00:00:00"/>
    <n v="0.34752036702571659"/>
    <n v="7.4999999999999997E-3"/>
    <n v="972.67276766229679"/>
    <n v="-9726.7276766229679"/>
    <s v="Darklays Capital"/>
    <m/>
    <n v="-3985.6913428553635"/>
    <n v="6704.0350970420877"/>
    <n v="31.914914212018527"/>
    <n v="-74.758062721330873"/>
    <n v="-2.1709308576052182"/>
    <n v="-33.96139801724425"/>
    <n v="39856.913428553635"/>
    <n v="-67040.35097042087"/>
    <n v="-319.14914212018527"/>
    <n v="747.58062721330873"/>
    <n v="21.70930857605218"/>
    <n v="339.6139801724425"/>
    <n v="-10899.866026612299"/>
    <n v="-4693.6383208820644"/>
    <n v="-2165.4627776124562"/>
    <n v="-824.28594725390212"/>
    <n v="770.66552556094393"/>
    <n v="1830.7255315455768"/>
    <n v="3360.3334768149216"/>
    <n v="5660.6270515304641"/>
    <n v="3191.9925542524516"/>
    <n v="1596.3245464438387"/>
    <n v="638.42646614033129"/>
    <n v="319.18390687798365"/>
    <n v="-319.10924514771978"/>
    <n v="-638.12897896570121"/>
    <n v="-1594.5169971405676"/>
    <n v="-3185.56413894435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10022"/>
    <n v="5.0000000000000001E-3"/>
    <s v="Option"/>
    <s v="JPY"/>
    <n v="-5"/>
    <x v="28"/>
    <s v="Put"/>
    <d v="2010-09-17T00:00:00"/>
    <n v="0.5752835905302579"/>
    <n v="7.4999999999999997E-3"/>
    <n v="710.92406048627072"/>
    <n v="-3554.6203024313536"/>
    <s v="Exch"/>
    <m/>
    <n v="-2064.2786200217561"/>
    <n v="2994.6533813990309"/>
    <n v="23.599656844449488"/>
    <n v="1147.2250857243289"/>
    <n v="-2.6865521416535634"/>
    <n v="-19.008237537726213"/>
    <n v="10321.39310010878"/>
    <n v="-14973.266906995155"/>
    <n v="-117.99828422224743"/>
    <n v="-5736.1254286216445"/>
    <n v="13.432760708267818"/>
    <n v="95.041187688631069"/>
    <n v="-2782.5442581276047"/>
    <n v="-1196.1388060561967"/>
    <n v="-555.24279372653837"/>
    <n v="-212.52683338490215"/>
    <n v="200.54594680744458"/>
    <n v="480.28780919706037"/>
    <n v="895.26320140453663"/>
    <n v="1562.6567727896497"/>
    <n v="1144.4861486031061"/>
    <n v="582.03290806376003"/>
    <n v="234.80105656497699"/>
    <n v="117.70552734298462"/>
    <n v="-118.27930331470498"/>
    <n v="-237.09812303578019"/>
    <n v="-596.47581482905935"/>
    <n v="-1203.51161788821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10022"/>
    <n v="5.0000000000000001E-3"/>
    <s v="Option"/>
    <s v="JPY"/>
    <n v="-10"/>
    <x v="27"/>
    <s v="Put"/>
    <d v="2010-09-17T00:00:00"/>
    <n v="0.34752036702571659"/>
    <n v="7.4999999999999997E-3"/>
    <n v="972.67276766229679"/>
    <n v="-9726.7276766229679"/>
    <s v="JP Horgan"/>
    <m/>
    <n v="-3985.6913428553635"/>
    <n v="6704.0350970420877"/>
    <n v="31.914914212018527"/>
    <n v="-74.758062721330873"/>
    <n v="-2.1709308576052182"/>
    <n v="-33.96139801724425"/>
    <n v="39856.913428553635"/>
    <n v="-67040.35097042087"/>
    <n v="-319.14914212018527"/>
    <n v="747.58062721330873"/>
    <n v="21.70930857605218"/>
    <n v="339.6139801724425"/>
    <n v="-10899.866026612299"/>
    <n v="-4693.6383208820644"/>
    <n v="-2165.4627776124562"/>
    <n v="-824.28594725390212"/>
    <n v="770.66552556094393"/>
    <n v="1830.7255315455768"/>
    <n v="3360.3334768149216"/>
    <n v="5660.6270515304641"/>
    <n v="3191.9925542524516"/>
    <n v="1596.3245464438387"/>
    <n v="638.42646614033129"/>
    <n v="319.18390687798365"/>
    <n v="-319.10924514771978"/>
    <n v="-638.12897896570121"/>
    <n v="-1594.5169971405676"/>
    <n v="-3185.56413894435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10022"/>
    <n v="5.0000000000000001E-3"/>
    <s v="Option"/>
    <s v="JPY"/>
    <n v="-10"/>
    <x v="29"/>
    <s v="Put"/>
    <d v="2010-09-17T00:00:00"/>
    <n v="0.42285122533835773"/>
    <n v="7.4999999999999997E-3"/>
    <n v="783.32650300920295"/>
    <n v="-7833.2650300920295"/>
    <s v="Exch"/>
    <m/>
    <n v="-2924.2391611836733"/>
    <n v="4906.516391216428"/>
    <n v="28.420910522857589"/>
    <n v="715.82661409033005"/>
    <n v="-2.3674385825520252"/>
    <n v="-25.394285371184083"/>
    <n v="29242.391611836734"/>
    <n v="-49065.16391216428"/>
    <n v="-284.20910522857588"/>
    <n v="-7158.2661409033008"/>
    <n v="23.674385825520254"/>
    <n v="253.94285371184083"/>
    <n v="-8136.6754964565871"/>
    <n v="-3456.6882513161863"/>
    <n v="-1590.0237703509265"/>
    <n v="-604.80909432849785"/>
    <n v="565.55574377974608"/>
    <n v="1344.6515884753308"/>
    <n v="2474.7154966174594"/>
    <n v="4205.2924759260759"/>
    <n v="2791.8760028156294"/>
    <n v="1410.5062168743098"/>
    <n v="566.89134638492305"/>
    <n v="283.83954266266755"/>
    <n v="-284.55584107642153"/>
    <n v="-569.76221236814581"/>
    <n v="-1428.7001420105435"/>
    <n v="-2868.40770511912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10022"/>
    <n v="5.0000000000000001E-3"/>
    <s v="Option"/>
    <s v="JPY"/>
    <n v="-10"/>
    <x v="29"/>
    <s v="Put"/>
    <d v="2010-09-17T00:00:00"/>
    <n v="0.42285122533835773"/>
    <n v="7.4999999999999997E-3"/>
    <n v="783.32650300920295"/>
    <n v="-7833.2650300920295"/>
    <s v="Exch"/>
    <m/>
    <n v="-2924.2391611836733"/>
    <n v="4906.516391216428"/>
    <n v="28.420910522857589"/>
    <n v="715.82661409033005"/>
    <n v="-2.3674385825520252"/>
    <n v="-25.394285371184083"/>
    <n v="29242.391611836734"/>
    <n v="-49065.16391216428"/>
    <n v="-284.20910522857588"/>
    <n v="-7158.2661409033008"/>
    <n v="23.674385825520254"/>
    <n v="253.94285371184083"/>
    <n v="-8136.6754964565871"/>
    <n v="-3456.6882513161863"/>
    <n v="-1590.0237703509265"/>
    <n v="-604.80909432849785"/>
    <n v="565.55574377974608"/>
    <n v="1344.6515884753308"/>
    <n v="2474.7154966174594"/>
    <n v="4205.2924759260759"/>
    <n v="2791.8760028156294"/>
    <n v="1410.5062168743098"/>
    <n v="566.89134638492305"/>
    <n v="283.83954266266755"/>
    <n v="-284.55584107642153"/>
    <n v="-569.76221236814581"/>
    <n v="-1428.7001420105435"/>
    <n v="-2868.40770511912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5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olga" fld="24" baseField="0" baseItem="0"/>
  </dataFields>
  <formats count="3">
    <format dxfId="23">
      <pivotArea field="6" dataOnly="0" grandRow="1" outline="0" axis="axisRow" fieldPosition="0">
        <references count="2">
          <reference field="0" count="1" selected="0">
            <x v="2"/>
          </reference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2">
      <pivotArea outline="0" fieldPosition="0"/>
    </format>
    <format dxfId="21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2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ImpVol  +10%" fld="38" baseField="0" baseItem="0"/>
  </dataFields>
  <formats count="7">
    <format dxfId="30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29">
      <pivotArea outline="0" fieldPosition="0"/>
    </format>
    <format dxfId="28">
      <pivotArea dataOnly="0" labelOnly="1" outline="0" fieldPosition="0">
        <references count="1">
          <reference field="8" count="0"/>
        </references>
      </pivotArea>
    </format>
    <format dxfId="27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6">
      <pivotArea dataOnly="0" labelOnly="1" grandRow="1" outline="0" fieldPosition="0"/>
    </format>
    <format dxfId="25">
      <pivotArea outline="0" fieldPosition="0"/>
    </format>
    <format dxfId="24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ega 1%" fld="23" baseField="0" baseItem="0"/>
  </dataFields>
  <formats count="8">
    <format dxfId="38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37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36">
      <pivotArea dataOnly="0" labelOnly="1" grandRow="1" outline="0" fieldPosition="0"/>
    </format>
    <format dxfId="35">
      <pivotArea outline="0" fieldPosition="0"/>
    </format>
    <format dxfId="34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33">
      <pivotArea dataOnly="0" labelOnly="1" grandRow="1" outline="0" fieldPosition="0"/>
    </format>
    <format dxfId="32">
      <pivotArea outline="0" fieldPosition="0"/>
    </format>
    <format dxfId="31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PivotTable1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Delta" fld="21" baseField="0" baseItem="0" numFmtId="38"/>
  </dataFields>
  <formats count="7">
    <format dxfId="10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9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8">
      <pivotArea dataOnly="0" labelOnly="1" grandRow="1" outline="0" fieldPosition="0"/>
    </format>
    <format dxfId="7">
      <pivotArea outline="0" fieldPosition="0"/>
    </format>
    <format dxfId="6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5">
      <pivotArea dataOnly="0" labelOnly="1" grandRow="1" outline="0" fieldPosition="0"/>
    </format>
    <format dxfId="4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Table2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PnL: Und +10%" fld="29" baseField="0" baseItem="0"/>
  </dataFields>
  <formats count="6">
    <format dxfId="16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15">
      <pivotArea outline="0" fieldPosition="0"/>
    </format>
    <format dxfId="14">
      <pivotArea dataOnly="0" labelOnly="1" outline="0" fieldPosition="0">
        <references count="1">
          <reference field="8" count="0"/>
        </references>
      </pivotArea>
    </format>
    <format dxfId="13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12">
      <pivotArea dataOnly="0" labelOnly="1" grandRow="1" outline="0" fieldPosition="0"/>
    </format>
    <format dxfId="11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3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Gamma" fld="22" baseField="0" baseItem="0"/>
  </dataFields>
  <formats count="4">
    <format dxfId="20">
      <pivotArea outline="0" fieldPosition="0"/>
    </format>
    <format dxfId="19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18">
      <pivotArea dataOnly="0" labelOnly="1" grandRow="1" outline="0" fieldPosition="0"/>
    </format>
    <format dxfId="17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20D8E4-173E-46BC-9EEA-AE86ECEFF237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39" firstHeaderRow="0" firstDataRow="1" firstDataCol="1"/>
  <pivotFields count="92">
    <pivotField axis="axisRow" showAll="0">
      <items count="4">
        <item x="2"/>
        <item x="0"/>
        <item x="1"/>
        <item t="default"/>
      </items>
    </pivotField>
    <pivotField showAll="0"/>
    <pivotField numFmtId="165" showAll="0"/>
    <pivotField showAll="0"/>
    <pivotField showAll="0"/>
    <pivotField showAll="0"/>
    <pivotField axis="axisRow" showAll="0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showAll="0"/>
    <pivotField numFmtId="164" showAll="0"/>
    <pivotField showAll="0"/>
    <pivotField showAll="0"/>
    <pivotField numFmtId="2" showAll="0"/>
    <pivotField numFmtId="2" showAll="0"/>
    <pivotField showAll="0"/>
    <pivotField showAll="0"/>
    <pivotField numFmtId="1" showAll="0"/>
    <pivotField numFmtId="1" showAll="0"/>
    <pivotField numFmtId="167" showAll="0"/>
    <pivotField numFmtId="167" showAll="0"/>
    <pivotField numFmtId="167" showAll="0"/>
    <pivotField numFmtId="2" showAll="0"/>
    <pivotField numFmtId="168" showAll="0"/>
    <pivotField numFmtId="168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6"/>
  </rowFields>
  <rowItems count="36">
    <i>
      <x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29"/>
    </i>
    <i>
      <x v="2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Und -20%, ImpVol -5%" fld="43" baseField="0" baseItem="0"/>
    <dataField name="Sum of Und -20%, ImpVol 20%" fld="49" baseField="0" baseItem="0"/>
  </dataFields>
  <formats count="4">
    <format dxfId="3">
      <pivotArea outline="0" collapsedLevelsAreSubtotals="1" fieldPosition="0"/>
    </format>
    <format dxfId="2">
      <pivotArea dataOnly="0" labelOnly="1" fieldPosition="0">
        <references count="2">
          <reference field="0" count="1" selected="0">
            <x v="0"/>
          </reference>
          <reference field="6" count="10">
            <x v="20"/>
            <x v="21"/>
            <x v="22"/>
            <x v="23"/>
            <x v="24"/>
            <x v="25"/>
            <x v="26"/>
            <x v="27"/>
            <x v="28"/>
            <x v="29"/>
          </reference>
        </references>
      </pivotArea>
    </format>
    <format dxfId="1">
      <pivotArea dataOnly="0" labelOnly="1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0">
      <pivotArea dataOnly="0" labelOnly="1" fieldPosition="0">
        <references count="2">
          <reference field="0" count="1" selected="0">
            <x v="2"/>
          </reference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C4:N44"/>
  <sheetViews>
    <sheetView showGridLines="0" workbookViewId="0">
      <selection activeCell="J34" sqref="J34"/>
    </sheetView>
  </sheetViews>
  <sheetFormatPr defaultRowHeight="12.75" x14ac:dyDescent="0.35"/>
  <cols>
    <col min="3" max="3" width="19.3984375" customWidth="1"/>
    <col min="4" max="6" width="12.86328125" customWidth="1"/>
    <col min="7" max="7" width="10.59765625" customWidth="1"/>
    <col min="8" max="8" width="10.59765625" bestFit="1" customWidth="1"/>
    <col min="10" max="10" width="16.86328125" customWidth="1"/>
    <col min="11" max="13" width="12.86328125" customWidth="1"/>
    <col min="14" max="14" width="10.59765625" customWidth="1"/>
  </cols>
  <sheetData>
    <row r="4" spans="3:14" x14ac:dyDescent="0.35">
      <c r="C4" s="72" t="s">
        <v>0</v>
      </c>
      <c r="D4" s="73" t="s">
        <v>1</v>
      </c>
      <c r="J4" s="72" t="s">
        <v>0</v>
      </c>
      <c r="K4" s="73" t="s">
        <v>1</v>
      </c>
    </row>
    <row r="6" spans="3:14" x14ac:dyDescent="0.35">
      <c r="C6" s="66" t="s">
        <v>2</v>
      </c>
      <c r="D6" s="66" t="s">
        <v>3</v>
      </c>
      <c r="E6" s="67"/>
      <c r="F6" s="67"/>
      <c r="G6" s="68"/>
      <c r="J6" s="66" t="s">
        <v>4</v>
      </c>
      <c r="K6" s="66" t="s">
        <v>3</v>
      </c>
      <c r="L6" s="67"/>
      <c r="M6" s="67"/>
      <c r="N6" s="68"/>
    </row>
    <row r="7" spans="3:14" x14ac:dyDescent="0.35">
      <c r="C7" s="66" t="s">
        <v>5</v>
      </c>
      <c r="D7" s="94">
        <v>40256</v>
      </c>
      <c r="E7" s="95">
        <v>40347</v>
      </c>
      <c r="F7" s="95">
        <v>40438</v>
      </c>
      <c r="G7" s="71" t="s">
        <v>6</v>
      </c>
      <c r="J7" s="66" t="s">
        <v>5</v>
      </c>
      <c r="K7" s="94">
        <v>40256</v>
      </c>
      <c r="L7" s="95">
        <v>40347</v>
      </c>
      <c r="M7" s="95">
        <v>40438</v>
      </c>
      <c r="N7" s="71" t="s">
        <v>6</v>
      </c>
    </row>
    <row r="8" spans="3:14" x14ac:dyDescent="0.35">
      <c r="C8" s="74">
        <v>2469</v>
      </c>
      <c r="D8" s="80">
        <v>269.72946215289949</v>
      </c>
      <c r="E8" s="81">
        <v>60.774619256676999</v>
      </c>
      <c r="F8" s="81"/>
      <c r="G8" s="82">
        <v>330.50408140957649</v>
      </c>
      <c r="J8" s="74">
        <v>2469</v>
      </c>
      <c r="K8" s="80">
        <v>24060.65423450631</v>
      </c>
      <c r="L8" s="81">
        <v>2914.2184029169321</v>
      </c>
      <c r="M8" s="81"/>
      <c r="N8" s="82">
        <v>26974.87263742325</v>
      </c>
    </row>
    <row r="9" spans="3:14" x14ac:dyDescent="0.35">
      <c r="C9" s="75">
        <v>2556</v>
      </c>
      <c r="D9" s="83">
        <v>-137.83945198496619</v>
      </c>
      <c r="E9" s="84"/>
      <c r="F9" s="84">
        <v>40.776245168846728</v>
      </c>
      <c r="G9" s="85">
        <v>-97.063206816119433</v>
      </c>
      <c r="J9" s="75">
        <v>2556</v>
      </c>
      <c r="K9" s="83">
        <v>-9149.5466205390912</v>
      </c>
      <c r="L9" s="84"/>
      <c r="M9" s="84">
        <v>1025.7533684276441</v>
      </c>
      <c r="N9" s="85">
        <v>-8123.7932521114471</v>
      </c>
    </row>
    <row r="10" spans="3:14" x14ac:dyDescent="0.35">
      <c r="C10" s="75">
        <v>2731</v>
      </c>
      <c r="D10" s="83"/>
      <c r="E10" s="84">
        <v>0</v>
      </c>
      <c r="F10" s="84">
        <v>-177.33929584856219</v>
      </c>
      <c r="G10" s="85">
        <v>-177.33929584856219</v>
      </c>
      <c r="J10" s="75">
        <v>2731</v>
      </c>
      <c r="K10" s="83"/>
      <c r="L10" s="84">
        <v>0</v>
      </c>
      <c r="M10" s="84">
        <v>-974.37167057110537</v>
      </c>
      <c r="N10" s="85">
        <v>-974.37167057110537</v>
      </c>
    </row>
    <row r="11" spans="3:14" x14ac:dyDescent="0.35">
      <c r="C11" s="75">
        <v>2818</v>
      </c>
      <c r="D11" s="83">
        <v>-145.66010508281079</v>
      </c>
      <c r="E11" s="84">
        <v>-294.74451636736489</v>
      </c>
      <c r="F11" s="84"/>
      <c r="G11" s="85">
        <v>-440.40462145017568</v>
      </c>
      <c r="J11" s="75">
        <v>2818</v>
      </c>
      <c r="K11" s="83">
        <v>-625.09331835980242</v>
      </c>
      <c r="L11" s="84">
        <v>20.03732855287334</v>
      </c>
      <c r="M11" s="84"/>
      <c r="N11" s="85">
        <v>-605.05598980692912</v>
      </c>
    </row>
    <row r="12" spans="3:14" x14ac:dyDescent="0.35">
      <c r="C12" s="75">
        <v>2905</v>
      </c>
      <c r="D12" s="83"/>
      <c r="E12" s="84">
        <v>-264.03768809559239</v>
      </c>
      <c r="F12" s="84"/>
      <c r="G12" s="85">
        <v>-264.03768809559239</v>
      </c>
      <c r="J12" s="75">
        <v>2905</v>
      </c>
      <c r="K12" s="83"/>
      <c r="L12" s="84">
        <v>1042.045242219762</v>
      </c>
      <c r="M12" s="84"/>
      <c r="N12" s="85">
        <v>1042.045242219762</v>
      </c>
    </row>
    <row r="13" spans="3:14" x14ac:dyDescent="0.35">
      <c r="C13" s="75">
        <v>2992</v>
      </c>
      <c r="D13" s="83">
        <v>-300.01080859291909</v>
      </c>
      <c r="E13" s="84"/>
      <c r="F13" s="84"/>
      <c r="G13" s="85">
        <v>-300.01080859291909</v>
      </c>
      <c r="J13" s="75">
        <v>2992</v>
      </c>
      <c r="K13" s="83">
        <v>-1635.4083124752531</v>
      </c>
      <c r="L13" s="84"/>
      <c r="M13" s="84"/>
      <c r="N13" s="85">
        <v>-1635.4083124752531</v>
      </c>
    </row>
    <row r="14" spans="3:14" x14ac:dyDescent="0.35">
      <c r="C14" s="75">
        <v>3079</v>
      </c>
      <c r="D14" s="83">
        <v>-388.12656716870862</v>
      </c>
      <c r="E14" s="84">
        <v>-375.98769224057543</v>
      </c>
      <c r="F14" s="84"/>
      <c r="G14" s="85">
        <v>-764.11425940928393</v>
      </c>
      <c r="J14" s="75">
        <v>3079</v>
      </c>
      <c r="K14" s="83">
        <v>-11116.49471225659</v>
      </c>
      <c r="L14" s="84">
        <v>-5953.8917078604854</v>
      </c>
      <c r="M14" s="84"/>
      <c r="N14" s="85">
        <v>-17070.386420117069</v>
      </c>
    </row>
    <row r="15" spans="3:14" x14ac:dyDescent="0.35">
      <c r="C15" s="75">
        <v>3166</v>
      </c>
      <c r="D15" s="83">
        <v>-114.1946392709968</v>
      </c>
      <c r="E15" s="84">
        <v>-73.112252401193999</v>
      </c>
      <c r="F15" s="84"/>
      <c r="G15" s="85">
        <v>-187.3068916721908</v>
      </c>
      <c r="J15" s="75">
        <v>3166</v>
      </c>
      <c r="K15" s="83">
        <v>-7759.7344393874382</v>
      </c>
      <c r="L15" s="84">
        <v>-3044.085091464372</v>
      </c>
      <c r="M15" s="84"/>
      <c r="N15" s="85">
        <v>-10803.81953085181</v>
      </c>
    </row>
    <row r="16" spans="3:14" x14ac:dyDescent="0.35">
      <c r="C16" s="75">
        <v>3254</v>
      </c>
      <c r="D16" s="83">
        <v>208.92648658346371</v>
      </c>
      <c r="E16" s="84">
        <v>-139.79922395808731</v>
      </c>
      <c r="F16" s="84"/>
      <c r="G16" s="85">
        <v>69.127262625376346</v>
      </c>
      <c r="J16" s="75">
        <v>3254</v>
      </c>
      <c r="K16" s="83">
        <v>25653.632867326611</v>
      </c>
      <c r="L16" s="84">
        <v>-10877.91674920669</v>
      </c>
      <c r="M16" s="84"/>
      <c r="N16" s="85">
        <v>14775.716118119921</v>
      </c>
    </row>
    <row r="17" spans="3:14" x14ac:dyDescent="0.35">
      <c r="C17" s="75">
        <v>3341</v>
      </c>
      <c r="D17" s="83"/>
      <c r="E17" s="84">
        <v>-131.85912103646911</v>
      </c>
      <c r="F17" s="84">
        <v>-172.33788935746571</v>
      </c>
      <c r="G17" s="85">
        <v>-304.19701039393482</v>
      </c>
      <c r="J17" s="75">
        <v>3341</v>
      </c>
      <c r="K17" s="83"/>
      <c r="L17" s="84">
        <v>-16072.442607864239</v>
      </c>
      <c r="M17" s="84">
        <v>-17063.755425248899</v>
      </c>
      <c r="N17" s="85">
        <v>-33136.198033113142</v>
      </c>
    </row>
    <row r="18" spans="3:14" x14ac:dyDescent="0.35">
      <c r="C18" s="75">
        <v>3428</v>
      </c>
      <c r="D18" s="83"/>
      <c r="E18" s="84">
        <v>122.9576645685442</v>
      </c>
      <c r="F18" s="84"/>
      <c r="G18" s="85">
        <v>122.9576645685442</v>
      </c>
      <c r="J18" s="75">
        <v>3428</v>
      </c>
      <c r="K18" s="83"/>
      <c r="L18" s="84">
        <v>21181.61742630124</v>
      </c>
      <c r="M18" s="84"/>
      <c r="N18" s="85">
        <v>21181.61742630124</v>
      </c>
    </row>
    <row r="19" spans="3:14" x14ac:dyDescent="0.35">
      <c r="C19" s="76" t="s">
        <v>7</v>
      </c>
      <c r="D19" s="83">
        <v>0</v>
      </c>
      <c r="E19" s="84"/>
      <c r="F19" s="84"/>
      <c r="G19" s="85">
        <v>0</v>
      </c>
      <c r="J19" s="75" t="s">
        <v>7</v>
      </c>
      <c r="K19" s="83">
        <v>0</v>
      </c>
      <c r="L19" s="84"/>
      <c r="M19" s="84"/>
      <c r="N19" s="85">
        <v>0</v>
      </c>
    </row>
    <row r="20" spans="3:14" x14ac:dyDescent="0.35">
      <c r="C20" s="77" t="s">
        <v>6</v>
      </c>
      <c r="D20" s="86">
        <v>-607.1756233640383</v>
      </c>
      <c r="E20" s="87">
        <v>-1095.808210274062</v>
      </c>
      <c r="F20" s="87">
        <v>-308.9009400371811</v>
      </c>
      <c r="G20" s="88">
        <v>-2011.8847736752809</v>
      </c>
      <c r="J20" s="93" t="s">
        <v>6</v>
      </c>
      <c r="K20" s="86">
        <v>19428.009698814749</v>
      </c>
      <c r="L20" s="87">
        <v>-10790.417756404981</v>
      </c>
      <c r="M20" s="87">
        <v>-17012.373727392369</v>
      </c>
      <c r="N20" s="88">
        <v>-8374.7817849825842</v>
      </c>
    </row>
    <row r="28" spans="3:14" x14ac:dyDescent="0.35">
      <c r="C28" s="72" t="s">
        <v>0</v>
      </c>
      <c r="D28" s="73" t="s">
        <v>1</v>
      </c>
    </row>
    <row r="30" spans="3:14" x14ac:dyDescent="0.35">
      <c r="C30" s="66" t="s">
        <v>8</v>
      </c>
      <c r="D30" s="66" t="s">
        <v>3</v>
      </c>
      <c r="E30" s="67"/>
      <c r="F30" s="67"/>
      <c r="G30" s="68"/>
    </row>
    <row r="31" spans="3:14" x14ac:dyDescent="0.35">
      <c r="C31" s="66" t="s">
        <v>5</v>
      </c>
      <c r="D31" s="94">
        <v>40256</v>
      </c>
      <c r="E31" s="95">
        <v>40347</v>
      </c>
      <c r="F31" s="95">
        <v>40438</v>
      </c>
      <c r="G31" s="92" t="s">
        <v>6</v>
      </c>
    </row>
    <row r="32" spans="3:14" x14ac:dyDescent="0.35">
      <c r="C32" s="74">
        <v>2469</v>
      </c>
      <c r="D32" s="80">
        <v>2828.3514281939151</v>
      </c>
      <c r="E32" s="81">
        <v>621.82669318026342</v>
      </c>
      <c r="F32" s="81"/>
      <c r="G32" s="82">
        <v>3450.1781213741779</v>
      </c>
    </row>
    <row r="33" spans="3:7" x14ac:dyDescent="0.35">
      <c r="C33" s="75">
        <v>2556</v>
      </c>
      <c r="D33" s="83">
        <v>-1429.745214905322</v>
      </c>
      <c r="E33" s="84"/>
      <c r="F33" s="84">
        <v>412.38120699941652</v>
      </c>
      <c r="G33" s="85">
        <v>-1017.364007905906</v>
      </c>
    </row>
    <row r="34" spans="3:7" x14ac:dyDescent="0.35">
      <c r="C34" s="75">
        <v>2731</v>
      </c>
      <c r="D34" s="83"/>
      <c r="E34" s="84">
        <v>0</v>
      </c>
      <c r="F34" s="84">
        <v>-1778.944279741286</v>
      </c>
      <c r="G34" s="85">
        <v>-1778.944279741286</v>
      </c>
    </row>
    <row r="35" spans="3:7" x14ac:dyDescent="0.35">
      <c r="C35" s="75">
        <v>2818</v>
      </c>
      <c r="D35" s="83">
        <v>-1469.2991546034229</v>
      </c>
      <c r="E35" s="84">
        <v>-2954.4834361863468</v>
      </c>
      <c r="F35" s="84"/>
      <c r="G35" s="85">
        <v>-4423.7825907897704</v>
      </c>
    </row>
    <row r="36" spans="3:7" x14ac:dyDescent="0.35">
      <c r="C36" s="75">
        <v>2905</v>
      </c>
      <c r="D36" s="83"/>
      <c r="E36" s="84">
        <v>-2642.5969555786392</v>
      </c>
      <c r="F36" s="84"/>
      <c r="G36" s="85">
        <v>-2642.5969555786392</v>
      </c>
    </row>
    <row r="37" spans="3:7" x14ac:dyDescent="0.35">
      <c r="C37" s="75">
        <v>2992</v>
      </c>
      <c r="D37" s="83">
        <v>-3027.6612464741038</v>
      </c>
      <c r="E37" s="84"/>
      <c r="F37" s="84"/>
      <c r="G37" s="85">
        <v>-3027.6612464741038</v>
      </c>
    </row>
    <row r="38" spans="3:7" x14ac:dyDescent="0.35">
      <c r="C38" s="75">
        <v>3079</v>
      </c>
      <c r="D38" s="83">
        <v>-3955.2402172666548</v>
      </c>
      <c r="E38" s="84">
        <v>-3792.631334355508</v>
      </c>
      <c r="F38" s="84"/>
      <c r="G38" s="85">
        <v>-7747.8715516221637</v>
      </c>
    </row>
    <row r="39" spans="3:7" x14ac:dyDescent="0.35">
      <c r="C39" s="75">
        <v>3166</v>
      </c>
      <c r="D39" s="83">
        <v>-1183.031477382551</v>
      </c>
      <c r="E39" s="84">
        <v>-744.99840244197685</v>
      </c>
      <c r="F39" s="84"/>
      <c r="G39" s="85">
        <v>-1928.0298798245281</v>
      </c>
    </row>
    <row r="40" spans="3:7" x14ac:dyDescent="0.35">
      <c r="C40" s="75">
        <v>3254</v>
      </c>
      <c r="D40" s="83">
        <v>2214.8310851343008</v>
      </c>
      <c r="E40" s="84">
        <v>-1444.8929133364229</v>
      </c>
      <c r="F40" s="84"/>
      <c r="G40" s="85">
        <v>769.93817179787811</v>
      </c>
    </row>
    <row r="41" spans="3:7" x14ac:dyDescent="0.35">
      <c r="C41" s="75">
        <v>3341</v>
      </c>
      <c r="D41" s="83"/>
      <c r="E41" s="84">
        <v>-1386.6971258543231</v>
      </c>
      <c r="F41" s="84">
        <v>-1791.301807802206</v>
      </c>
      <c r="G41" s="85">
        <v>-3177.9989336565291</v>
      </c>
    </row>
    <row r="42" spans="3:7" x14ac:dyDescent="0.35">
      <c r="C42" s="75">
        <v>3428</v>
      </c>
      <c r="D42" s="83"/>
      <c r="E42" s="84">
        <v>1319.171873672808</v>
      </c>
      <c r="F42" s="84"/>
      <c r="G42" s="85">
        <v>1319.171873672808</v>
      </c>
    </row>
    <row r="43" spans="3:7" x14ac:dyDescent="0.35">
      <c r="C43" s="75" t="s">
        <v>7</v>
      </c>
      <c r="D43" s="83">
        <v>0</v>
      </c>
      <c r="E43" s="84"/>
      <c r="F43" s="84"/>
      <c r="G43" s="85">
        <v>0</v>
      </c>
    </row>
    <row r="44" spans="3:7" x14ac:dyDescent="0.35">
      <c r="C44" s="93" t="s">
        <v>6</v>
      </c>
      <c r="D44" s="86">
        <v>-6021.794797303839</v>
      </c>
      <c r="E44" s="87">
        <v>-11025.301600900149</v>
      </c>
      <c r="F44" s="87">
        <v>-3157.8648805440748</v>
      </c>
      <c r="G44" s="88">
        <v>-20204.961278748058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4:N44"/>
  <sheetViews>
    <sheetView showGridLines="0" workbookViewId="0">
      <selection activeCell="E34" sqref="E34"/>
    </sheetView>
  </sheetViews>
  <sheetFormatPr defaultRowHeight="12.75" x14ac:dyDescent="0.35"/>
  <cols>
    <col min="3" max="3" width="17.59765625" customWidth="1"/>
    <col min="4" max="6" width="12.86328125" customWidth="1"/>
    <col min="7" max="7" width="10.59765625" customWidth="1"/>
    <col min="8" max="8" width="10.59765625" bestFit="1" customWidth="1"/>
    <col min="10" max="10" width="19.86328125" customWidth="1"/>
    <col min="11" max="13" width="12.86328125" customWidth="1"/>
    <col min="14" max="14" width="10.59765625" customWidth="1"/>
    <col min="15" max="15" width="10.59765625" bestFit="1" customWidth="1"/>
  </cols>
  <sheetData>
    <row r="4" spans="3:14" x14ac:dyDescent="0.35">
      <c r="C4" s="72" t="s">
        <v>0</v>
      </c>
      <c r="D4" s="73" t="s">
        <v>1</v>
      </c>
      <c r="J4" s="72" t="s">
        <v>0</v>
      </c>
      <c r="K4" s="73" t="s">
        <v>1</v>
      </c>
    </row>
    <row r="6" spans="3:14" x14ac:dyDescent="0.35">
      <c r="C6" s="66" t="s">
        <v>9</v>
      </c>
      <c r="D6" s="66" t="s">
        <v>3</v>
      </c>
      <c r="E6" s="67"/>
      <c r="F6" s="67"/>
      <c r="G6" s="68"/>
      <c r="J6" s="66" t="s">
        <v>10</v>
      </c>
      <c r="K6" s="66" t="s">
        <v>3</v>
      </c>
      <c r="L6" s="67"/>
      <c r="M6" s="67"/>
      <c r="N6" s="68"/>
    </row>
    <row r="7" spans="3:14" x14ac:dyDescent="0.35">
      <c r="C7" s="66" t="s">
        <v>5</v>
      </c>
      <c r="D7" s="69">
        <v>40256</v>
      </c>
      <c r="E7" s="70">
        <v>40347</v>
      </c>
      <c r="F7" s="70">
        <v>40438</v>
      </c>
      <c r="G7" s="71" t="s">
        <v>6</v>
      </c>
      <c r="J7" s="66" t="s">
        <v>5</v>
      </c>
      <c r="K7" s="69">
        <v>40256</v>
      </c>
      <c r="L7" s="70">
        <v>40347</v>
      </c>
      <c r="M7" s="70">
        <v>40438</v>
      </c>
      <c r="N7" s="71" t="s">
        <v>6</v>
      </c>
    </row>
    <row r="8" spans="3:14" x14ac:dyDescent="0.35">
      <c r="C8" s="74">
        <v>2469</v>
      </c>
      <c r="D8" s="80">
        <v>-44954.564528108131</v>
      </c>
      <c r="E8" s="81">
        <v>-7247.1081192218953</v>
      </c>
      <c r="F8" s="81"/>
      <c r="G8" s="82">
        <v>-52201.672647330022</v>
      </c>
      <c r="J8" s="74">
        <v>2469</v>
      </c>
      <c r="K8" s="80">
        <v>133529.87495611521</v>
      </c>
      <c r="L8" s="81">
        <v>14301.68609906635</v>
      </c>
      <c r="M8" s="81"/>
      <c r="N8" s="82">
        <v>147831.56105518149</v>
      </c>
    </row>
    <row r="9" spans="3:14" x14ac:dyDescent="0.35">
      <c r="C9" s="75">
        <v>2556</v>
      </c>
      <c r="D9" s="83">
        <v>24622.729711053969</v>
      </c>
      <c r="E9" s="84"/>
      <c r="F9" s="84">
        <v>-4185.1595520529563</v>
      </c>
      <c r="G9" s="85">
        <v>20437.570159001021</v>
      </c>
      <c r="J9" s="75">
        <v>2556</v>
      </c>
      <c r="K9" s="83">
        <v>-72712.455232373934</v>
      </c>
      <c r="L9" s="84"/>
      <c r="M9" s="84">
        <v>7004.392608049604</v>
      </c>
      <c r="N9" s="85">
        <v>-65708.062624324331</v>
      </c>
    </row>
    <row r="10" spans="3:14" x14ac:dyDescent="0.35">
      <c r="C10" s="75">
        <v>2731</v>
      </c>
      <c r="D10" s="83"/>
      <c r="E10" s="84">
        <v>0</v>
      </c>
      <c r="F10" s="84">
        <v>20533.601202966041</v>
      </c>
      <c r="G10" s="85">
        <v>20533.601202966041</v>
      </c>
      <c r="J10" s="75">
        <v>2731</v>
      </c>
      <c r="K10" s="83"/>
      <c r="L10" s="84">
        <v>0</v>
      </c>
      <c r="M10" s="84">
        <v>-34982.636182059439</v>
      </c>
      <c r="N10" s="85">
        <v>-34982.636182059439</v>
      </c>
    </row>
    <row r="11" spans="3:14" x14ac:dyDescent="0.35">
      <c r="C11" s="75">
        <v>2818</v>
      </c>
      <c r="D11" s="83">
        <v>-52185.317803858023</v>
      </c>
      <c r="E11" s="84">
        <v>46255.154619662128</v>
      </c>
      <c r="F11" s="84"/>
      <c r="G11" s="85">
        <v>-5930.1631841958806</v>
      </c>
      <c r="J11" s="75">
        <v>2818</v>
      </c>
      <c r="K11" s="83">
        <v>-90344.814732264756</v>
      </c>
      <c r="L11" s="84">
        <v>-89247.618894743486</v>
      </c>
      <c r="M11" s="84"/>
      <c r="N11" s="85">
        <v>-179592.4336270082</v>
      </c>
    </row>
    <row r="12" spans="3:14" x14ac:dyDescent="0.35">
      <c r="C12" s="75">
        <v>2905</v>
      </c>
      <c r="D12" s="83"/>
      <c r="E12" s="84">
        <v>45497.158116698607</v>
      </c>
      <c r="F12" s="84"/>
      <c r="G12" s="85">
        <v>45497.158116698607</v>
      </c>
      <c r="J12" s="75">
        <v>2905</v>
      </c>
      <c r="K12" s="83"/>
      <c r="L12" s="84">
        <v>-83608.817930542355</v>
      </c>
      <c r="M12" s="84"/>
      <c r="N12" s="85">
        <v>-83608.817930542355</v>
      </c>
    </row>
    <row r="13" spans="3:14" x14ac:dyDescent="0.35">
      <c r="C13" s="75">
        <v>2992</v>
      </c>
      <c r="D13" s="83">
        <v>34758.773912014498</v>
      </c>
      <c r="E13" s="84"/>
      <c r="F13" s="84"/>
      <c r="G13" s="85">
        <v>34758.773912014498</v>
      </c>
      <c r="J13" s="75">
        <v>2992</v>
      </c>
      <c r="K13" s="83">
        <v>-199590.22795651469</v>
      </c>
      <c r="L13" s="84"/>
      <c r="M13" s="84"/>
      <c r="N13" s="85">
        <v>-199590.22795651469</v>
      </c>
    </row>
    <row r="14" spans="3:14" x14ac:dyDescent="0.35">
      <c r="C14" s="75">
        <v>3079</v>
      </c>
      <c r="D14" s="83">
        <v>-34148.188192111309</v>
      </c>
      <c r="E14" s="84">
        <v>-63624.336863161428</v>
      </c>
      <c r="F14" s="84"/>
      <c r="G14" s="85">
        <v>-97772.525055272738</v>
      </c>
      <c r="J14" s="75">
        <v>3079</v>
      </c>
      <c r="K14" s="83">
        <v>-264097.02260414249</v>
      </c>
      <c r="L14" s="84">
        <v>-126574.50802673071</v>
      </c>
      <c r="M14" s="84"/>
      <c r="N14" s="85">
        <v>-390671.53063087323</v>
      </c>
    </row>
    <row r="15" spans="3:14" x14ac:dyDescent="0.35">
      <c r="C15" s="75">
        <v>3166</v>
      </c>
      <c r="D15" s="83">
        <v>-24032.81366696455</v>
      </c>
      <c r="E15" s="84">
        <v>-11234.475815994771</v>
      </c>
      <c r="F15" s="84"/>
      <c r="G15" s="85">
        <v>-35267.289482959328</v>
      </c>
      <c r="J15" s="75">
        <v>3166</v>
      </c>
      <c r="K15" s="83">
        <v>-78885.608476499241</v>
      </c>
      <c r="L15" s="84">
        <v>-25046.806605907099</v>
      </c>
      <c r="M15" s="84"/>
      <c r="N15" s="85">
        <v>-103932.4150824063</v>
      </c>
    </row>
    <row r="16" spans="3:14" x14ac:dyDescent="0.35">
      <c r="C16" s="75">
        <v>3254</v>
      </c>
      <c r="D16" s="83">
        <v>39425.037469201903</v>
      </c>
      <c r="E16" s="84">
        <v>-19639.605535836399</v>
      </c>
      <c r="F16" s="84"/>
      <c r="G16" s="85">
        <v>19785.4319333655</v>
      </c>
      <c r="J16" s="75">
        <v>3254</v>
      </c>
      <c r="K16" s="83">
        <v>145614.03040599849</v>
      </c>
      <c r="L16" s="84">
        <v>-48389.542993236028</v>
      </c>
      <c r="M16" s="84"/>
      <c r="N16" s="85">
        <v>97224.48741276245</v>
      </c>
    </row>
    <row r="17" spans="3:14" x14ac:dyDescent="0.35">
      <c r="C17" s="75">
        <v>3341</v>
      </c>
      <c r="D17" s="83"/>
      <c r="E17" s="84">
        <v>-17090.00750389212</v>
      </c>
      <c r="F17" s="84">
        <v>38211.481948926819</v>
      </c>
      <c r="G17" s="85">
        <v>21121.474445034699</v>
      </c>
      <c r="J17" s="75">
        <v>3341</v>
      </c>
      <c r="K17" s="83"/>
      <c r="L17" s="84">
        <v>-45837.711555530987</v>
      </c>
      <c r="M17" s="84">
        <v>-42026.573909109757</v>
      </c>
      <c r="N17" s="85">
        <v>-87864.285464640736</v>
      </c>
    </row>
    <row r="18" spans="3:14" x14ac:dyDescent="0.35">
      <c r="C18" s="75">
        <v>3428</v>
      </c>
      <c r="D18" s="83"/>
      <c r="E18" s="84">
        <v>14816.618843571099</v>
      </c>
      <c r="F18" s="84"/>
      <c r="G18" s="85">
        <v>14816.618843571099</v>
      </c>
      <c r="J18" s="75">
        <v>3428</v>
      </c>
      <c r="K18" s="83"/>
      <c r="L18" s="84">
        <v>42729.358612848147</v>
      </c>
      <c r="M18" s="84"/>
      <c r="N18" s="85">
        <v>42729.358612848147</v>
      </c>
    </row>
    <row r="19" spans="3:14" x14ac:dyDescent="0.35">
      <c r="C19" s="76" t="s">
        <v>7</v>
      </c>
      <c r="D19" s="83">
        <v>57858.869438234142</v>
      </c>
      <c r="E19" s="84"/>
      <c r="F19" s="84"/>
      <c r="G19" s="85">
        <v>57858.869438234142</v>
      </c>
      <c r="J19" s="75" t="s">
        <v>7</v>
      </c>
      <c r="K19" s="83">
        <v>0</v>
      </c>
      <c r="L19" s="84"/>
      <c r="M19" s="84"/>
      <c r="N19" s="85">
        <v>0</v>
      </c>
    </row>
    <row r="20" spans="3:14" x14ac:dyDescent="0.35">
      <c r="C20" s="77" t="s">
        <v>6</v>
      </c>
      <c r="D20" s="86">
        <v>1344.5263394624999</v>
      </c>
      <c r="E20" s="87">
        <v>-12266.60225817478</v>
      </c>
      <c r="F20" s="87">
        <v>54559.923599839902</v>
      </c>
      <c r="G20" s="88">
        <v>43637.847681127641</v>
      </c>
      <c r="J20" s="93" t="s">
        <v>6</v>
      </c>
      <c r="K20" s="86">
        <v>-426486.22363968159</v>
      </c>
      <c r="L20" s="87">
        <v>-361673.96129477612</v>
      </c>
      <c r="M20" s="87">
        <v>-70004.817483119594</v>
      </c>
      <c r="N20" s="88">
        <v>-858165.0024175772</v>
      </c>
    </row>
    <row r="28" spans="3:14" x14ac:dyDescent="0.35">
      <c r="C28" s="72" t="s">
        <v>0</v>
      </c>
      <c r="D28" s="73" t="s">
        <v>1</v>
      </c>
    </row>
    <row r="30" spans="3:14" x14ac:dyDescent="0.35">
      <c r="C30" s="66" t="s">
        <v>11</v>
      </c>
      <c r="D30" s="66" t="s">
        <v>3</v>
      </c>
      <c r="E30" s="67"/>
      <c r="F30" s="67"/>
      <c r="G30" s="68"/>
    </row>
    <row r="31" spans="3:14" x14ac:dyDescent="0.35">
      <c r="C31" s="66" t="s">
        <v>5</v>
      </c>
      <c r="D31" s="69">
        <v>40256</v>
      </c>
      <c r="E31" s="70">
        <v>40347</v>
      </c>
      <c r="F31" s="70">
        <v>40438</v>
      </c>
      <c r="G31" s="92" t="s">
        <v>6</v>
      </c>
    </row>
    <row r="32" spans="3:14" x14ac:dyDescent="0.35">
      <c r="C32" s="74">
        <v>2469</v>
      </c>
      <c r="D32" s="80">
        <v>-3379.7997574110132</v>
      </c>
      <c r="E32" s="81">
        <v>-597.15238449021285</v>
      </c>
      <c r="F32" s="81"/>
      <c r="G32" s="82">
        <v>-3976.9521419012249</v>
      </c>
    </row>
    <row r="33" spans="3:7" x14ac:dyDescent="0.35">
      <c r="C33" s="75">
        <v>2556</v>
      </c>
      <c r="D33" s="83">
        <v>1847.2588082166651</v>
      </c>
      <c r="E33" s="84"/>
      <c r="F33" s="84">
        <v>-354.60087519602382</v>
      </c>
      <c r="G33" s="85">
        <v>1492.6579330206409</v>
      </c>
    </row>
    <row r="34" spans="3:7" x14ac:dyDescent="0.35">
      <c r="C34" s="75">
        <v>2731</v>
      </c>
      <c r="D34" s="83"/>
      <c r="E34" s="84">
        <v>0</v>
      </c>
      <c r="F34" s="84">
        <v>1730.372686048622</v>
      </c>
      <c r="G34" s="85">
        <v>1730.372686048622</v>
      </c>
    </row>
    <row r="35" spans="3:7" x14ac:dyDescent="0.35">
      <c r="C35" s="75">
        <v>2818</v>
      </c>
      <c r="D35" s="83">
        <v>-6030.9246759635953</v>
      </c>
      <c r="E35" s="84">
        <v>3800.355130875791</v>
      </c>
      <c r="F35" s="84"/>
      <c r="G35" s="85">
        <v>-2230.5695450878038</v>
      </c>
    </row>
    <row r="36" spans="3:7" x14ac:dyDescent="0.35">
      <c r="C36" s="75">
        <v>2905</v>
      </c>
      <c r="D36" s="83"/>
      <c r="E36" s="84">
        <v>3764.3006964506949</v>
      </c>
      <c r="F36" s="84"/>
      <c r="G36" s="85">
        <v>3764.3006964506949</v>
      </c>
    </row>
    <row r="37" spans="3:7" x14ac:dyDescent="0.35">
      <c r="C37" s="75">
        <v>2992</v>
      </c>
      <c r="D37" s="83">
        <v>1563.048835692998</v>
      </c>
      <c r="E37" s="84"/>
      <c r="F37" s="84"/>
      <c r="G37" s="85">
        <v>1563.048835692998</v>
      </c>
    </row>
    <row r="38" spans="3:7" x14ac:dyDescent="0.35">
      <c r="C38" s="75">
        <v>3079</v>
      </c>
      <c r="D38" s="83">
        <v>-6038.8876422049361</v>
      </c>
      <c r="E38" s="84">
        <v>-7597.1025446977592</v>
      </c>
      <c r="F38" s="84"/>
      <c r="G38" s="85">
        <v>-13635.990186902691</v>
      </c>
    </row>
    <row r="39" spans="3:7" x14ac:dyDescent="0.35">
      <c r="C39" s="75">
        <v>3166</v>
      </c>
      <c r="D39" s="83">
        <v>-3217.1962600773718</v>
      </c>
      <c r="E39" s="84">
        <v>-1372.9387926825941</v>
      </c>
      <c r="F39" s="84"/>
      <c r="G39" s="85">
        <v>-4590.1350527599661</v>
      </c>
    </row>
    <row r="40" spans="3:7" x14ac:dyDescent="0.35">
      <c r="C40" s="75">
        <v>3254</v>
      </c>
      <c r="D40" s="83">
        <v>5504.0428810843314</v>
      </c>
      <c r="E40" s="84">
        <v>-2456.3514586597971</v>
      </c>
      <c r="F40" s="84"/>
      <c r="G40" s="85">
        <v>3047.6914224245352</v>
      </c>
    </row>
    <row r="41" spans="3:7" x14ac:dyDescent="0.35">
      <c r="C41" s="75">
        <v>3341</v>
      </c>
      <c r="D41" s="83"/>
      <c r="E41" s="84">
        <v>-2185.122534620486</v>
      </c>
      <c r="F41" s="84">
        <v>3393.5559456871169</v>
      </c>
      <c r="G41" s="85">
        <v>1208.43341106663</v>
      </c>
    </row>
    <row r="42" spans="3:7" x14ac:dyDescent="0.35">
      <c r="C42" s="75">
        <v>3428</v>
      </c>
      <c r="D42" s="83"/>
      <c r="E42" s="84">
        <v>1934.3112765863571</v>
      </c>
      <c r="F42" s="84"/>
      <c r="G42" s="85">
        <v>1934.3112765863571</v>
      </c>
    </row>
    <row r="43" spans="3:7" x14ac:dyDescent="0.35">
      <c r="C43" s="75" t="s">
        <v>7</v>
      </c>
      <c r="D43" s="83">
        <v>5785.5382159419969</v>
      </c>
      <c r="E43" s="84"/>
      <c r="F43" s="84"/>
      <c r="G43" s="85">
        <v>5785.5382159419969</v>
      </c>
    </row>
    <row r="44" spans="3:7" x14ac:dyDescent="0.35">
      <c r="C44" s="93" t="s">
        <v>6</v>
      </c>
      <c r="D44" s="86">
        <v>-3966.919594720925</v>
      </c>
      <c r="E44" s="87">
        <v>-4709.7006112380059</v>
      </c>
      <c r="F44" s="87">
        <v>4769.3277565397148</v>
      </c>
      <c r="G44" s="88">
        <v>-3907.2924494192139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17E31-FE9D-45B6-8081-98A6AF54A395}">
  <dimension ref="A3:C39"/>
  <sheetViews>
    <sheetView tabSelected="1" workbookViewId="0">
      <selection activeCell="A5" sqref="A5"/>
    </sheetView>
  </sheetViews>
  <sheetFormatPr defaultRowHeight="12.75" x14ac:dyDescent="0.35"/>
  <cols>
    <col min="1" max="1" width="13.1328125" bestFit="1" customWidth="1"/>
    <col min="2" max="2" width="27.265625" bestFit="1" customWidth="1"/>
    <col min="3" max="4" width="27.6640625" bestFit="1" customWidth="1"/>
  </cols>
  <sheetData>
    <row r="3" spans="1:3" x14ac:dyDescent="0.35">
      <c r="A3" s="100" t="s">
        <v>127</v>
      </c>
      <c r="B3" t="s">
        <v>128</v>
      </c>
      <c r="C3" t="s">
        <v>129</v>
      </c>
    </row>
    <row r="4" spans="1:3" x14ac:dyDescent="0.35">
      <c r="A4" s="3" t="s">
        <v>116</v>
      </c>
      <c r="B4" s="101">
        <v>-55690.92804107994</v>
      </c>
      <c r="C4" s="101">
        <v>-124054.13701374977</v>
      </c>
    </row>
    <row r="5" spans="1:3" x14ac:dyDescent="0.35">
      <c r="A5" s="101">
        <v>7617</v>
      </c>
      <c r="B5" s="101"/>
      <c r="C5" s="101"/>
    </row>
    <row r="6" spans="1:3" x14ac:dyDescent="0.35">
      <c r="A6" s="101">
        <v>8519</v>
      </c>
      <c r="B6" s="101">
        <v>43158.273647925402</v>
      </c>
      <c r="C6" s="101">
        <v>66349.707809697313</v>
      </c>
    </row>
    <row r="7" spans="1:3" x14ac:dyDescent="0.35">
      <c r="A7" s="101">
        <v>8819</v>
      </c>
      <c r="B7" s="101"/>
      <c r="C7" s="101"/>
    </row>
    <row r="8" spans="1:3" x14ac:dyDescent="0.35">
      <c r="A8" s="101">
        <v>9120</v>
      </c>
      <c r="B8" s="101">
        <v>-66433.001979480337</v>
      </c>
      <c r="C8" s="101">
        <v>-94810.6270783254</v>
      </c>
    </row>
    <row r="9" spans="1:3" x14ac:dyDescent="0.35">
      <c r="A9" s="101">
        <v>9721</v>
      </c>
      <c r="B9" s="101"/>
      <c r="C9" s="101"/>
    </row>
    <row r="10" spans="1:3" x14ac:dyDescent="0.35">
      <c r="A10" s="101">
        <v>10022</v>
      </c>
      <c r="B10" s="101">
        <v>-50400.472489120999</v>
      </c>
      <c r="C10" s="101">
        <v>-83163.017907919333</v>
      </c>
    </row>
    <row r="11" spans="1:3" x14ac:dyDescent="0.35">
      <c r="A11" s="101">
        <v>10323</v>
      </c>
      <c r="B11" s="101">
        <v>-8375.3875620145991</v>
      </c>
      <c r="C11" s="101">
        <v>-21142.433200000778</v>
      </c>
    </row>
    <row r="12" spans="1:3" x14ac:dyDescent="0.35">
      <c r="A12" s="101">
        <v>11225</v>
      </c>
      <c r="B12" s="101">
        <v>-7531.8399443419785</v>
      </c>
      <c r="C12" s="101">
        <v>-15615.976058477194</v>
      </c>
    </row>
    <row r="13" spans="1:3" x14ac:dyDescent="0.35">
      <c r="A13" s="101">
        <v>11525</v>
      </c>
      <c r="B13" s="101">
        <v>13866.162715800179</v>
      </c>
      <c r="C13" s="101">
        <v>4302.8718511232182</v>
      </c>
    </row>
    <row r="14" spans="1:3" x14ac:dyDescent="0.35">
      <c r="A14" s="101" t="s">
        <v>7</v>
      </c>
      <c r="B14" s="101">
        <v>20025.337570152387</v>
      </c>
      <c r="C14" s="101">
        <v>20025.337570152387</v>
      </c>
    </row>
    <row r="15" spans="1:3" x14ac:dyDescent="0.35">
      <c r="A15" s="3" t="s">
        <v>104</v>
      </c>
      <c r="B15" s="101">
        <v>-12332.374099725981</v>
      </c>
      <c r="C15" s="101">
        <v>-26018.831478947082</v>
      </c>
    </row>
    <row r="16" spans="1:3" x14ac:dyDescent="0.35">
      <c r="A16" s="101">
        <v>902</v>
      </c>
      <c r="B16" s="101">
        <v>3091.8548490471408</v>
      </c>
      <c r="C16" s="101">
        <v>5938.8722137930272</v>
      </c>
    </row>
    <row r="17" spans="1:3" x14ac:dyDescent="0.35">
      <c r="A17" s="101">
        <v>935</v>
      </c>
      <c r="B17" s="101">
        <v>16526.450922374497</v>
      </c>
      <c r="C17" s="101">
        <v>24958.916006484014</v>
      </c>
    </row>
    <row r="18" spans="1:3" x14ac:dyDescent="0.35">
      <c r="A18" s="101">
        <v>1001</v>
      </c>
      <c r="B18" s="101">
        <v>-7107.1815306761318</v>
      </c>
      <c r="C18" s="101">
        <v>-12567.627041857599</v>
      </c>
    </row>
    <row r="19" spans="1:3" x14ac:dyDescent="0.35">
      <c r="A19" s="101">
        <v>1034</v>
      </c>
      <c r="B19" s="101">
        <v>-16621.78102288182</v>
      </c>
      <c r="C19" s="101">
        <v>-21543.85364847456</v>
      </c>
    </row>
    <row r="20" spans="1:3" x14ac:dyDescent="0.35">
      <c r="A20" s="101">
        <v>1067</v>
      </c>
      <c r="B20" s="101">
        <v>82.560554161545952</v>
      </c>
      <c r="C20" s="101">
        <v>-6478.7844349881689</v>
      </c>
    </row>
    <row r="21" spans="1:3" x14ac:dyDescent="0.35">
      <c r="A21" s="101">
        <v>1100</v>
      </c>
      <c r="B21" s="101">
        <v>-2590.929214968899</v>
      </c>
      <c r="C21" s="101">
        <v>-10247.959506380337</v>
      </c>
    </row>
    <row r="22" spans="1:3" x14ac:dyDescent="0.35">
      <c r="A22" s="101">
        <v>1232</v>
      </c>
      <c r="B22" s="101">
        <v>2619.0504945189027</v>
      </c>
      <c r="C22" s="101">
        <v>83.675647128744913</v>
      </c>
    </row>
    <row r="23" spans="1:3" x14ac:dyDescent="0.35">
      <c r="A23" s="101">
        <v>1298</v>
      </c>
      <c r="B23" s="101">
        <v>-1553.0479244884082</v>
      </c>
      <c r="C23" s="101">
        <v>-405.92002971942736</v>
      </c>
    </row>
    <row r="24" spans="1:3" x14ac:dyDescent="0.35">
      <c r="A24" s="101">
        <v>1331</v>
      </c>
      <c r="B24" s="101">
        <v>-1299.806245851843</v>
      </c>
      <c r="C24" s="101">
        <v>-276.60570397181061</v>
      </c>
    </row>
    <row r="25" spans="1:3" x14ac:dyDescent="0.35">
      <c r="A25" s="101" t="s">
        <v>7</v>
      </c>
      <c r="B25" s="101">
        <v>-5479.5449809609663</v>
      </c>
      <c r="C25" s="101">
        <v>-5479.5449809609663</v>
      </c>
    </row>
    <row r="26" spans="1:3" x14ac:dyDescent="0.35">
      <c r="A26" s="3" t="s">
        <v>1</v>
      </c>
      <c r="B26" s="101">
        <v>-37688.238742922513</v>
      </c>
      <c r="C26" s="101">
        <v>-62033.873439151263</v>
      </c>
    </row>
    <row r="27" spans="1:3" x14ac:dyDescent="0.35">
      <c r="A27" s="101">
        <v>2469</v>
      </c>
      <c r="B27" s="101">
        <v>16260.253712910264</v>
      </c>
      <c r="C27" s="101">
        <v>25200.546783239024</v>
      </c>
    </row>
    <row r="28" spans="1:3" x14ac:dyDescent="0.35">
      <c r="A28" s="101">
        <v>2556</v>
      </c>
      <c r="B28" s="101">
        <v>-6931.1781478112671</v>
      </c>
      <c r="C28" s="101">
        <v>-9349.5937388688999</v>
      </c>
    </row>
    <row r="29" spans="1:3" x14ac:dyDescent="0.35">
      <c r="A29" s="101">
        <v>2731</v>
      </c>
      <c r="B29" s="101">
        <v>-4987.7919434871637</v>
      </c>
      <c r="C29" s="101">
        <v>-8620.5979978782398</v>
      </c>
    </row>
    <row r="30" spans="1:3" x14ac:dyDescent="0.35">
      <c r="A30" s="101">
        <v>2818</v>
      </c>
      <c r="B30" s="101">
        <v>-5253.4446901845022</v>
      </c>
      <c r="C30" s="101">
        <v>-12692.920702819258</v>
      </c>
    </row>
    <row r="31" spans="1:3" x14ac:dyDescent="0.35">
      <c r="A31" s="101">
        <v>2905</v>
      </c>
      <c r="B31" s="101">
        <v>-11883.892414830956</v>
      </c>
      <c r="C31" s="101">
        <v>-16135.977678987347</v>
      </c>
    </row>
    <row r="32" spans="1:3" x14ac:dyDescent="0.35">
      <c r="A32" s="101">
        <v>2992</v>
      </c>
      <c r="B32" s="101">
        <v>-13968.65978673598</v>
      </c>
      <c r="C32" s="101">
        <v>-17021.854884654469</v>
      </c>
    </row>
    <row r="33" spans="1:3" x14ac:dyDescent="0.35">
      <c r="A33" s="101">
        <v>3079</v>
      </c>
      <c r="B33" s="101">
        <v>6621.3400052521411</v>
      </c>
      <c r="C33" s="101">
        <v>-1628.6769484910865</v>
      </c>
    </row>
    <row r="34" spans="1:3" x14ac:dyDescent="0.35">
      <c r="A34" s="101">
        <v>3166</v>
      </c>
      <c r="B34" s="101">
        <v>3769.2397851730602</v>
      </c>
      <c r="C34" s="101">
        <v>2053.563948546991</v>
      </c>
    </row>
    <row r="35" spans="1:3" x14ac:dyDescent="0.35">
      <c r="A35" s="101">
        <v>3254</v>
      </c>
      <c r="B35" s="101">
        <v>-1165.495353893476</v>
      </c>
      <c r="C35" s="101">
        <v>-1370.8472623900284</v>
      </c>
    </row>
    <row r="36" spans="1:3" x14ac:dyDescent="0.35">
      <c r="A36" s="101">
        <v>3341</v>
      </c>
      <c r="B36" s="101">
        <v>-6906.7698965539366</v>
      </c>
      <c r="C36" s="101">
        <v>-10450.789451000364</v>
      </c>
    </row>
    <row r="37" spans="1:3" x14ac:dyDescent="0.35">
      <c r="A37" s="101">
        <v>3428</v>
      </c>
      <c r="B37" s="101">
        <v>-1669.3686273113308</v>
      </c>
      <c r="C37" s="101">
        <v>-444.25412039822049</v>
      </c>
    </row>
    <row r="38" spans="1:3" x14ac:dyDescent="0.35">
      <c r="A38" s="101" t="s">
        <v>7</v>
      </c>
      <c r="B38" s="101">
        <v>-11572.471385449362</v>
      </c>
      <c r="C38" s="101">
        <v>-11572.471385449362</v>
      </c>
    </row>
    <row r="39" spans="1:3" x14ac:dyDescent="0.35">
      <c r="A39" s="3" t="s">
        <v>6</v>
      </c>
      <c r="B39" s="101">
        <v>-105711.54088372843</v>
      </c>
      <c r="C39" s="101">
        <v>-212106.84193184806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CN87"/>
  <sheetViews>
    <sheetView showGridLines="0" workbookViewId="0">
      <pane xSplit="1" ySplit="4" topLeftCell="CH59" activePane="bottomRight" state="frozen"/>
      <selection pane="topRight" activeCell="B1" sqref="B1"/>
      <selection pane="bottomLeft" activeCell="A5" sqref="A5"/>
      <selection pane="bottomRight" activeCell="AR7" sqref="AR7"/>
    </sheetView>
  </sheetViews>
  <sheetFormatPr defaultRowHeight="12.75" x14ac:dyDescent="0.35"/>
  <cols>
    <col min="1" max="1" width="11" bestFit="1" customWidth="1"/>
    <col min="2" max="2" width="14" style="4" bestFit="1" customWidth="1"/>
    <col min="3" max="3" width="8" style="46" bestFit="1" customWidth="1"/>
    <col min="4" max="4" width="11.73046875" bestFit="1" customWidth="1"/>
    <col min="5" max="5" width="8.265625" bestFit="1" customWidth="1"/>
    <col min="6" max="6" width="7.3984375" bestFit="1" customWidth="1"/>
    <col min="7" max="7" width="6" style="4" bestFit="1" customWidth="1"/>
    <col min="8" max="8" width="6.3984375" bestFit="1" customWidth="1"/>
    <col min="9" max="9" width="9.3984375" style="6" bestFit="1" customWidth="1"/>
    <col min="10" max="10" width="7.3984375" style="52" bestFit="1" customWidth="1"/>
    <col min="11" max="11" width="12.3984375" style="28" bestFit="1" customWidth="1"/>
    <col min="12" max="12" width="11.86328125" style="55" bestFit="1" customWidth="1"/>
    <col min="13" max="13" width="16.73046875" style="55" bestFit="1" customWidth="1"/>
    <col min="14" max="14" width="14.86328125" bestFit="1" customWidth="1"/>
    <col min="15" max="15" width="6.3984375" bestFit="1" customWidth="1"/>
    <col min="16" max="16" width="10.1328125" style="60" bestFit="1" customWidth="1"/>
    <col min="17" max="17" width="10.1328125" style="60" customWidth="1"/>
    <col min="18" max="18" width="7.59765625" style="56" bestFit="1" customWidth="1"/>
    <col min="19" max="19" width="7.59765625" style="58" customWidth="1"/>
    <col min="20" max="20" width="9.86328125" style="58" bestFit="1" customWidth="1"/>
    <col min="21" max="21" width="7.73046875" style="2" bestFit="1" customWidth="1"/>
    <col min="22" max="22" width="11.1328125" style="59" bestFit="1" customWidth="1"/>
    <col min="23" max="23" width="11.1328125" style="59" customWidth="1"/>
    <col min="24" max="24" width="11.86328125" style="78" bestFit="1" customWidth="1"/>
    <col min="25" max="25" width="9.73046875" style="78" bestFit="1" customWidth="1"/>
    <col min="26" max="26" width="14.265625" style="78" bestFit="1" customWidth="1"/>
    <col min="27" max="27" width="12" style="78" bestFit="1" customWidth="1"/>
    <col min="28" max="28" width="14" bestFit="1" customWidth="1"/>
    <col min="29" max="29" width="13.59765625" bestFit="1" customWidth="1"/>
    <col min="30" max="30" width="12.59765625" bestFit="1" customWidth="1"/>
    <col min="31" max="33" width="13.3984375" bestFit="1" customWidth="1"/>
    <col min="34" max="35" width="14.265625" bestFit="1" customWidth="1"/>
    <col min="36" max="36" width="14" bestFit="1" customWidth="1"/>
    <col min="37" max="37" width="13.59765625" bestFit="1" customWidth="1"/>
    <col min="38" max="38" width="12.59765625" bestFit="1" customWidth="1"/>
    <col min="39" max="41" width="13.3984375" bestFit="1" customWidth="1"/>
    <col min="42" max="43" width="14.265625" bestFit="1" customWidth="1"/>
    <col min="44" max="92" width="23.33203125" customWidth="1"/>
  </cols>
  <sheetData>
    <row r="1" spans="1:92" ht="13.5" customHeight="1" thickBot="1" x14ac:dyDescent="0.45">
      <c r="A1" s="8" t="s">
        <v>12</v>
      </c>
      <c r="B1" s="7">
        <v>40188</v>
      </c>
      <c r="L1" s="2"/>
      <c r="M1" s="2"/>
    </row>
    <row r="2" spans="1:92" ht="13.15" customHeight="1" thickBot="1" x14ac:dyDescent="0.4">
      <c r="L2" s="2"/>
      <c r="M2" s="2"/>
    </row>
    <row r="3" spans="1:92" ht="15.4" customHeight="1" thickBot="1" x14ac:dyDescent="0.45">
      <c r="AB3" s="96" t="s">
        <v>13</v>
      </c>
      <c r="AC3" s="97"/>
      <c r="AD3" s="97"/>
      <c r="AE3" s="97"/>
      <c r="AF3" s="97"/>
      <c r="AG3" s="97"/>
      <c r="AH3" s="97"/>
      <c r="AI3" s="98"/>
      <c r="AJ3" s="96" t="s">
        <v>14</v>
      </c>
      <c r="AK3" s="97"/>
      <c r="AL3" s="97"/>
      <c r="AM3" s="97"/>
      <c r="AN3" s="97"/>
      <c r="AO3" s="97"/>
      <c r="AP3" s="97"/>
      <c r="AQ3" s="98"/>
    </row>
    <row r="4" spans="1:92" s="21" customFormat="1" ht="10.5" customHeight="1" thickBot="1" x14ac:dyDescent="0.4">
      <c r="A4" s="22" t="s">
        <v>0</v>
      </c>
      <c r="B4" s="21" t="s">
        <v>15</v>
      </c>
      <c r="C4" s="53" t="s">
        <v>16</v>
      </c>
      <c r="D4" s="21" t="s">
        <v>17</v>
      </c>
      <c r="E4" s="21" t="s">
        <v>18</v>
      </c>
      <c r="F4" s="21" t="s">
        <v>19</v>
      </c>
      <c r="G4" s="21" t="s">
        <v>5</v>
      </c>
      <c r="H4" s="21" t="s">
        <v>20</v>
      </c>
      <c r="I4" s="23" t="s">
        <v>3</v>
      </c>
      <c r="J4" s="53" t="s">
        <v>21</v>
      </c>
      <c r="K4" s="29" t="s">
        <v>22</v>
      </c>
      <c r="L4" s="54" t="s">
        <v>23</v>
      </c>
      <c r="M4" s="54" t="s">
        <v>24</v>
      </c>
      <c r="N4" s="21" t="s">
        <v>25</v>
      </c>
      <c r="O4" s="21" t="s">
        <v>26</v>
      </c>
      <c r="P4" s="61" t="s">
        <v>27</v>
      </c>
      <c r="Q4" s="61" t="s">
        <v>28</v>
      </c>
      <c r="R4" s="57" t="s">
        <v>29</v>
      </c>
      <c r="S4" s="57" t="s">
        <v>30</v>
      </c>
      <c r="T4" s="57" t="s">
        <v>31</v>
      </c>
      <c r="U4" s="54" t="s">
        <v>32</v>
      </c>
      <c r="V4" s="64" t="s">
        <v>33</v>
      </c>
      <c r="W4" s="64" t="s">
        <v>34</v>
      </c>
      <c r="X4" s="79" t="s">
        <v>35</v>
      </c>
      <c r="Y4" s="79" t="s">
        <v>36</v>
      </c>
      <c r="Z4" s="79" t="s">
        <v>37</v>
      </c>
      <c r="AA4" s="79" t="s">
        <v>38</v>
      </c>
      <c r="AB4" s="89" t="s">
        <v>39</v>
      </c>
      <c r="AC4" s="90" t="s">
        <v>40</v>
      </c>
      <c r="AD4" s="90" t="s">
        <v>41</v>
      </c>
      <c r="AE4" s="90" t="s">
        <v>42</v>
      </c>
      <c r="AF4" s="90" t="s">
        <v>43</v>
      </c>
      <c r="AG4" s="90" t="s">
        <v>44</v>
      </c>
      <c r="AH4" s="90" t="s">
        <v>45</v>
      </c>
      <c r="AI4" s="91" t="s">
        <v>46</v>
      </c>
      <c r="AJ4" s="89" t="s">
        <v>47</v>
      </c>
      <c r="AK4" s="90" t="s">
        <v>48</v>
      </c>
      <c r="AL4" s="90" t="s">
        <v>49</v>
      </c>
      <c r="AM4" s="90" t="s">
        <v>50</v>
      </c>
      <c r="AN4" s="90" t="s">
        <v>51</v>
      </c>
      <c r="AO4" s="90" t="s">
        <v>52</v>
      </c>
      <c r="AP4" s="90" t="s">
        <v>53</v>
      </c>
      <c r="AQ4" s="91" t="s">
        <v>54</v>
      </c>
      <c r="AR4" s="4" t="s">
        <v>55</v>
      </c>
      <c r="AS4" s="4" t="s">
        <v>56</v>
      </c>
      <c r="AT4" s="4" t="s">
        <v>57</v>
      </c>
      <c r="AU4" s="4" t="s">
        <v>58</v>
      </c>
      <c r="AV4" s="4" t="s">
        <v>59</v>
      </c>
      <c r="AW4" s="4" t="s">
        <v>60</v>
      </c>
      <c r="AX4" s="4" t="s">
        <v>61</v>
      </c>
      <c r="AY4" s="4" t="s">
        <v>62</v>
      </c>
      <c r="AZ4" s="4" t="s">
        <v>63</v>
      </c>
      <c r="BA4" s="4" t="s">
        <v>64</v>
      </c>
      <c r="BB4" s="4" t="s">
        <v>65</v>
      </c>
      <c r="BC4" s="4" t="s">
        <v>66</v>
      </c>
      <c r="BD4" s="4" t="s">
        <v>67</v>
      </c>
      <c r="BE4" s="4" t="s">
        <v>68</v>
      </c>
      <c r="BF4" s="4" t="s">
        <v>69</v>
      </c>
      <c r="BG4" s="4" t="s">
        <v>70</v>
      </c>
      <c r="BH4" s="4" t="s">
        <v>71</v>
      </c>
      <c r="BI4" s="4" t="s">
        <v>72</v>
      </c>
      <c r="BJ4" s="4" t="s">
        <v>73</v>
      </c>
      <c r="BK4" s="4" t="s">
        <v>74</v>
      </c>
      <c r="BL4" s="4" t="s">
        <v>75</v>
      </c>
      <c r="BM4" s="4" t="s">
        <v>76</v>
      </c>
      <c r="BN4" s="4" t="s">
        <v>77</v>
      </c>
      <c r="BO4" s="4" t="s">
        <v>78</v>
      </c>
      <c r="BP4" s="4" t="s">
        <v>79</v>
      </c>
      <c r="BQ4" s="4" t="s">
        <v>80</v>
      </c>
      <c r="BR4" s="4" t="s">
        <v>81</v>
      </c>
      <c r="BS4" s="4" t="s">
        <v>82</v>
      </c>
      <c r="BT4" s="4" t="s">
        <v>83</v>
      </c>
      <c r="BU4" s="4" t="s">
        <v>84</v>
      </c>
      <c r="BV4" s="4" t="s">
        <v>85</v>
      </c>
      <c r="BW4" s="4" t="s">
        <v>86</v>
      </c>
      <c r="BX4" s="4" t="s">
        <v>87</v>
      </c>
      <c r="BY4" s="4" t="s">
        <v>88</v>
      </c>
      <c r="BZ4" s="4" t="s">
        <v>89</v>
      </c>
      <c r="CA4" s="4" t="s">
        <v>90</v>
      </c>
      <c r="CB4" s="4" t="s">
        <v>91</v>
      </c>
      <c r="CC4" s="4" t="s">
        <v>92</v>
      </c>
      <c r="CD4" s="4" t="s">
        <v>93</v>
      </c>
      <c r="CE4" s="4" t="s">
        <v>94</v>
      </c>
      <c r="CF4" s="4" t="s">
        <v>95</v>
      </c>
      <c r="CG4" s="4" t="s">
        <v>96</v>
      </c>
      <c r="CH4" s="4" t="s">
        <v>97</v>
      </c>
      <c r="CI4" s="4" t="s">
        <v>98</v>
      </c>
      <c r="CJ4" s="4" t="s">
        <v>99</v>
      </c>
      <c r="CK4" s="4" t="s">
        <v>100</v>
      </c>
      <c r="CL4" s="4" t="s">
        <v>101</v>
      </c>
      <c r="CM4" s="4" t="s">
        <v>102</v>
      </c>
      <c r="CN4" s="4" t="s">
        <v>103</v>
      </c>
    </row>
    <row r="5" spans="1:92" x14ac:dyDescent="0.35">
      <c r="A5" s="3" t="s">
        <v>104</v>
      </c>
      <c r="B5" s="4">
        <f>VLOOKUP(A5,PriceData!$K$4:$L$6,2,FALSE)</f>
        <v>1100</v>
      </c>
      <c r="C5" s="46">
        <f>VLOOKUP(A5,PriceData!$K$4:$M$6,3,FALSE)</f>
        <v>0.02</v>
      </c>
      <c r="D5" s="4" t="s">
        <v>105</v>
      </c>
      <c r="E5" s="4" t="s">
        <v>106</v>
      </c>
      <c r="F5" s="4">
        <v>25</v>
      </c>
      <c r="H5" s="4"/>
      <c r="I5" s="5">
        <v>40256</v>
      </c>
      <c r="J5" s="46">
        <f t="shared" ref="J5:J36" si="0">FindImpliedVol(A5, D5, G5, I5)</f>
        <v>0</v>
      </c>
      <c r="K5" s="30"/>
      <c r="L5" s="2">
        <f t="shared" ref="L5:L36" si="1">BSPrice($B5,$J5, $K5, $C5, ($I5-$B$1)/365, $G5, $H5, $D5)</f>
        <v>1095.9089961921936</v>
      </c>
      <c r="M5" s="2">
        <f t="shared" ref="M5:M36" si="2">F5*L5</f>
        <v>27397.72490480484</v>
      </c>
      <c r="N5" s="4" t="s">
        <v>107</v>
      </c>
      <c r="O5" s="4"/>
      <c r="P5" s="60">
        <f t="shared" ref="P5:P36" si="3">BSDelta(B5, J5, K5, C5, (I5-$B$1)/365, G5, H5, D5)</f>
        <v>1095.9089961921936</v>
      </c>
      <c r="Q5" s="60">
        <f t="shared" ref="Q5:Q36" si="4">BSGamma(B5, J5, K5, C5, (I5-$B$1)/365, G5, D5)</f>
        <v>0</v>
      </c>
      <c r="R5" s="58">
        <f t="shared" ref="R5:R36" si="5">BSVega(B5, J5, K5, C5, (I5-$B$1)/365,G5, D5)</f>
        <v>0</v>
      </c>
      <c r="S5" s="58">
        <f t="shared" ref="S5:S36" si="6">BSVolga(B5, J5, K5, C5, (I5-$B$1)/365,G5, D5)</f>
        <v>0</v>
      </c>
      <c r="T5" s="58">
        <f t="shared" ref="T5:T36" si="7">BSTheta(B5,J5,K5, C5, (I5-$B$1)/365, G5, H5, D5)</f>
        <v>6.0049808010531155E-2</v>
      </c>
      <c r="U5" s="2">
        <f t="shared" ref="U5:U36" si="8">BSRho(B5, J5, K5, C5, (I5-$B$1)/365, G5, H5, D5)</f>
        <v>2.0416934723580598</v>
      </c>
      <c r="V5" s="65">
        <f t="shared" ref="V5:V36" si="9">$F5*$P5</f>
        <v>27397.72490480484</v>
      </c>
      <c r="W5" s="65">
        <f t="shared" ref="W5:W36" si="10">$F5*$Q5</f>
        <v>0</v>
      </c>
      <c r="X5" s="78">
        <f t="shared" ref="X5:X36" si="11">$F5*R5</f>
        <v>0</v>
      </c>
      <c r="Y5" s="78">
        <f t="shared" ref="Y5:Y36" si="12">$F5*S5</f>
        <v>0</v>
      </c>
      <c r="Z5" s="78">
        <f t="shared" ref="Z5:Z36" si="13">$F5*T5</f>
        <v>1.5012452002632788</v>
      </c>
      <c r="AA5" s="78">
        <f t="shared" ref="AA5:AA36" si="14">$F5*U5</f>
        <v>51.042336808951497</v>
      </c>
      <c r="AB5" s="78">
        <f t="shared" ref="AB5:AB36" si="15">(BSPrice($B5*0.8,$J5, $K5, $C5, ($I5-$B$1)/365, $G5, $H5, $D5) - BSPrice($B5,$J5, $K5, $C5, ($I5-$B$1)/365, $G5, $H5, $D5)) * $F5</f>
        <v>-5479.5449809609663</v>
      </c>
      <c r="AC5" s="78">
        <f t="shared" ref="AC5:AC36" si="16">(BSPrice($B5*0.9,$J5, $K5, $C5, ($I5-$B$1)/365, $G5, $H5, $D5) - BSPrice($B5,$J5, $K5, $C5, ($I5-$B$1)/365, $G5, $H5, $D5)) * $F5</f>
        <v>-2739.7724904804845</v>
      </c>
      <c r="AD5" s="78">
        <f t="shared" ref="AD5:AD36" si="17">(BSPrice($B5*0.95,$J5, $K5, $C5, ($I5-$B$1)/365, $G5, $H5, $D5) - BSPrice($B5,$J5, $K5, $C5, ($I5-$B$1)/365, $G5, $H5, $D5)) * $F5</f>
        <v>-1369.8862452402409</v>
      </c>
      <c r="AE5" s="78">
        <f t="shared" ref="AE5:AE36" si="18">(BSPrice($B5*0.98,$J5, $K5, $C5, ($I5-$B$1)/365, $G5, $H5, $D5) - BSPrice($B5,$J5, $K5, $C5, ($I5-$B$1)/365, $G5, $H5, $D5)) * $F5</f>
        <v>-547.95449809609522</v>
      </c>
      <c r="AF5" s="78">
        <f t="shared" ref="AF5:AF36" si="19">(BSPrice($B5*1.02,$J5, $K5, $C5, ($I5-$B$1)/365, $G5, $H5, $D5) - BSPrice($B5,$J5, $K5, $C5, ($I5-$B$1)/365, $G5, $H5, $D5)) * $F5</f>
        <v>547.95449809609522</v>
      </c>
      <c r="AG5" s="78">
        <f t="shared" ref="AG5:AG36" si="20">(BSPrice($B5*1.05,$J5, $K5, $C5, ($I5-$B$1)/365, $G5, $H5, $D5) - BSPrice($B5,$J5, $K5, $C5, ($I5-$B$1)/365, $G5, $H5, $D5)) * $F5</f>
        <v>1369.8862452402409</v>
      </c>
      <c r="AH5" s="78">
        <f t="shared" ref="AH5:AH36" si="21">(BSPrice($B5*1.1,$J5, $K5, $C5, ($I5-$B$1)/365, $G5, $H5, $D5) - BSPrice($B5,$J5, $K5, $C5, ($I5-$B$1)/365, $G5, $H5, $D5)) * $F5</f>
        <v>2739.7724904804872</v>
      </c>
      <c r="AI5" s="78">
        <f t="shared" ref="AI5:AI36" si="22">(BSPrice($B5*1.2,$J5, $K5, $C5, ($I5-$B$1)/365, $G5, $H5, $D5) - BSPrice($B5,$J5, $K5, $C5, ($I5-$B$1)/365, $G5, $H5, $D5)) * $F5</f>
        <v>5479.544980960969</v>
      </c>
      <c r="AJ5" s="78">
        <f t="shared" ref="AJ5:AJ36" si="23">(BSPrice($B5,$J5-0.1, $K5, $C5, ($I5-$B$1)/365, $G5, $H5, $D5) - BSPrice($B5,$J5, $K5, $C5, ($I5-$B$1)/365, $G5, $H5, $D5)) * $F5</f>
        <v>0</v>
      </c>
      <c r="AK5" s="78">
        <f t="shared" ref="AK5:AK36" si="24">(BSPrice($B5,$J5-0.05,$K5,$C5,($I5-$B$1)/365,$G5,$H5,$D5)-BSPrice($B5,$J5,$K5,$C5,($I5-$B$1)/365,$G5,$H5,$D5))*$F5</f>
        <v>0</v>
      </c>
      <c r="AL5" s="78">
        <f t="shared" ref="AL5:AL36" si="25">(BSPrice($B5,$J5-0.02, $K5, $C5, ($I5-$B$1)/365, $G5, $H5, $D5) - BSPrice($B5,$J5, $K5, $C5, ($I5-$B$1)/365, $G5, $H5, $D5)) * $F5</f>
        <v>0</v>
      </c>
      <c r="AM5" s="78">
        <f t="shared" ref="AM5:AM36" si="26">(BSPrice($B5,$J5-0.01, $K5, $C5, ($I5-$B$1)/365, $G5, $H5, $D5) - BSPrice($B5,$J5, $K5, $C5, ($I5-$B$1)/365, $G5, $H5, $D5)) * $F5</f>
        <v>0</v>
      </c>
      <c r="AN5" s="78">
        <f t="shared" ref="AN5:AN36" si="27">(BSPrice($B5,$J5+0.01, $K5, $C5, ($I5-$B$1)/365, $G5, $H5, $D5) - BSPrice($B5,$J5, $K5, $C5, ($I5-$B$1)/365, $G5, $H5, $D5)) * $F5</f>
        <v>0</v>
      </c>
      <c r="AO5" s="78">
        <f t="shared" ref="AO5:AO36" si="28">(BSPrice($B5,$J5+0.02, $K5, $C5, ($I5-$B$1)/365, $G5, $H5, $D5) - BSPrice($B5,$J5, $K5, $C5, ($I5-$B$1)/365, $G5, $H5, $D5)) * $F5</f>
        <v>0</v>
      </c>
      <c r="AP5" s="78">
        <f t="shared" ref="AP5:AP36" si="29">(BSPrice($B5,$J5+0.05, $K5, $C5, ($I5-$B$1)/365, $G5, $H5, $D5) - BSPrice($B5,$J5, $K5, $C5, ($I5-$B$1)/365, $G5, $H5, $D5)) * $F5</f>
        <v>0</v>
      </c>
      <c r="AQ5" s="78">
        <f t="shared" ref="AQ5:AQ36" si="30">(BSPrice($B5,$J5+0.1, $K5, $C5, ($I5-$B$1)/365, $G5, $H5, $D5) - BSPrice($B5,$J5, $K5, $C5, ($I5-$B$1)/365, $G5, $H5, $D5)) * $F5</f>
        <v>0</v>
      </c>
      <c r="AR5" s="60">
        <f t="shared" ref="AR5:AR36" si="31">(BSPrice($B5*0.8,$J5+-0.05, $K5, $C5, ($I5-$B$1)/365, $G5, $H5, $D5) - BSPrice($B5,$J5, $K5, $C5, ($I5-$B$1)/365, $G5, $H5, $D5)) * $F5</f>
        <v>-5479.5449809609663</v>
      </c>
      <c r="AS5" s="60">
        <f t="shared" ref="AS5:AS36" si="32">(BSPrice($B5*0.8,$J5+-0.02, $K5, $C5, ($I5-$B$1)/365, $G5, $H5, $D5) - BSPrice($B5,$J5, $K5, $C5, ($I5-$B$1)/365, $G5, $H5, $D5)) * $F5</f>
        <v>-5479.5449809609663</v>
      </c>
      <c r="AT5" s="60">
        <f t="shared" ref="AT5:AT36" si="33">(BSPrice($B5*0.8,$J5+0, $K5, $C5, ($I5-$B$1)/365, $G5, $H5, $D5) - BSPrice($B5,$J5, $K5, $C5, ($I5-$B$1)/365, $G5, $H5, $D5)) * $F5</f>
        <v>-5479.5449809609663</v>
      </c>
      <c r="AU5" s="60">
        <f t="shared" ref="AU5:AU36" si="34">(BSPrice($B5*0.8,$J5+0.02, $K5, $C5, ($I5-$B$1)/365, $G5, $H5, $D5) - BSPrice($B5,$J5, $K5, $C5, ($I5-$B$1)/365, $G5, $H5, $D5)) * $F5</f>
        <v>-5479.5449809609663</v>
      </c>
      <c r="AV5" s="60">
        <f t="shared" ref="AV5:AV36" si="35">(BSPrice($B5*0.8,$J5+0.05, $K5, $C5, ($I5-$B$1)/365, $G5, $H5, $D5) - BSPrice($B5,$J5, $K5, $C5, ($I5-$B$1)/365, $G5, $H5, $D5)) * $F5</f>
        <v>-5479.5449809609663</v>
      </c>
      <c r="AW5" s="60">
        <f t="shared" ref="AW5:AW36" si="36">(BSPrice($B5*0.8,$J5+0.1, $K5, $C5, ($I5-$B$1)/365, $G5, $H5, $D5) - BSPrice($B5,$J5, $K5, $C5, ($I5-$B$1)/365, $G5, $H5, $D5)) * $F5</f>
        <v>-5479.5449809609663</v>
      </c>
      <c r="AX5" s="60">
        <f t="shared" ref="AX5:AX36" si="37">(BSPrice($B5*0.8,$J5+0.2, $K5, $C5, ($I5-$B$1)/365, $G5, $H5, $D5) - BSPrice($B5,$J5, $K5, $C5, ($I5-$B$1)/365, $G5, $H5, $D5)) * $F5</f>
        <v>-5479.5449809609663</v>
      </c>
      <c r="AY5" s="60">
        <f t="shared" ref="AY5:AY36" si="38">(BSPrice($B5*0.9,$J5+-0.05, $K5, $C5, ($I5-$B$1)/365, $G5, $H5, $D5) - BSPrice($B5,$J5, $K5, $C5, ($I5-$B$1)/365, $G5, $H5, $D5)) * $F5</f>
        <v>-2739.7724904804845</v>
      </c>
      <c r="AZ5" s="60">
        <f t="shared" ref="AZ5:AZ36" si="39">(BSPrice($B5*0.9,$J5+-0.02, $K5, $C5, ($I5-$B$1)/365, $G5, $H5, $D5) - BSPrice($B5,$J5, $K5, $C5, ($I5-$B$1)/365, $G5, $H5, $D5)) * $F5</f>
        <v>-2739.7724904804845</v>
      </c>
      <c r="BA5" s="60">
        <f t="shared" ref="BA5:BA36" si="40">(BSPrice($B5*0.9,$J5+0, $K5, $C5, ($I5-$B$1)/365, $G5, $H5, $D5) - BSPrice($B5,$J5, $K5, $C5, ($I5-$B$1)/365, $G5, $H5, $D5)) * $F5</f>
        <v>-2739.7724904804845</v>
      </c>
      <c r="BB5" s="60">
        <f t="shared" ref="BB5:BB36" si="41">(BSPrice($B5*0.9,$J5+0.02, $K5, $C5, ($I5-$B$1)/365, $G5, $H5, $D5) - BSPrice($B5,$J5, $K5, $C5, ($I5-$B$1)/365, $G5, $H5, $D5)) * $F5</f>
        <v>-2739.7724904804845</v>
      </c>
      <c r="BC5" s="60">
        <f t="shared" ref="BC5:BC36" si="42">(BSPrice($B5*0.9,$J5+0.05, $K5, $C5, ($I5-$B$1)/365, $G5, $H5, $D5) - BSPrice($B5,$J5, $K5, $C5, ($I5-$B$1)/365, $G5, $H5, $D5)) * $F5</f>
        <v>-2739.7724904804845</v>
      </c>
      <c r="BD5" s="60">
        <f t="shared" ref="BD5:BD36" si="43">(BSPrice($B5*0.9,$J5+0.1, $K5, $C5, ($I5-$B$1)/365, $G5, $H5, $D5) - BSPrice($B5,$J5, $K5, $C5, ($I5-$B$1)/365, $G5, $H5, $D5)) * $F5</f>
        <v>-2739.7724904804845</v>
      </c>
      <c r="BE5" s="60">
        <f t="shared" ref="BE5:BE36" si="44">(BSPrice($B5*0.9,$J5+0.2, $K5, $C5, ($I5-$B$1)/365, $G5, $H5, $D5) - BSPrice($B5,$J5, $K5, $C5, ($I5-$B$1)/365, $G5, $H5, $D5)) * $F5</f>
        <v>-2739.7724904804845</v>
      </c>
      <c r="BF5" s="60">
        <f t="shared" ref="BF5:BF36" si="45">(BSPrice($B5*0.95,$J5+-0.05, $K5, $C5, ($I5-$B$1)/365, $G5, $H5, $D5) - BSPrice($B5,$J5, $K5, $C5, ($I5-$B$1)/365, $G5, $H5, $D5)) * $F5</f>
        <v>-1369.8862452402409</v>
      </c>
      <c r="BG5" s="60">
        <f t="shared" ref="BG5:BG36" si="46">(BSPrice($B5*0.95,$J5+-0.02, $K5, $C5, ($I5-$B$1)/365, $G5, $H5, $D5) - BSPrice($B5,$J5, $K5, $C5, ($I5-$B$1)/365, $G5, $H5, $D5)) * $F5</f>
        <v>-1369.8862452402409</v>
      </c>
      <c r="BH5" s="60">
        <f t="shared" ref="BH5:BH36" si="47">(BSPrice($B5*0.95,$J5+0, $K5, $C5, ($I5-$B$1)/365, $G5, $H5, $D5) - BSPrice($B5,$J5, $K5, $C5, ($I5-$B$1)/365, $G5, $H5, $D5)) * $F5</f>
        <v>-1369.8862452402409</v>
      </c>
      <c r="BI5" s="60">
        <f t="shared" ref="BI5:BI36" si="48">(BSPrice($B5*0.95,$J5+0.02, $K5, $C5, ($I5-$B$1)/365, $G5, $H5, $D5) - BSPrice($B5,$J5, $K5, $C5, ($I5-$B$1)/365, $G5, $H5, $D5)) * $F5</f>
        <v>-1369.8862452402409</v>
      </c>
      <c r="BJ5" s="60">
        <f t="shared" ref="BJ5:BJ36" si="49">(BSPrice($B5*0.95,$J5+0.05, $K5, $C5, ($I5-$B$1)/365, $G5, $H5, $D5) - BSPrice($B5,$J5, $K5, $C5, ($I5-$B$1)/365, $G5, $H5, $D5)) * $F5</f>
        <v>-1369.8862452402409</v>
      </c>
      <c r="BK5" s="60">
        <f t="shared" ref="BK5:BK36" si="50">(BSPrice($B5*0.95,$J5+0.1, $K5, $C5, ($I5-$B$1)/365, $G5, $H5, $D5) - BSPrice($B5,$J5, $K5, $C5, ($I5-$B$1)/365, $G5, $H5, $D5)) * $F5</f>
        <v>-1369.8862452402409</v>
      </c>
      <c r="BL5" s="60">
        <f t="shared" ref="BL5:BL36" si="51">(BSPrice($B5*0.95,$J5+0.2, $K5, $C5, ($I5-$B$1)/365, $G5, $H5, $D5) - BSPrice($B5,$J5, $K5, $C5, ($I5-$B$1)/365, $G5, $H5, $D5)) * $F5</f>
        <v>-1369.8862452402409</v>
      </c>
      <c r="BM5" s="60">
        <f t="shared" ref="BM5:BM36" si="52">(BSPrice($B5*1,$J5+-0.05, $K5, $C5, ($I5-$B$1)/365, $G5, $H5, $D5) - BSPrice($B5,$J5, $K5, $C5, ($I5-$B$1)/365, $G5, $H5, $D5)) * $F5</f>
        <v>0</v>
      </c>
      <c r="BN5" s="60">
        <f t="shared" ref="BN5:BN36" si="53">(BSPrice($B5*1,$J5+-0.02, $K5, $C5, ($I5-$B$1)/365, $G5, $H5, $D5) - BSPrice($B5,$J5, $K5, $C5, ($I5-$B$1)/365, $G5, $H5, $D5)) * $F5</f>
        <v>0</v>
      </c>
      <c r="BO5" s="60">
        <f t="shared" ref="BO5:BO36" si="54">(BSPrice($B5*1,$J5+0, $K5, $C5, ($I5-$B$1)/365, $G5, $H5, $D5) - BSPrice($B5,$J5, $K5, $C5, ($I5-$B$1)/365, $G5, $H5, $D5)) * $F5</f>
        <v>0</v>
      </c>
      <c r="BP5" s="60">
        <f t="shared" ref="BP5:BP36" si="55">(BSPrice($B5*1,$J5+0.02, $K5, $C5, ($I5-$B$1)/365, $G5, $H5, $D5) - BSPrice($B5,$J5, $K5, $C5, ($I5-$B$1)/365, $G5, $H5, $D5)) * $F5</f>
        <v>0</v>
      </c>
      <c r="BQ5" s="60">
        <f t="shared" ref="BQ5:BQ36" si="56">(BSPrice($B5*1,$J5+0.05, $K5, $C5, ($I5-$B$1)/365, $G5, $H5, $D5) - BSPrice($B5,$J5, $K5, $C5, ($I5-$B$1)/365, $G5, $H5, $D5)) * $F5</f>
        <v>0</v>
      </c>
      <c r="BR5" s="60">
        <f t="shared" ref="BR5:BR36" si="57">(BSPrice($B5*1,$J5+0.1, $K5, $C5, ($I5-$B$1)/365, $G5, $H5, $D5) - BSPrice($B5,$J5, $K5, $C5, ($I5-$B$1)/365, $G5, $H5, $D5)) * $F5</f>
        <v>0</v>
      </c>
      <c r="BS5" s="60">
        <f t="shared" ref="BS5:BS36" si="58">(BSPrice($B5*1,$J5+0.2, $K5, $C5, ($I5-$B$1)/365, $G5, $H5, $D5) - BSPrice($B5,$J5, $K5, $C5, ($I5-$B$1)/365, $G5, $H5, $D5)) * $F5</f>
        <v>0</v>
      </c>
      <c r="BT5" s="60">
        <f t="shared" ref="BT5:BT36" si="59">(BSPrice($B5*1.05,$J5+-0.05, $K5, $C5, ($I5-$B$1)/365, $G5, $H5, $D5) - BSPrice($B5,$J5, $K5, $C5, ($I5-$B$1)/365, $G5, $H5, $D5)) * $F5</f>
        <v>1369.8862452402409</v>
      </c>
      <c r="BU5" s="60">
        <f t="shared" ref="BU5:BU36" si="60">(BSPrice($B5*1.05,$J5+-0.02, $K5, $C5, ($I5-$B$1)/365, $G5, $H5, $D5) - BSPrice($B5,$J5, $K5, $C5, ($I5-$B$1)/365, $G5, $H5, $D5)) * $F5</f>
        <v>1369.8862452402409</v>
      </c>
      <c r="BV5" s="60">
        <f t="shared" ref="BV5:BV36" si="61">(BSPrice($B5*1.05,$J5+0, $K5, $C5, ($I5-$B$1)/365, $G5, $H5, $D5) - BSPrice($B5,$J5, $K5, $C5, ($I5-$B$1)/365, $G5, $H5, $D5)) * $F5</f>
        <v>1369.8862452402409</v>
      </c>
      <c r="BW5" s="60">
        <f t="shared" ref="BW5:BW36" si="62">(BSPrice($B5*1.05,$J5+0.02, $K5, $C5, ($I5-$B$1)/365, $G5, $H5, $D5) - BSPrice($B5,$J5, $K5, $C5, ($I5-$B$1)/365, $G5, $H5, $D5)) * $F5</f>
        <v>1369.8862452402409</v>
      </c>
      <c r="BX5" s="60">
        <f t="shared" ref="BX5:BX36" si="63">(BSPrice($B5*1.05,$J5+0.05, $K5, $C5, ($I5-$B$1)/365, $G5, $H5, $D5) - BSPrice($B5,$J5, $K5, $C5, ($I5-$B$1)/365, $G5, $H5, $D5)) * $F5</f>
        <v>1369.8862452402409</v>
      </c>
      <c r="BY5" s="60">
        <f t="shared" ref="BY5:BY36" si="64">(BSPrice($B5*1.05,$J5+0.1, $K5, $C5, ($I5-$B$1)/365, $G5, $H5, $D5) - BSPrice($B5,$J5, $K5, $C5, ($I5-$B$1)/365, $G5, $H5, $D5)) * $F5</f>
        <v>1369.8862452402409</v>
      </c>
      <c r="BZ5" s="60">
        <f t="shared" ref="BZ5:BZ36" si="65">(BSPrice($B5*1.05,$J5+0.2, $K5, $C5, ($I5-$B$1)/365, $G5, $H5, $D5) - BSPrice($B5,$J5, $K5, $C5, ($I5-$B$1)/365, $G5, $H5, $D5)) * $F5</f>
        <v>1369.8862452402409</v>
      </c>
      <c r="CA5" s="60">
        <f t="shared" ref="CA5:CA36" si="66">(BSPrice($B5*1.1,$J5+-0.05, $K5, $C5, ($I5-$B$1)/365, $G5, $H5, $D5) - BSPrice($B5,$J5, $K5, $C5, ($I5-$B$1)/365, $G5, $H5, $D5)) * $F5</f>
        <v>2739.7724904804872</v>
      </c>
      <c r="CB5" s="60">
        <f t="shared" ref="CB5:CB36" si="67">(BSPrice($B5*1.1,$J5+-0.02, $K5, $C5, ($I5-$B$1)/365, $G5, $H5, $D5) - BSPrice($B5,$J5, $K5, $C5, ($I5-$B$1)/365, $G5, $H5, $D5)) * $F5</f>
        <v>2739.7724904804872</v>
      </c>
      <c r="CC5" s="60">
        <f t="shared" ref="CC5:CC36" si="68">(BSPrice($B5*1.1,$J5+0, $K5, $C5, ($I5-$B$1)/365, $G5, $H5, $D5) - BSPrice($B5,$J5, $K5, $C5, ($I5-$B$1)/365, $G5, $H5, $D5)) * $F5</f>
        <v>2739.7724904804872</v>
      </c>
      <c r="CD5" s="60">
        <f t="shared" ref="CD5:CD36" si="69">(BSPrice($B5*1.1,$J5+0.02, $K5, $C5, ($I5-$B$1)/365, $G5, $H5, $D5) - BSPrice($B5,$J5, $K5, $C5, ($I5-$B$1)/365, $G5, $H5, $D5)) * $F5</f>
        <v>2739.7724904804872</v>
      </c>
      <c r="CE5" s="60">
        <f t="shared" ref="CE5:CE36" si="70">(BSPrice($B5*1.1,$J5+0.05, $K5, $C5, ($I5-$B$1)/365, $G5, $H5, $D5) - BSPrice($B5,$J5, $K5, $C5, ($I5-$B$1)/365, $G5, $H5, $D5)) * $F5</f>
        <v>2739.7724904804872</v>
      </c>
      <c r="CF5" s="60">
        <f t="shared" ref="CF5:CF36" si="71">(BSPrice($B5*1.1,$J5+0.1, $K5, $C5, ($I5-$B$1)/365, $G5, $H5, $D5) - BSPrice($B5,$J5, $K5, $C5, ($I5-$B$1)/365, $G5, $H5, $D5)) * $F5</f>
        <v>2739.7724904804872</v>
      </c>
      <c r="CG5" s="60">
        <f t="shared" ref="CG5:CG36" si="72">(BSPrice($B5*1.1,$J5+0.2, $K5, $C5, ($I5-$B$1)/365, $G5, $H5, $D5) - BSPrice($B5,$J5, $K5, $C5, ($I5-$B$1)/365, $G5, $H5, $D5)) * $F5</f>
        <v>2739.7724904804872</v>
      </c>
      <c r="CH5" s="60">
        <f t="shared" ref="CH5:CH36" si="73">(BSPrice($B5*1.2,$J5+-0.05, $K5, $C5, ($I5-$B$1)/365, $G5, $H5, $D5) - BSPrice($B5,$J5, $K5, $C5, ($I5-$B$1)/365, $G5, $H5, $D5)) * $F5</f>
        <v>5479.544980960969</v>
      </c>
      <c r="CI5" s="60">
        <f t="shared" ref="CI5:CI36" si="74">(BSPrice($B5*1.2,$J5+-0.02, $K5, $C5, ($I5-$B$1)/365, $G5, $H5, $D5) - BSPrice($B5,$J5, $K5, $C5, ($I5-$B$1)/365, $G5, $H5, $D5)) * $F5</f>
        <v>5479.544980960969</v>
      </c>
      <c r="CJ5" s="60">
        <f t="shared" ref="CJ5:CJ36" si="75">(BSPrice($B5*1.2,$J5+0, $K5, $C5, ($I5-$B$1)/365, $G5, $H5, $D5) - BSPrice($B5,$J5, $K5, $C5, ($I5-$B$1)/365, $G5, $H5, $D5)) * $F5</f>
        <v>5479.544980960969</v>
      </c>
      <c r="CK5" s="60">
        <f t="shared" ref="CK5:CK36" si="76">(BSPrice($B5*1.2,$J5+0.02, $K5, $C5, ($I5-$B$1)/365, $G5, $H5, $D5) - BSPrice($B5,$J5, $K5, $C5, ($I5-$B$1)/365, $G5, $H5, $D5)) * $F5</f>
        <v>5479.544980960969</v>
      </c>
      <c r="CL5" s="60">
        <f t="shared" ref="CL5:CL36" si="77">(BSPrice($B5*1.2,$J5+0.05, $K5, $C5, ($I5-$B$1)/365, $G5, $H5, $D5) - BSPrice($B5,$J5, $K5, $C5, ($I5-$B$1)/365, $G5, $H5, $D5)) * $F5</f>
        <v>5479.544980960969</v>
      </c>
      <c r="CM5" s="60">
        <f t="shared" ref="CM5:CM36" si="78">(BSPrice($B5*1.2,$J5+0.1, $K5, $C5, ($I5-$B$1)/365, $G5, $H5, $D5) - BSPrice($B5,$J5, $K5, $C5, ($I5-$B$1)/365, $G5, $H5, $D5)) * $F5</f>
        <v>5479.544980960969</v>
      </c>
      <c r="CN5" s="60">
        <f t="shared" ref="CN5:CN36" si="79">(BSPrice($B5*1.2,$J5+0.2, $K5, $C5, ($I5-$B$1)/365, $G5, $H5, $D5) - BSPrice($B5,$J5, $K5, $C5, ($I5-$B$1)/365, $G5, $H5, $D5)) * $F5</f>
        <v>5479.544980960969</v>
      </c>
    </row>
    <row r="6" spans="1:92" x14ac:dyDescent="0.35">
      <c r="A6" s="3" t="s">
        <v>104</v>
      </c>
      <c r="B6" s="4">
        <f>VLOOKUP(A6,PriceData!$K$4:$L$6,2,FALSE)</f>
        <v>1100</v>
      </c>
      <c r="C6" s="46">
        <f>VLOOKUP(A6,PriceData!$K$4:$M$6,3,FALSE)</f>
        <v>0.02</v>
      </c>
      <c r="D6" s="4" t="s">
        <v>108</v>
      </c>
      <c r="E6" s="4" t="s">
        <v>106</v>
      </c>
      <c r="F6" s="4">
        <v>200</v>
      </c>
      <c r="G6" s="4">
        <v>935</v>
      </c>
      <c r="H6" s="4" t="s">
        <v>109</v>
      </c>
      <c r="I6" s="5">
        <v>40256</v>
      </c>
      <c r="J6" s="46">
        <f t="shared" si="0"/>
        <v>0.53252581704856539</v>
      </c>
      <c r="K6" s="30">
        <f>VLOOKUP(I6,PriceData!$A$5:$D$7,MATCH($E6,PriceData!$A$4:$D$4,0),FALSE)</f>
        <v>1.0999999999999999E-2</v>
      </c>
      <c r="L6" s="2">
        <f t="shared" si="1"/>
        <v>33.099391475391343</v>
      </c>
      <c r="M6" s="2">
        <f t="shared" si="2"/>
        <v>6619.8782950782688</v>
      </c>
      <c r="N6" s="4" t="s">
        <v>107</v>
      </c>
      <c r="O6" s="4"/>
      <c r="P6" s="60">
        <f t="shared" si="3"/>
        <v>-227.53807010424387</v>
      </c>
      <c r="Q6" s="60">
        <f t="shared" si="4"/>
        <v>682.4660394628205</v>
      </c>
      <c r="R6" s="58">
        <f t="shared" si="5"/>
        <v>1.3541530629344063</v>
      </c>
      <c r="S6" s="58">
        <f t="shared" si="6"/>
        <v>121.15868454404917</v>
      </c>
      <c r="T6" s="58">
        <f t="shared" si="7"/>
        <v>-0.53484938408966598</v>
      </c>
      <c r="U6" s="2">
        <f t="shared" si="8"/>
        <v>-0.48557116129904643</v>
      </c>
      <c r="V6" s="65">
        <f t="shared" si="9"/>
        <v>-45507.614020848778</v>
      </c>
      <c r="W6" s="65">
        <f t="shared" si="10"/>
        <v>136493.2078925641</v>
      </c>
      <c r="X6" s="78">
        <f t="shared" si="11"/>
        <v>270.83061258688127</v>
      </c>
      <c r="Y6" s="78">
        <f t="shared" si="12"/>
        <v>24231.736908809835</v>
      </c>
      <c r="Z6" s="78">
        <f t="shared" si="13"/>
        <v>-106.9698768179332</v>
      </c>
      <c r="AA6" s="78">
        <f t="shared" si="14"/>
        <v>-97.114232259809285</v>
      </c>
      <c r="AB6" s="78">
        <f t="shared" si="15"/>
        <v>16176.792892622467</v>
      </c>
      <c r="AC6" s="78">
        <f t="shared" si="16"/>
        <v>6125.4787613437029</v>
      </c>
      <c r="AD6" s="78">
        <f t="shared" si="17"/>
        <v>2642.7870083868756</v>
      </c>
      <c r="AE6" s="78">
        <f t="shared" si="18"/>
        <v>966.4139176153185</v>
      </c>
      <c r="AF6" s="78">
        <f t="shared" si="19"/>
        <v>-857.19662292378302</v>
      </c>
      <c r="AG6" s="78">
        <f t="shared" si="20"/>
        <v>-1959.4508150206252</v>
      </c>
      <c r="AH6" s="78">
        <f t="shared" si="21"/>
        <v>-3382.6881424429357</v>
      </c>
      <c r="AI6" s="78">
        <f t="shared" si="22"/>
        <v>-5110.6296095527168</v>
      </c>
      <c r="AJ6" s="78">
        <f t="shared" si="23"/>
        <v>-2563.8568277909426</v>
      </c>
      <c r="AK6" s="78">
        <f t="shared" si="24"/>
        <v>-1321.1729135165683</v>
      </c>
      <c r="AL6" s="78">
        <f t="shared" si="25"/>
        <v>-536.65029813618048</v>
      </c>
      <c r="AM6" s="78">
        <f t="shared" si="26"/>
        <v>-269.59875384072802</v>
      </c>
      <c r="AN6" s="78">
        <f t="shared" si="27"/>
        <v>272.02250531653362</v>
      </c>
      <c r="AO6" s="78">
        <f t="shared" si="28"/>
        <v>546.35224139019556</v>
      </c>
      <c r="AP6" s="78">
        <f t="shared" si="29"/>
        <v>1382.114596725404</v>
      </c>
      <c r="AQ6" s="78">
        <f t="shared" si="30"/>
        <v>2812.0320499081627</v>
      </c>
      <c r="AR6" s="60">
        <f t="shared" si="31"/>
        <v>14690.178597666221</v>
      </c>
      <c r="AS6" s="60">
        <f t="shared" si="32"/>
        <v>15580.947429352233</v>
      </c>
      <c r="AT6" s="60">
        <f t="shared" si="33"/>
        <v>16176.792892622467</v>
      </c>
      <c r="AU6" s="60">
        <f t="shared" si="34"/>
        <v>16773.990673100838</v>
      </c>
      <c r="AV6" s="60">
        <f t="shared" si="35"/>
        <v>17671.932409161756</v>
      </c>
      <c r="AW6" s="60">
        <f t="shared" si="36"/>
        <v>19172.992349309909</v>
      </c>
      <c r="AX6" s="60">
        <f t="shared" si="37"/>
        <v>22185.70311687468</v>
      </c>
      <c r="AY6" s="60">
        <f t="shared" si="38"/>
        <v>4535.4033425655925</v>
      </c>
      <c r="AZ6" s="60">
        <f t="shared" si="39"/>
        <v>5488.4777820637792</v>
      </c>
      <c r="BA6" s="60">
        <f t="shared" si="40"/>
        <v>6125.4787613437029</v>
      </c>
      <c r="BB6" s="60">
        <f t="shared" si="41"/>
        <v>6763.5605160404621</v>
      </c>
      <c r="BC6" s="60">
        <f t="shared" si="42"/>
        <v>7722.3718592347896</v>
      </c>
      <c r="BD6" s="60">
        <f t="shared" si="43"/>
        <v>9323.8282076963114</v>
      </c>
      <c r="BE6" s="60">
        <f t="shared" si="44"/>
        <v>12534.191395434817</v>
      </c>
      <c r="BF6" s="60">
        <f t="shared" si="45"/>
        <v>1154.4754110684778</v>
      </c>
      <c r="BG6" s="60">
        <f t="shared" si="46"/>
        <v>2043.3037723154314</v>
      </c>
      <c r="BH6" s="60">
        <f t="shared" si="47"/>
        <v>2642.7870083868756</v>
      </c>
      <c r="BI6" s="60">
        <f t="shared" si="48"/>
        <v>3247.1134463534609</v>
      </c>
      <c r="BJ6" s="60">
        <f t="shared" si="49"/>
        <v>4161.569811071462</v>
      </c>
      <c r="BK6" s="60">
        <f t="shared" si="50"/>
        <v>5703.3873977185694</v>
      </c>
      <c r="BL6" s="60">
        <f t="shared" si="51"/>
        <v>8835.6213494183121</v>
      </c>
      <c r="BM6" s="60">
        <f t="shared" si="52"/>
        <v>-1321.1729135165683</v>
      </c>
      <c r="BN6" s="60">
        <f t="shared" si="53"/>
        <v>-536.65029813618048</v>
      </c>
      <c r="BO6" s="60">
        <f t="shared" si="54"/>
        <v>0</v>
      </c>
      <c r="BP6" s="60">
        <f t="shared" si="55"/>
        <v>546.35224139019556</v>
      </c>
      <c r="BQ6" s="60">
        <f t="shared" si="56"/>
        <v>1382.114596725404</v>
      </c>
      <c r="BR6" s="60">
        <f t="shared" si="57"/>
        <v>2812.0320499081627</v>
      </c>
      <c r="BS6" s="60">
        <f t="shared" si="58"/>
        <v>5777.7378316767399</v>
      </c>
      <c r="BT6" s="60">
        <f t="shared" si="59"/>
        <v>-3080.5867133288643</v>
      </c>
      <c r="BU6" s="60">
        <f t="shared" si="60"/>
        <v>-2419.820457702599</v>
      </c>
      <c r="BV6" s="60">
        <f t="shared" si="61"/>
        <v>-1959.4508150206252</v>
      </c>
      <c r="BW6" s="60">
        <f t="shared" si="62"/>
        <v>-1484.6912306306763</v>
      </c>
      <c r="BX6" s="60">
        <f t="shared" si="63"/>
        <v>-748.08230166487419</v>
      </c>
      <c r="BY6" s="60">
        <f t="shared" si="64"/>
        <v>536.489850741998</v>
      </c>
      <c r="BZ6" s="60">
        <f t="shared" si="65"/>
        <v>3273.7428649896742</v>
      </c>
      <c r="CA6" s="60">
        <f t="shared" si="66"/>
        <v>-4298.1741201006944</v>
      </c>
      <c r="CB6" s="60">
        <f t="shared" si="67"/>
        <v>-3763.4883895629287</v>
      </c>
      <c r="CC6" s="60">
        <f t="shared" si="68"/>
        <v>-3382.6881424429357</v>
      </c>
      <c r="CD6" s="60">
        <f t="shared" si="69"/>
        <v>-2983.8851018187315</v>
      </c>
      <c r="CE6" s="60">
        <f t="shared" si="70"/>
        <v>-2354.5195579927736</v>
      </c>
      <c r="CF6" s="60">
        <f t="shared" si="71"/>
        <v>-1231.5277632403479</v>
      </c>
      <c r="CG6" s="60">
        <f t="shared" si="72"/>
        <v>1240.3575544942385</v>
      </c>
      <c r="CH6" s="60">
        <f t="shared" si="73"/>
        <v>-5666.1896798425614</v>
      </c>
      <c r="CI6" s="60">
        <f t="shared" si="74"/>
        <v>-5348.8572186071578</v>
      </c>
      <c r="CJ6" s="60">
        <f t="shared" si="75"/>
        <v>-5110.6296095527168</v>
      </c>
      <c r="CK6" s="60">
        <f t="shared" si="76"/>
        <v>-4851.7155179387883</v>
      </c>
      <c r="CL6" s="60">
        <f t="shared" si="77"/>
        <v>-4426.032161556449</v>
      </c>
      <c r="CM6" s="60">
        <f t="shared" si="78"/>
        <v>-3623.3250700034773</v>
      </c>
      <c r="CN6" s="60">
        <f t="shared" si="79"/>
        <v>-1712.4546650113643</v>
      </c>
    </row>
    <row r="7" spans="1:92" x14ac:dyDescent="0.35">
      <c r="A7" s="3" t="s">
        <v>104</v>
      </c>
      <c r="B7" s="4">
        <f>VLOOKUP(A7,PriceData!$K$4:$L$6,2,FALSE)</f>
        <v>1100</v>
      </c>
      <c r="C7" s="46">
        <f>VLOOKUP(A7,PriceData!$K$4:$M$6,3,FALSE)</f>
        <v>0.02</v>
      </c>
      <c r="D7" s="4" t="s">
        <v>108</v>
      </c>
      <c r="E7" s="4" t="s">
        <v>106</v>
      </c>
      <c r="F7" s="4">
        <v>-50</v>
      </c>
      <c r="G7" s="4">
        <v>1001</v>
      </c>
      <c r="H7" s="4" t="s">
        <v>109</v>
      </c>
      <c r="I7" s="5">
        <v>40256</v>
      </c>
      <c r="J7" s="46">
        <f t="shared" si="0"/>
        <v>0.47079318216922272</v>
      </c>
      <c r="K7" s="30">
        <f>VLOOKUP(I7,PriceData!$A$5:$D$7,MATCH($E7,PriceData!$A$4:$D$4,0),FALSE)</f>
        <v>1.0999999999999999E-2</v>
      </c>
      <c r="L7" s="2">
        <f t="shared" si="1"/>
        <v>44.908614206035793</v>
      </c>
      <c r="M7" s="2">
        <f t="shared" si="2"/>
        <v>-2245.4307103017895</v>
      </c>
      <c r="N7" s="4" t="s">
        <v>107</v>
      </c>
      <c r="P7" s="60">
        <f t="shared" si="3"/>
        <v>-316.28505947436707</v>
      </c>
      <c r="Q7" s="60">
        <f t="shared" si="4"/>
        <v>920.94642833417947</v>
      </c>
      <c r="R7" s="58">
        <f t="shared" si="5"/>
        <v>1.6155134450954702</v>
      </c>
      <c r="S7" s="58">
        <f t="shared" si="6"/>
        <v>67.766641768526227</v>
      </c>
      <c r="T7" s="58">
        <f t="shared" si="7"/>
        <v>-0.56569004325751393</v>
      </c>
      <c r="U7" s="2">
        <f t="shared" si="8"/>
        <v>-0.67290876192513405</v>
      </c>
      <c r="V7" s="65">
        <f t="shared" si="9"/>
        <v>15814.252973718354</v>
      </c>
      <c r="W7" s="65">
        <f t="shared" si="10"/>
        <v>-46047.321416708975</v>
      </c>
      <c r="X7" s="78">
        <f t="shared" si="11"/>
        <v>-80.775672254773511</v>
      </c>
      <c r="Y7" s="78">
        <f t="shared" si="12"/>
        <v>-3388.3320884263112</v>
      </c>
      <c r="Z7" s="78">
        <f t="shared" si="13"/>
        <v>28.284502162875697</v>
      </c>
      <c r="AA7" s="78">
        <f t="shared" si="14"/>
        <v>33.645438096256704</v>
      </c>
      <c r="AB7" s="78">
        <f t="shared" si="15"/>
        <v>-5357.9581345446995</v>
      </c>
      <c r="AC7" s="78">
        <f t="shared" si="16"/>
        <v>-2094.8540233587037</v>
      </c>
      <c r="AD7" s="78">
        <f t="shared" si="17"/>
        <v>-912.7971359862272</v>
      </c>
      <c r="AE7" s="78">
        <f t="shared" si="18"/>
        <v>-335.15906793332988</v>
      </c>
      <c r="AF7" s="78">
        <f t="shared" si="19"/>
        <v>298.32916912456824</v>
      </c>
      <c r="AG7" s="78">
        <f t="shared" si="20"/>
        <v>682.87633449354394</v>
      </c>
      <c r="AH7" s="78">
        <f t="shared" si="21"/>
        <v>1179.231253684982</v>
      </c>
      <c r="AI7" s="78">
        <f t="shared" si="22"/>
        <v>1774.0332923787548</v>
      </c>
      <c r="AJ7" s="78">
        <f t="shared" si="23"/>
        <v>786.35889970985886</v>
      </c>
      <c r="AK7" s="78">
        <f t="shared" si="24"/>
        <v>399.14408523136444</v>
      </c>
      <c r="AL7" s="78">
        <f t="shared" si="25"/>
        <v>160.84363834349062</v>
      </c>
      <c r="AM7" s="78">
        <f t="shared" si="26"/>
        <v>80.602573303877989</v>
      </c>
      <c r="AN7" s="78">
        <f t="shared" si="27"/>
        <v>-80.94154369867681</v>
      </c>
      <c r="AO7" s="78">
        <f t="shared" si="28"/>
        <v>-162.20116843045105</v>
      </c>
      <c r="AP7" s="78">
        <f t="shared" si="29"/>
        <v>-407.7013723889678</v>
      </c>
      <c r="AQ7" s="78">
        <f t="shared" si="30"/>
        <v>-821.66237381289307</v>
      </c>
      <c r="AR7" s="60">
        <f t="shared" si="31"/>
        <v>-5039.5501133126654</v>
      </c>
      <c r="AS7" s="60">
        <f t="shared" si="32"/>
        <v>-5228.6765399009173</v>
      </c>
      <c r="AT7" s="60">
        <f t="shared" si="33"/>
        <v>-5357.9581345446995</v>
      </c>
      <c r="AU7" s="60">
        <f t="shared" si="34"/>
        <v>-5489.4711508325909</v>
      </c>
      <c r="AV7" s="60">
        <f t="shared" si="35"/>
        <v>-5690.409143675899</v>
      </c>
      <c r="AW7" s="60">
        <f t="shared" si="36"/>
        <v>-6033.4735053109316</v>
      </c>
      <c r="AX7" s="60">
        <f t="shared" si="37"/>
        <v>-6742.1671088307985</v>
      </c>
      <c r="AY7" s="60">
        <f t="shared" si="38"/>
        <v>-1670.4556689650644</v>
      </c>
      <c r="AZ7" s="60">
        <f t="shared" si="39"/>
        <v>-1925.1229604881985</v>
      </c>
      <c r="BA7" s="60">
        <f t="shared" si="40"/>
        <v>-2094.8540233587037</v>
      </c>
      <c r="BB7" s="60">
        <f t="shared" si="41"/>
        <v>-2264.5389904492731</v>
      </c>
      <c r="BC7" s="60">
        <f t="shared" si="42"/>
        <v>-2518.9659908421477</v>
      </c>
      <c r="BD7" s="60">
        <f t="shared" si="43"/>
        <v>-2942.6955009132089</v>
      </c>
      <c r="BE7" s="60">
        <f t="shared" si="44"/>
        <v>-3788.6940224385453</v>
      </c>
      <c r="BF7" s="60">
        <f t="shared" si="45"/>
        <v>-485.81255758208215</v>
      </c>
      <c r="BG7" s="60">
        <f t="shared" si="46"/>
        <v>-741.79351226542849</v>
      </c>
      <c r="BH7" s="60">
        <f t="shared" si="47"/>
        <v>-912.7971359862272</v>
      </c>
      <c r="BI7" s="60">
        <f t="shared" si="48"/>
        <v>-1084.0271209166731</v>
      </c>
      <c r="BJ7" s="60">
        <f t="shared" si="49"/>
        <v>-1341.2140593268446</v>
      </c>
      <c r="BK7" s="60">
        <f t="shared" si="50"/>
        <v>-1770.5163410142461</v>
      </c>
      <c r="BL7" s="60">
        <f t="shared" si="51"/>
        <v>-2630.3222803107956</v>
      </c>
      <c r="BM7" s="60">
        <f t="shared" si="52"/>
        <v>399.14408523136444</v>
      </c>
      <c r="BN7" s="60">
        <f t="shared" si="53"/>
        <v>160.84363834349062</v>
      </c>
      <c r="BO7" s="60">
        <f t="shared" si="54"/>
        <v>0</v>
      </c>
      <c r="BP7" s="60">
        <f t="shared" si="55"/>
        <v>-162.20116843045105</v>
      </c>
      <c r="BQ7" s="60">
        <f t="shared" si="56"/>
        <v>-407.7013723889678</v>
      </c>
      <c r="BR7" s="60">
        <f t="shared" si="57"/>
        <v>-821.66237381289307</v>
      </c>
      <c r="BS7" s="60">
        <f t="shared" si="58"/>
        <v>-1662.3292749415043</v>
      </c>
      <c r="BT7" s="60">
        <f t="shared" si="59"/>
        <v>1033.2965517835974</v>
      </c>
      <c r="BU7" s="60">
        <f t="shared" si="60"/>
        <v>825.53174748166214</v>
      </c>
      <c r="BV7" s="60">
        <f t="shared" si="61"/>
        <v>682.87633449354394</v>
      </c>
      <c r="BW7" s="60">
        <f t="shared" si="62"/>
        <v>537.31425329880551</v>
      </c>
      <c r="BX7" s="60">
        <f t="shared" si="63"/>
        <v>314.17284098197626</v>
      </c>
      <c r="BY7" s="60">
        <f t="shared" si="64"/>
        <v>-68.46938886784244</v>
      </c>
      <c r="BZ7" s="60">
        <f t="shared" si="65"/>
        <v>-863.68047976487503</v>
      </c>
      <c r="CA7" s="60">
        <f t="shared" si="66"/>
        <v>1470.7603864949333</v>
      </c>
      <c r="CB7" s="60">
        <f t="shared" si="67"/>
        <v>1299.5292829148298</v>
      </c>
      <c r="CC7" s="60">
        <f t="shared" si="68"/>
        <v>1179.231253684982</v>
      </c>
      <c r="CD7" s="60">
        <f t="shared" si="69"/>
        <v>1054.5294796996031</v>
      </c>
      <c r="CE7" s="60">
        <f t="shared" si="70"/>
        <v>860.06766443283732</v>
      </c>
      <c r="CF7" s="60">
        <f t="shared" si="71"/>
        <v>518.98675665214705</v>
      </c>
      <c r="CG7" s="60">
        <f t="shared" si="72"/>
        <v>-212.17837355766846</v>
      </c>
      <c r="CH7" s="60">
        <f t="shared" si="73"/>
        <v>1950.7766666273085</v>
      </c>
      <c r="CI7" s="60">
        <f t="shared" si="74"/>
        <v>1849.550369302807</v>
      </c>
      <c r="CJ7" s="60">
        <f t="shared" si="75"/>
        <v>1774.0332923787548</v>
      </c>
      <c r="CK7" s="60">
        <f t="shared" si="76"/>
        <v>1692.4378809842046</v>
      </c>
      <c r="CL7" s="60">
        <f t="shared" si="77"/>
        <v>1559.3363217099081</v>
      </c>
      <c r="CM7" s="60">
        <f t="shared" si="78"/>
        <v>1311.569742964869</v>
      </c>
      <c r="CN7" s="60">
        <f t="shared" si="79"/>
        <v>735.19944679777609</v>
      </c>
    </row>
    <row r="8" spans="1:92" x14ac:dyDescent="0.35">
      <c r="A8" s="3" t="s">
        <v>104</v>
      </c>
      <c r="B8" s="4">
        <f>VLOOKUP(A8,PriceData!$K$4:$L$6,2,FALSE)</f>
        <v>1100</v>
      </c>
      <c r="C8" s="46">
        <f>VLOOKUP(A8,PriceData!$K$4:$M$6,3,FALSE)</f>
        <v>0.02</v>
      </c>
      <c r="D8" s="4" t="s">
        <v>108</v>
      </c>
      <c r="E8" s="4" t="s">
        <v>106</v>
      </c>
      <c r="F8" s="4">
        <v>25</v>
      </c>
      <c r="G8" s="4">
        <v>1100</v>
      </c>
      <c r="H8" s="4" t="s">
        <v>109</v>
      </c>
      <c r="I8" s="5">
        <v>40256</v>
      </c>
      <c r="J8" s="46">
        <f t="shared" si="0"/>
        <v>0.4092008007118651</v>
      </c>
      <c r="K8" s="30">
        <f>VLOOKUP(I8,PriceData!$A$5:$D$7,MATCH($E8,PriceData!$A$4:$D$4,0),FALSE)</f>
        <v>1.0999999999999999E-2</v>
      </c>
      <c r="L8" s="2">
        <f t="shared" si="1"/>
        <v>78.107324583229797</v>
      </c>
      <c r="M8" s="2">
        <f t="shared" si="2"/>
        <v>1952.683114580745</v>
      </c>
      <c r="N8" s="4" t="s">
        <v>110</v>
      </c>
      <c r="P8" s="60">
        <f t="shared" si="3"/>
        <v>-513.53069183161335</v>
      </c>
      <c r="Q8" s="60">
        <f t="shared" si="4"/>
        <v>1233.8463888444114</v>
      </c>
      <c r="R8" s="58">
        <f t="shared" si="5"/>
        <v>1.8812374388163944</v>
      </c>
      <c r="S8" s="58">
        <f t="shared" si="6"/>
        <v>-3.5439559316827283</v>
      </c>
      <c r="T8" s="58">
        <f t="shared" si="7"/>
        <v>-0.57634073587656798</v>
      </c>
      <c r="U8" s="2">
        <f t="shared" si="8"/>
        <v>-1.1022297292112146</v>
      </c>
      <c r="V8" s="65">
        <f t="shared" si="9"/>
        <v>-12838.267295790334</v>
      </c>
      <c r="W8" s="65">
        <f t="shared" si="10"/>
        <v>30846.159721110285</v>
      </c>
      <c r="X8" s="78">
        <f t="shared" si="11"/>
        <v>47.030935970409857</v>
      </c>
      <c r="Y8" s="78">
        <f t="shared" si="12"/>
        <v>-88.598898292068213</v>
      </c>
      <c r="Z8" s="78">
        <f t="shared" si="13"/>
        <v>-14.4085183969142</v>
      </c>
      <c r="AA8" s="78">
        <f t="shared" si="14"/>
        <v>-27.555743230280367</v>
      </c>
      <c r="AB8" s="78">
        <f t="shared" si="15"/>
        <v>3781.141604588538</v>
      </c>
      <c r="AC8" s="78">
        <f t="shared" si="16"/>
        <v>1598.8655058896086</v>
      </c>
      <c r="AD8" s="78">
        <f t="shared" si="17"/>
        <v>720.39604323625497</v>
      </c>
      <c r="AE8" s="78">
        <f t="shared" si="18"/>
        <v>269.21068639842929</v>
      </c>
      <c r="AF8" s="78">
        <f t="shared" si="19"/>
        <v>-244.55719971669225</v>
      </c>
      <c r="AG8" s="78">
        <f t="shared" si="20"/>
        <v>-567.07741917712724</v>
      </c>
      <c r="AH8" s="78">
        <f t="shared" si="21"/>
        <v>-996.3354308569692</v>
      </c>
      <c r="AI8" s="78">
        <f t="shared" si="22"/>
        <v>-1530.5610969160689</v>
      </c>
      <c r="AJ8" s="78">
        <f t="shared" si="23"/>
        <v>-470.71439827794848</v>
      </c>
      <c r="AK8" s="78">
        <f t="shared" si="24"/>
        <v>-235.26071625771863</v>
      </c>
      <c r="AL8" s="78">
        <f t="shared" si="25"/>
        <v>-94.079291151774669</v>
      </c>
      <c r="AM8" s="78">
        <f t="shared" si="26"/>
        <v>-47.035328382827402</v>
      </c>
      <c r="AN8" s="78">
        <f t="shared" si="27"/>
        <v>47.026468565542245</v>
      </c>
      <c r="AO8" s="78">
        <f t="shared" si="28"/>
        <v>94.043852754941781</v>
      </c>
      <c r="AP8" s="78">
        <f t="shared" si="29"/>
        <v>235.03926491669773</v>
      </c>
      <c r="AQ8" s="78">
        <f t="shared" si="30"/>
        <v>469.82917378943085</v>
      </c>
      <c r="AR8" s="60">
        <f t="shared" si="31"/>
        <v>3697.3217985554129</v>
      </c>
      <c r="AS8" s="60">
        <f t="shared" si="32"/>
        <v>3745.2264440477165</v>
      </c>
      <c r="AT8" s="60">
        <f t="shared" si="33"/>
        <v>3781.141604588538</v>
      </c>
      <c r="AU8" s="60">
        <f t="shared" si="34"/>
        <v>3820.0061323303798</v>
      </c>
      <c r="AV8" s="60">
        <f t="shared" si="35"/>
        <v>3883.394147335076</v>
      </c>
      <c r="AW8" s="60">
        <f t="shared" si="36"/>
        <v>4001.0305854055928</v>
      </c>
      <c r="AX8" s="60">
        <f t="shared" si="37"/>
        <v>4272.0408616549521</v>
      </c>
      <c r="AY8" s="60">
        <f t="shared" si="38"/>
        <v>1417.776077017274</v>
      </c>
      <c r="AZ8" s="60">
        <f t="shared" si="39"/>
        <v>1525.2798095432638</v>
      </c>
      <c r="BA8" s="60">
        <f t="shared" si="40"/>
        <v>1598.8655058896086</v>
      </c>
      <c r="BB8" s="60">
        <f t="shared" si="41"/>
        <v>1673.7583963940297</v>
      </c>
      <c r="BC8" s="60">
        <f t="shared" si="42"/>
        <v>1788.2028875699518</v>
      </c>
      <c r="BD8" s="60">
        <f t="shared" si="43"/>
        <v>1983.5092665097818</v>
      </c>
      <c r="BE8" s="60">
        <f t="shared" si="44"/>
        <v>2386.2430409998469</v>
      </c>
      <c r="BF8" s="60">
        <f t="shared" si="45"/>
        <v>502.53148263833793</v>
      </c>
      <c r="BG8" s="60">
        <f t="shared" si="46"/>
        <v>632.92947878800021</v>
      </c>
      <c r="BH8" s="60">
        <f t="shared" si="47"/>
        <v>720.39604323625497</v>
      </c>
      <c r="BI8" s="60">
        <f t="shared" si="48"/>
        <v>808.21538757166707</v>
      </c>
      <c r="BJ8" s="60">
        <f t="shared" si="49"/>
        <v>940.49422986218758</v>
      </c>
      <c r="BK8" s="60">
        <f t="shared" si="50"/>
        <v>1162.0940247226572</v>
      </c>
      <c r="BL8" s="60">
        <f t="shared" si="51"/>
        <v>1608.0022672696998</v>
      </c>
      <c r="BM8" s="60">
        <f t="shared" si="52"/>
        <v>-235.26071625771863</v>
      </c>
      <c r="BN8" s="60">
        <f t="shared" si="53"/>
        <v>-94.079291151774669</v>
      </c>
      <c r="BO8" s="60">
        <f t="shared" si="54"/>
        <v>0</v>
      </c>
      <c r="BP8" s="60">
        <f t="shared" si="55"/>
        <v>94.043852754941781</v>
      </c>
      <c r="BQ8" s="60">
        <f t="shared" si="56"/>
        <v>235.03926491669773</v>
      </c>
      <c r="BR8" s="60">
        <f t="shared" si="57"/>
        <v>469.82917378943085</v>
      </c>
      <c r="BS8" s="60">
        <f t="shared" si="58"/>
        <v>938.55102727330291</v>
      </c>
      <c r="BT8" s="60">
        <f t="shared" si="59"/>
        <v>-798.58560403210106</v>
      </c>
      <c r="BU8" s="60">
        <f t="shared" si="60"/>
        <v>-659.94508556393612</v>
      </c>
      <c r="BV8" s="60">
        <f t="shared" si="61"/>
        <v>-567.07741917712724</v>
      </c>
      <c r="BW8" s="60">
        <f t="shared" si="62"/>
        <v>-473.920975259378</v>
      </c>
      <c r="BX8" s="60">
        <f t="shared" si="63"/>
        <v>-333.73986883313194</v>
      </c>
      <c r="BY8" s="60">
        <f t="shared" si="64"/>
        <v>-99.196174623087074</v>
      </c>
      <c r="BZ8" s="60">
        <f t="shared" si="65"/>
        <v>371.97681776159044</v>
      </c>
      <c r="CA8" s="60">
        <f t="shared" si="66"/>
        <v>-1206.6045626845748</v>
      </c>
      <c r="CB8" s="60">
        <f t="shared" si="67"/>
        <v>-1081.4592093455103</v>
      </c>
      <c r="CC8" s="60">
        <f t="shared" si="68"/>
        <v>-996.3354308569692</v>
      </c>
      <c r="CD8" s="60">
        <f t="shared" si="69"/>
        <v>-910.06455570779826</v>
      </c>
      <c r="CE8" s="60">
        <f t="shared" si="70"/>
        <v>-778.82230656461786</v>
      </c>
      <c r="CF8" s="60">
        <f t="shared" si="71"/>
        <v>-556.13573905386033</v>
      </c>
      <c r="CG8" s="60">
        <f t="shared" si="72"/>
        <v>-100.42328484921228</v>
      </c>
      <c r="CH8" s="60">
        <f t="shared" si="73"/>
        <v>-1672.7358258575102</v>
      </c>
      <c r="CI8" s="60">
        <f t="shared" si="74"/>
        <v>-1590.0361405905201</v>
      </c>
      <c r="CJ8" s="60">
        <f t="shared" si="75"/>
        <v>-1530.5610969160689</v>
      </c>
      <c r="CK8" s="60">
        <f t="shared" si="76"/>
        <v>-1467.9843562606252</v>
      </c>
      <c r="CL8" s="60">
        <f t="shared" si="77"/>
        <v>-1368.9262721570706</v>
      </c>
      <c r="CM8" s="60">
        <f t="shared" si="78"/>
        <v>-1192.0282214670692</v>
      </c>
      <c r="CN8" s="60">
        <f t="shared" si="79"/>
        <v>-804.70050045621383</v>
      </c>
    </row>
    <row r="9" spans="1:92" x14ac:dyDescent="0.35">
      <c r="A9" s="3" t="s">
        <v>104</v>
      </c>
      <c r="B9" s="4">
        <f>VLOOKUP(A9,PriceData!$K$4:$L$6,2,FALSE)</f>
        <v>1100</v>
      </c>
      <c r="C9" s="46">
        <f>VLOOKUP(A9,PriceData!$K$4:$M$6,3,FALSE)</f>
        <v>0.02</v>
      </c>
      <c r="D9" s="4" t="s">
        <v>108</v>
      </c>
      <c r="E9" s="4" t="s">
        <v>106</v>
      </c>
      <c r="F9" s="4">
        <v>-25</v>
      </c>
      <c r="G9" s="4">
        <v>1034</v>
      </c>
      <c r="H9" s="4" t="s">
        <v>109</v>
      </c>
      <c r="I9" s="5">
        <v>40256</v>
      </c>
      <c r="J9" s="46">
        <f t="shared" si="0"/>
        <v>0.44598602021318745</v>
      </c>
      <c r="K9" s="30">
        <f>VLOOKUP(I9,PriceData!$A$5:$D$7,MATCH($E9,PriceData!$A$4:$D$4,0),FALSE)</f>
        <v>1.0999999999999999E-2</v>
      </c>
      <c r="L9" s="2">
        <f t="shared" si="1"/>
        <v>53.507243347722067</v>
      </c>
      <c r="M9" s="2">
        <f t="shared" si="2"/>
        <v>-1337.6810836930517</v>
      </c>
      <c r="N9" s="4" t="s">
        <v>107</v>
      </c>
      <c r="P9" s="60">
        <f t="shared" si="3"/>
        <v>-374.01225687551062</v>
      </c>
      <c r="Q9" s="60">
        <f t="shared" si="4"/>
        <v>1044.4936390503108</v>
      </c>
      <c r="R9" s="58">
        <f t="shared" si="5"/>
        <v>1.7356937075521404</v>
      </c>
      <c r="S9" s="58">
        <f t="shared" si="6"/>
        <v>34.454504586982289</v>
      </c>
      <c r="T9" s="58">
        <f t="shared" si="7"/>
        <v>-0.57679726778176055</v>
      </c>
      <c r="U9" s="2">
        <f t="shared" si="8"/>
        <v>-0.79647468534739219</v>
      </c>
      <c r="V9" s="65">
        <f t="shared" si="9"/>
        <v>9350.3064218877662</v>
      </c>
      <c r="W9" s="65">
        <f t="shared" si="10"/>
        <v>-26112.340976257768</v>
      </c>
      <c r="X9" s="78">
        <f t="shared" si="11"/>
        <v>-43.39234268880351</v>
      </c>
      <c r="Y9" s="78">
        <f t="shared" si="12"/>
        <v>-861.36261467455722</v>
      </c>
      <c r="Z9" s="78">
        <f t="shared" si="13"/>
        <v>14.419931694544013</v>
      </c>
      <c r="AA9" s="78">
        <f t="shared" si="14"/>
        <v>19.911867133684805</v>
      </c>
      <c r="AB9" s="78">
        <f t="shared" si="15"/>
        <v>-3046.3948634335125</v>
      </c>
      <c r="AC9" s="78">
        <f t="shared" si="16"/>
        <v>-1219.0884859455039</v>
      </c>
      <c r="AD9" s="78">
        <f t="shared" si="17"/>
        <v>-535.96683520828208</v>
      </c>
      <c r="AE9" s="78">
        <f t="shared" si="18"/>
        <v>-197.66334993039294</v>
      </c>
      <c r="AF9" s="78">
        <f t="shared" si="19"/>
        <v>176.78330211312385</v>
      </c>
      <c r="AG9" s="78">
        <f t="shared" si="20"/>
        <v>405.79041504388442</v>
      </c>
      <c r="AH9" s="78">
        <f t="shared" si="21"/>
        <v>703.08479702320597</v>
      </c>
      <c r="AI9" s="78">
        <f t="shared" si="22"/>
        <v>1060.7485918432189</v>
      </c>
      <c r="AJ9" s="78">
        <f t="shared" si="23"/>
        <v>428.26168469382395</v>
      </c>
      <c r="AK9" s="78">
        <f t="shared" si="24"/>
        <v>215.73542901325595</v>
      </c>
      <c r="AL9" s="78">
        <f t="shared" si="25"/>
        <v>86.603464931891949</v>
      </c>
      <c r="AM9" s="78">
        <f t="shared" si="26"/>
        <v>43.348179858877245</v>
      </c>
      <c r="AN9" s="78">
        <f t="shared" si="27"/>
        <v>-43.434360729149546</v>
      </c>
      <c r="AO9" s="78">
        <f t="shared" si="28"/>
        <v>-86.948724680486578</v>
      </c>
      <c r="AP9" s="78">
        <f t="shared" si="29"/>
        <v>-217.91701934110392</v>
      </c>
      <c r="AQ9" s="78">
        <f t="shared" si="30"/>
        <v>-437.34208459603394</v>
      </c>
      <c r="AR9" s="60">
        <f t="shared" si="31"/>
        <v>-2910.1531045927131</v>
      </c>
      <c r="AS9" s="60">
        <f t="shared" si="32"/>
        <v>-2990.3622956479794</v>
      </c>
      <c r="AT9" s="60">
        <f t="shared" si="33"/>
        <v>-3046.3948634335125</v>
      </c>
      <c r="AU9" s="60">
        <f t="shared" si="34"/>
        <v>-3104.236124988533</v>
      </c>
      <c r="AV9" s="60">
        <f t="shared" si="35"/>
        <v>-3194.0023984812415</v>
      </c>
      <c r="AW9" s="60">
        <f t="shared" si="36"/>
        <v>-3350.3865898378322</v>
      </c>
      <c r="AX9" s="60">
        <f t="shared" si="37"/>
        <v>-3682.2338989419864</v>
      </c>
      <c r="AY9" s="60">
        <f t="shared" si="38"/>
        <v>-1009.4374695545766</v>
      </c>
      <c r="AZ9" s="60">
        <f t="shared" si="39"/>
        <v>-1135.0697639736736</v>
      </c>
      <c r="BA9" s="60">
        <f t="shared" si="40"/>
        <v>-1219.0884859455039</v>
      </c>
      <c r="BB9" s="60">
        <f t="shared" si="41"/>
        <v>-1303.2802752043906</v>
      </c>
      <c r="BC9" s="60">
        <f t="shared" si="42"/>
        <v>-1429.8345604594645</v>
      </c>
      <c r="BD9" s="60">
        <f t="shared" si="43"/>
        <v>-1641.293506713562</v>
      </c>
      <c r="BE9" s="60">
        <f t="shared" si="44"/>
        <v>-2065.3667846313338</v>
      </c>
      <c r="BF9" s="60">
        <f t="shared" si="45"/>
        <v>-314.05806685617961</v>
      </c>
      <c r="BG9" s="60">
        <f t="shared" si="46"/>
        <v>-447.22200334943949</v>
      </c>
      <c r="BH9" s="60">
        <f t="shared" si="47"/>
        <v>-535.96683520828208</v>
      </c>
      <c r="BI9" s="60">
        <f t="shared" si="48"/>
        <v>-624.68333801898837</v>
      </c>
      <c r="BJ9" s="60">
        <f t="shared" si="49"/>
        <v>-757.69912458067802</v>
      </c>
      <c r="BK9" s="60">
        <f t="shared" si="50"/>
        <v>-979.214491080377</v>
      </c>
      <c r="BL9" s="60">
        <f t="shared" si="51"/>
        <v>-1421.4561388101074</v>
      </c>
      <c r="BM9" s="60">
        <f t="shared" si="52"/>
        <v>215.73542901325595</v>
      </c>
      <c r="BN9" s="60">
        <f t="shared" si="53"/>
        <v>86.603464931891949</v>
      </c>
      <c r="BO9" s="60">
        <f t="shared" si="54"/>
        <v>0</v>
      </c>
      <c r="BP9" s="60">
        <f t="shared" si="55"/>
        <v>-86.948724680486578</v>
      </c>
      <c r="BQ9" s="60">
        <f t="shared" si="56"/>
        <v>-217.91701934110392</v>
      </c>
      <c r="BR9" s="60">
        <f t="shared" si="57"/>
        <v>-437.34208459603394</v>
      </c>
      <c r="BS9" s="60">
        <f t="shared" si="58"/>
        <v>-878.99864209376517</v>
      </c>
      <c r="BT9" s="60">
        <f t="shared" si="59"/>
        <v>600.80416658326362</v>
      </c>
      <c r="BU9" s="60">
        <f t="shared" si="60"/>
        <v>484.76553805691509</v>
      </c>
      <c r="BV9" s="60">
        <f t="shared" si="61"/>
        <v>405.79041504388442</v>
      </c>
      <c r="BW9" s="60">
        <f t="shared" si="62"/>
        <v>325.70294905686836</v>
      </c>
      <c r="BX9" s="60">
        <f t="shared" si="63"/>
        <v>203.7657167913963</v>
      </c>
      <c r="BY9" s="60">
        <f t="shared" si="64"/>
        <v>-3.4197005705578931</v>
      </c>
      <c r="BZ9" s="60">
        <f t="shared" si="65"/>
        <v>-428.44330161460533</v>
      </c>
      <c r="CA9" s="60">
        <f t="shared" si="66"/>
        <v>868.68550622581961</v>
      </c>
      <c r="CB9" s="60">
        <f t="shared" si="67"/>
        <v>771.02335067701233</v>
      </c>
      <c r="CC9" s="60">
        <f t="shared" si="68"/>
        <v>703.08479702320597</v>
      </c>
      <c r="CD9" s="60">
        <f t="shared" si="69"/>
        <v>633.15418840974689</v>
      </c>
      <c r="CE9" s="60">
        <f t="shared" si="70"/>
        <v>524.9604385943627</v>
      </c>
      <c r="CF9" s="60">
        <f t="shared" si="71"/>
        <v>337.2325393747559</v>
      </c>
      <c r="CG9" s="60">
        <f t="shared" si="72"/>
        <v>-58.95573938059897</v>
      </c>
      <c r="CH9" s="60">
        <f t="shared" si="73"/>
        <v>1163.0909447850804</v>
      </c>
      <c r="CI9" s="60">
        <f t="shared" si="74"/>
        <v>1104.2616881943629</v>
      </c>
      <c r="CJ9" s="60">
        <f t="shared" si="75"/>
        <v>1060.7485918432189</v>
      </c>
      <c r="CK9" s="60">
        <f t="shared" si="76"/>
        <v>1014.0407954853025</v>
      </c>
      <c r="CL9" s="60">
        <f t="shared" si="77"/>
        <v>938.43639473599512</v>
      </c>
      <c r="CM9" s="60">
        <f t="shared" si="78"/>
        <v>799.26731176576732</v>
      </c>
      <c r="CN9" s="60">
        <f t="shared" si="79"/>
        <v>481.08554492289528</v>
      </c>
    </row>
    <row r="10" spans="1:92" x14ac:dyDescent="0.35">
      <c r="A10" s="3" t="s">
        <v>104</v>
      </c>
      <c r="B10" s="4">
        <f>VLOOKUP(A10,PriceData!$K$4:$L$6,2,FALSE)</f>
        <v>1100</v>
      </c>
      <c r="C10" s="46">
        <f>VLOOKUP(A10,PriceData!$K$4:$M$6,3,FALSE)</f>
        <v>0.02</v>
      </c>
      <c r="D10" s="4" t="s">
        <v>108</v>
      </c>
      <c r="E10" s="4" t="s">
        <v>106</v>
      </c>
      <c r="F10" s="4">
        <v>25</v>
      </c>
      <c r="G10" s="4">
        <v>1232</v>
      </c>
      <c r="H10" s="4" t="s">
        <v>111</v>
      </c>
      <c r="I10" s="5">
        <v>40256</v>
      </c>
      <c r="J10" s="46">
        <f t="shared" si="0"/>
        <v>0.37936391354619808</v>
      </c>
      <c r="K10" s="30">
        <f>VLOOKUP(I10,PriceData!$A$5:$D$7,MATCH($E10,PriceData!$A$4:$D$4,0),FALSE)</f>
        <v>1.0999999999999999E-2</v>
      </c>
      <c r="L10" s="2">
        <f t="shared" si="1"/>
        <v>26.997775797652309</v>
      </c>
      <c r="M10" s="2">
        <f t="shared" si="2"/>
        <v>674.94439494130779</v>
      </c>
      <c r="N10" s="4" t="s">
        <v>107</v>
      </c>
      <c r="P10" s="60">
        <f t="shared" si="3"/>
        <v>293.12405656172189</v>
      </c>
      <c r="Q10" s="60">
        <f t="shared" si="4"/>
        <v>1101.2604335686806</v>
      </c>
      <c r="R10" s="58">
        <f t="shared" si="5"/>
        <v>1.5566540174262706</v>
      </c>
      <c r="S10" s="58">
        <f t="shared" si="6"/>
        <v>199.66536437002807</v>
      </c>
      <c r="T10" s="58">
        <f t="shared" si="7"/>
        <v>-0.42617803435527768</v>
      </c>
      <c r="U10" s="2">
        <f t="shared" si="8"/>
        <v>0.49579690662895154</v>
      </c>
      <c r="V10" s="65">
        <f t="shared" si="9"/>
        <v>7328.101414043047</v>
      </c>
      <c r="W10" s="65">
        <f t="shared" si="10"/>
        <v>27531.510839217015</v>
      </c>
      <c r="X10" s="78">
        <f t="shared" si="11"/>
        <v>38.916350435656767</v>
      </c>
      <c r="Y10" s="78">
        <f t="shared" si="12"/>
        <v>4991.6341092507018</v>
      </c>
      <c r="Z10" s="78">
        <f t="shared" si="13"/>
        <v>-10.654450858881942</v>
      </c>
      <c r="AA10" s="78">
        <f t="shared" si="14"/>
        <v>12.394922665723788</v>
      </c>
      <c r="AB10" s="78">
        <f t="shared" si="15"/>
        <v>-644.76858251610759</v>
      </c>
      <c r="AC10" s="78">
        <f t="shared" si="16"/>
        <v>-489.33595206787714</v>
      </c>
      <c r="AD10" s="78">
        <f t="shared" si="17"/>
        <v>-301.20670351051473</v>
      </c>
      <c r="AE10" s="78">
        <f t="shared" si="18"/>
        <v>-135.76576172426087</v>
      </c>
      <c r="AF10" s="78">
        <f t="shared" si="19"/>
        <v>157.76729041105284</v>
      </c>
      <c r="AG10" s="78">
        <f t="shared" si="20"/>
        <v>437.9469910669286</v>
      </c>
      <c r="AH10" s="78">
        <f t="shared" si="21"/>
        <v>1025.7164230493074</v>
      </c>
      <c r="AI10" s="78">
        <f t="shared" si="22"/>
        <v>2643.1618933716736</v>
      </c>
      <c r="AJ10" s="78">
        <f t="shared" si="23"/>
        <v>-357.18107480354888</v>
      </c>
      <c r="AK10" s="78">
        <f t="shared" si="24"/>
        <v>-187.5592700871664</v>
      </c>
      <c r="AL10" s="78">
        <f t="shared" si="25"/>
        <v>-76.787406300928041</v>
      </c>
      <c r="AM10" s="78">
        <f t="shared" si="26"/>
        <v>-38.661019108664618</v>
      </c>
      <c r="AN10" s="78">
        <f t="shared" si="27"/>
        <v>39.160412142562961</v>
      </c>
      <c r="AO10" s="78">
        <f t="shared" si="28"/>
        <v>78.787736948457621</v>
      </c>
      <c r="AP10" s="78">
        <f t="shared" si="29"/>
        <v>200.18281301753689</v>
      </c>
      <c r="AQ10" s="78">
        <f t="shared" si="30"/>
        <v>409.4542762537003</v>
      </c>
      <c r="AR10" s="60">
        <f t="shared" si="31"/>
        <v>-664.26228474163679</v>
      </c>
      <c r="AS10" s="60">
        <f t="shared" si="32"/>
        <v>-654.17373098889243</v>
      </c>
      <c r="AT10" s="60">
        <f t="shared" si="33"/>
        <v>-644.76858251610759</v>
      </c>
      <c r="AU10" s="60">
        <f t="shared" si="34"/>
        <v>-632.99692595577562</v>
      </c>
      <c r="AV10" s="60">
        <f t="shared" si="35"/>
        <v>-610.63060875713495</v>
      </c>
      <c r="AW10" s="60">
        <f t="shared" si="36"/>
        <v>-560.33517582927846</v>
      </c>
      <c r="AX10" s="60">
        <f t="shared" si="37"/>
        <v>-412.20675862404335</v>
      </c>
      <c r="AY10" s="60">
        <f t="shared" si="38"/>
        <v>-572.91306023793175</v>
      </c>
      <c r="AZ10" s="60">
        <f t="shared" si="39"/>
        <v>-525.68468609491572</v>
      </c>
      <c r="BA10" s="60">
        <f t="shared" si="40"/>
        <v>-489.33595206787714</v>
      </c>
      <c r="BB10" s="60">
        <f t="shared" si="41"/>
        <v>-449.3536797223868</v>
      </c>
      <c r="BC10" s="60">
        <f t="shared" si="42"/>
        <v>-383.08052565026924</v>
      </c>
      <c r="BD10" s="60">
        <f t="shared" si="43"/>
        <v>-257.75160863498809</v>
      </c>
      <c r="BE10" s="60">
        <f t="shared" si="44"/>
        <v>37.191133683750621</v>
      </c>
      <c r="BF10" s="60">
        <f t="shared" si="45"/>
        <v>-435.41870614660854</v>
      </c>
      <c r="BG10" s="60">
        <f t="shared" si="46"/>
        <v>-357.54933021548322</v>
      </c>
      <c r="BH10" s="60">
        <f t="shared" si="47"/>
        <v>-301.20670351051473</v>
      </c>
      <c r="BI10" s="60">
        <f t="shared" si="48"/>
        <v>-241.72977634635515</v>
      </c>
      <c r="BJ10" s="60">
        <f t="shared" si="49"/>
        <v>-147.31563728567565</v>
      </c>
      <c r="BK10" s="60">
        <f t="shared" si="50"/>
        <v>21.707693725738153</v>
      </c>
      <c r="BL10" s="60">
        <f t="shared" si="51"/>
        <v>392.24965578346058</v>
      </c>
      <c r="BM10" s="60">
        <f t="shared" si="52"/>
        <v>-187.5592700871664</v>
      </c>
      <c r="BN10" s="60">
        <f t="shared" si="53"/>
        <v>-76.787406300928041</v>
      </c>
      <c r="BO10" s="60">
        <f t="shared" si="54"/>
        <v>0</v>
      </c>
      <c r="BP10" s="60">
        <f t="shared" si="55"/>
        <v>78.787736948457621</v>
      </c>
      <c r="BQ10" s="60">
        <f t="shared" si="56"/>
        <v>200.18281301753689</v>
      </c>
      <c r="BR10" s="60">
        <f t="shared" si="57"/>
        <v>409.4542762537003</v>
      </c>
      <c r="BS10" s="60">
        <f t="shared" si="58"/>
        <v>846.36547983483297</v>
      </c>
      <c r="BT10" s="60">
        <f t="shared" si="59"/>
        <v>205.61425802875135</v>
      </c>
      <c r="BU10" s="60">
        <f t="shared" si="60"/>
        <v>344.30597125702604</v>
      </c>
      <c r="BV10" s="60">
        <f t="shared" si="61"/>
        <v>437.9469910669286</v>
      </c>
      <c r="BW10" s="60">
        <f t="shared" si="62"/>
        <v>532.36759402842608</v>
      </c>
      <c r="BX10" s="60">
        <f t="shared" si="63"/>
        <v>675.2184829235631</v>
      </c>
      <c r="BY10" s="60">
        <f t="shared" si="64"/>
        <v>915.85054117168306</v>
      </c>
      <c r="BZ10" s="60">
        <f t="shared" si="65"/>
        <v>1403.4467552865776</v>
      </c>
      <c r="CA10" s="60">
        <f t="shared" si="66"/>
        <v>766.60803777710248</v>
      </c>
      <c r="CB10" s="60">
        <f t="shared" si="67"/>
        <v>922.02675790157264</v>
      </c>
      <c r="CC10" s="60">
        <f t="shared" si="68"/>
        <v>1025.7164230493074</v>
      </c>
      <c r="CD10" s="60">
        <f t="shared" si="69"/>
        <v>1129.448761645672</v>
      </c>
      <c r="CE10" s="60">
        <f t="shared" si="70"/>
        <v>1285.098827645031</v>
      </c>
      <c r="CF10" s="60">
        <f t="shared" si="71"/>
        <v>1544.5677238799519</v>
      </c>
      <c r="CG10" s="60">
        <f t="shared" si="72"/>
        <v>2063.2859971639091</v>
      </c>
      <c r="CH10" s="60">
        <f t="shared" si="73"/>
        <v>2395.5703109114625</v>
      </c>
      <c r="CI10" s="60">
        <f t="shared" si="74"/>
        <v>2543.344701989794</v>
      </c>
      <c r="CJ10" s="60">
        <f t="shared" si="75"/>
        <v>2643.1618933716736</v>
      </c>
      <c r="CK10" s="60">
        <f t="shared" si="76"/>
        <v>2743.83925790071</v>
      </c>
      <c r="CL10" s="60">
        <f t="shared" si="77"/>
        <v>2896.2023437651583</v>
      </c>
      <c r="CM10" s="60">
        <f t="shared" si="78"/>
        <v>3152.9562918075653</v>
      </c>
      <c r="CN10" s="60">
        <f t="shared" si="79"/>
        <v>3673.4789045853672</v>
      </c>
    </row>
    <row r="11" spans="1:92" x14ac:dyDescent="0.35">
      <c r="A11" s="3" t="s">
        <v>104</v>
      </c>
      <c r="B11" s="4">
        <f>VLOOKUP(A11,PriceData!$K$4:$L$6,2,FALSE)</f>
        <v>1100</v>
      </c>
      <c r="C11" s="46">
        <f>VLOOKUP(A11,PriceData!$K$4:$M$6,3,FALSE)</f>
        <v>0.02</v>
      </c>
      <c r="D11" s="4" t="s">
        <v>108</v>
      </c>
      <c r="E11" s="4" t="s">
        <v>106</v>
      </c>
      <c r="F11" s="4">
        <v>25</v>
      </c>
      <c r="G11" s="4">
        <v>1100</v>
      </c>
      <c r="H11" s="4" t="s">
        <v>111</v>
      </c>
      <c r="I11" s="5">
        <v>40256</v>
      </c>
      <c r="J11" s="46">
        <f t="shared" si="0"/>
        <v>0.4092008007118651</v>
      </c>
      <c r="K11" s="30">
        <f>VLOOKUP(I11,PriceData!$A$5:$D$7,MATCH($E11,PriceData!$A$4:$D$4,0),FALSE)</f>
        <v>1.0999999999999999E-2</v>
      </c>
      <c r="L11" s="2">
        <f t="shared" si="1"/>
        <v>76.268259097077362</v>
      </c>
      <c r="M11" s="2">
        <f t="shared" si="2"/>
        <v>1906.706477426934</v>
      </c>
      <c r="N11" s="4" t="s">
        <v>107</v>
      </c>
      <c r="P11" s="60">
        <f t="shared" si="3"/>
        <v>582.37830436058039</v>
      </c>
      <c r="Q11" s="60">
        <f t="shared" si="4"/>
        <v>1233.8463888444114</v>
      </c>
      <c r="R11" s="58">
        <f t="shared" si="5"/>
        <v>1.8812374388163944</v>
      </c>
      <c r="S11" s="58">
        <f t="shared" si="6"/>
        <v>-3.5439559316827283</v>
      </c>
      <c r="T11" s="58">
        <f t="shared" si="7"/>
        <v>-0.54937374616319246</v>
      </c>
      <c r="U11" s="2">
        <f t="shared" si="8"/>
        <v>0.94288994734022469</v>
      </c>
      <c r="V11" s="65">
        <f t="shared" si="9"/>
        <v>14559.457609014509</v>
      </c>
      <c r="W11" s="65">
        <f t="shared" si="10"/>
        <v>30846.159721110285</v>
      </c>
      <c r="X11" s="78">
        <f t="shared" si="11"/>
        <v>47.030935970409857</v>
      </c>
      <c r="Y11" s="78">
        <f t="shared" si="12"/>
        <v>-88.598898292068213</v>
      </c>
      <c r="Z11" s="78">
        <f t="shared" si="13"/>
        <v>-13.734343654079812</v>
      </c>
      <c r="AA11" s="78">
        <f t="shared" si="14"/>
        <v>23.572248683505617</v>
      </c>
      <c r="AB11" s="78">
        <f t="shared" si="15"/>
        <v>-1698.4033763724326</v>
      </c>
      <c r="AC11" s="78">
        <f t="shared" si="16"/>
        <v>-1140.9069845908803</v>
      </c>
      <c r="AD11" s="78">
        <f t="shared" si="17"/>
        <v>-649.49020200398741</v>
      </c>
      <c r="AE11" s="78">
        <f t="shared" si="18"/>
        <v>-278.74381169766878</v>
      </c>
      <c r="AF11" s="78">
        <f t="shared" si="19"/>
        <v>303.39729837940013</v>
      </c>
      <c r="AG11" s="78">
        <f t="shared" si="20"/>
        <v>802.80882606310797</v>
      </c>
      <c r="AH11" s="78">
        <f t="shared" si="21"/>
        <v>1743.4370596235169</v>
      </c>
      <c r="AI11" s="78">
        <f t="shared" si="22"/>
        <v>3948.9838840448983</v>
      </c>
      <c r="AJ11" s="78">
        <f t="shared" si="23"/>
        <v>-470.71439827795132</v>
      </c>
      <c r="AK11" s="78">
        <f t="shared" si="24"/>
        <v>-235.26071625771863</v>
      </c>
      <c r="AL11" s="78">
        <f t="shared" si="25"/>
        <v>-94.079291151777511</v>
      </c>
      <c r="AM11" s="78">
        <f t="shared" si="26"/>
        <v>-47.035328382830244</v>
      </c>
      <c r="AN11" s="78">
        <f t="shared" si="27"/>
        <v>47.026468565540824</v>
      </c>
      <c r="AO11" s="78">
        <f t="shared" si="28"/>
        <v>94.043852754938939</v>
      </c>
      <c r="AP11" s="78">
        <f t="shared" si="29"/>
        <v>235.03926491669631</v>
      </c>
      <c r="AQ11" s="78">
        <f t="shared" si="30"/>
        <v>469.82917378942375</v>
      </c>
      <c r="AR11" s="60">
        <f t="shared" si="31"/>
        <v>-1782.223182405555</v>
      </c>
      <c r="AS11" s="60">
        <f t="shared" si="32"/>
        <v>-1734.3185369132523</v>
      </c>
      <c r="AT11" s="60">
        <f t="shared" si="33"/>
        <v>-1698.4033763724326</v>
      </c>
      <c r="AU11" s="60">
        <f t="shared" si="34"/>
        <v>-1659.5388486305872</v>
      </c>
      <c r="AV11" s="60">
        <f t="shared" si="35"/>
        <v>-1596.1508336258955</v>
      </c>
      <c r="AW11" s="60">
        <f t="shared" si="36"/>
        <v>-1478.5143955553792</v>
      </c>
      <c r="AX11" s="60">
        <f t="shared" si="37"/>
        <v>-1207.5041193060144</v>
      </c>
      <c r="AY11" s="60">
        <f t="shared" si="38"/>
        <v>-1321.9964134632144</v>
      </c>
      <c r="AZ11" s="60">
        <f t="shared" si="39"/>
        <v>-1214.4926809372237</v>
      </c>
      <c r="BA11" s="60">
        <f t="shared" si="40"/>
        <v>-1140.9069845908803</v>
      </c>
      <c r="BB11" s="60">
        <f t="shared" si="41"/>
        <v>-1066.0140940864565</v>
      </c>
      <c r="BC11" s="60">
        <f t="shared" si="42"/>
        <v>-951.56960291053849</v>
      </c>
      <c r="BD11" s="60">
        <f t="shared" si="43"/>
        <v>-756.26322397070567</v>
      </c>
      <c r="BE11" s="60">
        <f t="shared" si="44"/>
        <v>-353.52944948063936</v>
      </c>
      <c r="BF11" s="60">
        <f t="shared" si="45"/>
        <v>-867.3547626019058</v>
      </c>
      <c r="BG11" s="60">
        <f t="shared" si="46"/>
        <v>-736.95676645224216</v>
      </c>
      <c r="BH11" s="60">
        <f t="shared" si="47"/>
        <v>-649.49020200398741</v>
      </c>
      <c r="BI11" s="60">
        <f t="shared" si="48"/>
        <v>-561.67085766857667</v>
      </c>
      <c r="BJ11" s="60">
        <f t="shared" si="49"/>
        <v>-429.39201537805758</v>
      </c>
      <c r="BK11" s="60">
        <f t="shared" si="50"/>
        <v>-207.79222051758524</v>
      </c>
      <c r="BL11" s="60">
        <f t="shared" si="51"/>
        <v>238.1160220294575</v>
      </c>
      <c r="BM11" s="60">
        <f t="shared" si="52"/>
        <v>-235.26071625771863</v>
      </c>
      <c r="BN11" s="60">
        <f t="shared" si="53"/>
        <v>-94.079291151777511</v>
      </c>
      <c r="BO11" s="60">
        <f t="shared" si="54"/>
        <v>0</v>
      </c>
      <c r="BP11" s="60">
        <f t="shared" si="55"/>
        <v>94.043852754938939</v>
      </c>
      <c r="BQ11" s="60">
        <f t="shared" si="56"/>
        <v>235.03926491669631</v>
      </c>
      <c r="BR11" s="60">
        <f t="shared" si="57"/>
        <v>469.82917378942375</v>
      </c>
      <c r="BS11" s="60">
        <f t="shared" si="58"/>
        <v>938.55102727330154</v>
      </c>
      <c r="BT11" s="60">
        <f t="shared" si="59"/>
        <v>571.30064120813415</v>
      </c>
      <c r="BU11" s="60">
        <f t="shared" si="60"/>
        <v>709.94115967630194</v>
      </c>
      <c r="BV11" s="60">
        <f t="shared" si="61"/>
        <v>802.80882606310797</v>
      </c>
      <c r="BW11" s="60">
        <f t="shared" si="62"/>
        <v>895.96526998086006</v>
      </c>
      <c r="BX11" s="60">
        <f t="shared" si="63"/>
        <v>1036.1463764071091</v>
      </c>
      <c r="BY11" s="60">
        <f t="shared" si="64"/>
        <v>1270.6900706171468</v>
      </c>
      <c r="BZ11" s="60">
        <f t="shared" si="65"/>
        <v>1741.863063001827</v>
      </c>
      <c r="CA11" s="60">
        <f t="shared" si="66"/>
        <v>1533.167927795907</v>
      </c>
      <c r="CB11" s="60">
        <f t="shared" si="67"/>
        <v>1658.3132811349742</v>
      </c>
      <c r="CC11" s="60">
        <f t="shared" si="68"/>
        <v>1743.4370596235169</v>
      </c>
      <c r="CD11" s="60">
        <f t="shared" si="69"/>
        <v>1829.7079347726849</v>
      </c>
      <c r="CE11" s="60">
        <f t="shared" si="70"/>
        <v>1960.9501839158668</v>
      </c>
      <c r="CF11" s="60">
        <f t="shared" si="71"/>
        <v>2183.6367514266244</v>
      </c>
      <c r="CG11" s="60">
        <f t="shared" si="72"/>
        <v>2639.3492056312707</v>
      </c>
      <c r="CH11" s="60">
        <f t="shared" si="73"/>
        <v>3806.8091551034599</v>
      </c>
      <c r="CI11" s="60">
        <f t="shared" si="74"/>
        <v>3889.5088403704503</v>
      </c>
      <c r="CJ11" s="60">
        <f t="shared" si="75"/>
        <v>3948.9838840448983</v>
      </c>
      <c r="CK11" s="60">
        <f t="shared" si="76"/>
        <v>4011.5606247003425</v>
      </c>
      <c r="CL11" s="60">
        <f t="shared" si="77"/>
        <v>4110.6187088038978</v>
      </c>
      <c r="CM11" s="60">
        <f t="shared" si="78"/>
        <v>4287.5167594939003</v>
      </c>
      <c r="CN11" s="60">
        <f t="shared" si="79"/>
        <v>4674.8444805047484</v>
      </c>
    </row>
    <row r="12" spans="1:92" x14ac:dyDescent="0.35">
      <c r="A12" s="3" t="s">
        <v>104</v>
      </c>
      <c r="B12" s="4">
        <f>VLOOKUP(A12,PriceData!$K$4:$L$6,2,FALSE)</f>
        <v>1100</v>
      </c>
      <c r="C12" s="46">
        <f>VLOOKUP(A12,PriceData!$K$4:$M$6,3,FALSE)</f>
        <v>0.02</v>
      </c>
      <c r="D12" s="4" t="s">
        <v>108</v>
      </c>
      <c r="E12" s="4" t="s">
        <v>106</v>
      </c>
      <c r="F12" s="4">
        <v>-50</v>
      </c>
      <c r="G12" s="4">
        <v>1034</v>
      </c>
      <c r="H12" s="4" t="s">
        <v>109</v>
      </c>
      <c r="I12" s="5">
        <v>40256</v>
      </c>
      <c r="J12" s="46">
        <f t="shared" si="0"/>
        <v>0.44598602021318745</v>
      </c>
      <c r="K12" s="30">
        <f>VLOOKUP(I12,PriceData!$A$5:$D$7,MATCH($E12,PriceData!$A$4:$D$4,0),FALSE)</f>
        <v>1.0999999999999999E-2</v>
      </c>
      <c r="L12" s="2">
        <f t="shared" si="1"/>
        <v>53.507243347722067</v>
      </c>
      <c r="M12" s="2">
        <f t="shared" si="2"/>
        <v>-2675.3621673861035</v>
      </c>
      <c r="N12" s="4" t="s">
        <v>107</v>
      </c>
      <c r="P12" s="60">
        <f t="shared" si="3"/>
        <v>-374.01225687551062</v>
      </c>
      <c r="Q12" s="60">
        <f t="shared" si="4"/>
        <v>1044.4936390503108</v>
      </c>
      <c r="R12" s="58">
        <f t="shared" si="5"/>
        <v>1.7356937075521404</v>
      </c>
      <c r="S12" s="58">
        <f t="shared" si="6"/>
        <v>34.454504586982289</v>
      </c>
      <c r="T12" s="58">
        <f t="shared" si="7"/>
        <v>-0.57679726778176055</v>
      </c>
      <c r="U12" s="2">
        <f t="shared" si="8"/>
        <v>-0.79647468534739219</v>
      </c>
      <c r="V12" s="65">
        <f t="shared" si="9"/>
        <v>18700.612843775532</v>
      </c>
      <c r="W12" s="65">
        <f t="shared" si="10"/>
        <v>-52224.681952515537</v>
      </c>
      <c r="X12" s="78">
        <f t="shared" si="11"/>
        <v>-86.784685377607019</v>
      </c>
      <c r="Y12" s="78">
        <f t="shared" si="12"/>
        <v>-1722.7252293491144</v>
      </c>
      <c r="Z12" s="78">
        <f t="shared" si="13"/>
        <v>28.839863389088027</v>
      </c>
      <c r="AA12" s="78">
        <f t="shared" si="14"/>
        <v>39.823734267369609</v>
      </c>
      <c r="AB12" s="78">
        <f t="shared" si="15"/>
        <v>-6092.7897268670249</v>
      </c>
      <c r="AC12" s="78">
        <f t="shared" si="16"/>
        <v>-2438.1769718910077</v>
      </c>
      <c r="AD12" s="78">
        <f t="shared" si="17"/>
        <v>-1071.9336704165642</v>
      </c>
      <c r="AE12" s="78">
        <f t="shared" si="18"/>
        <v>-395.32669986078588</v>
      </c>
      <c r="AF12" s="78">
        <f t="shared" si="19"/>
        <v>353.5666042262477</v>
      </c>
      <c r="AG12" s="78">
        <f t="shared" si="20"/>
        <v>811.58083008776885</v>
      </c>
      <c r="AH12" s="78">
        <f t="shared" si="21"/>
        <v>1406.1695940464119</v>
      </c>
      <c r="AI12" s="78">
        <f t="shared" si="22"/>
        <v>2121.4971836864379</v>
      </c>
      <c r="AJ12" s="78">
        <f t="shared" si="23"/>
        <v>856.5233693876479</v>
      </c>
      <c r="AK12" s="78">
        <f t="shared" si="24"/>
        <v>431.47085802651191</v>
      </c>
      <c r="AL12" s="78">
        <f t="shared" si="25"/>
        <v>173.2069298637839</v>
      </c>
      <c r="AM12" s="78">
        <f t="shared" si="26"/>
        <v>86.69635971775449</v>
      </c>
      <c r="AN12" s="78">
        <f t="shared" si="27"/>
        <v>-86.868721458299092</v>
      </c>
      <c r="AO12" s="78">
        <f t="shared" si="28"/>
        <v>-173.89744936097316</v>
      </c>
      <c r="AP12" s="78">
        <f t="shared" si="29"/>
        <v>-435.83403868220785</v>
      </c>
      <c r="AQ12" s="78">
        <f t="shared" si="30"/>
        <v>-874.68416919206788</v>
      </c>
      <c r="AR12" s="60">
        <f t="shared" si="31"/>
        <v>-5820.3062091854263</v>
      </c>
      <c r="AS12" s="60">
        <f t="shared" si="32"/>
        <v>-5980.7245912959588</v>
      </c>
      <c r="AT12" s="60">
        <f t="shared" si="33"/>
        <v>-6092.7897268670249</v>
      </c>
      <c r="AU12" s="60">
        <f t="shared" si="34"/>
        <v>-6208.472249977066</v>
      </c>
      <c r="AV12" s="60">
        <f t="shared" si="35"/>
        <v>-6388.0047969624829</v>
      </c>
      <c r="AW12" s="60">
        <f t="shared" si="36"/>
        <v>-6700.7731796756643</v>
      </c>
      <c r="AX12" s="60">
        <f t="shared" si="37"/>
        <v>-7364.4677978839727</v>
      </c>
      <c r="AY12" s="60">
        <f t="shared" si="38"/>
        <v>-2018.8749391091533</v>
      </c>
      <c r="AZ12" s="60">
        <f t="shared" si="39"/>
        <v>-2270.1395279473472</v>
      </c>
      <c r="BA12" s="60">
        <f t="shared" si="40"/>
        <v>-2438.1769718910077</v>
      </c>
      <c r="BB12" s="60">
        <f t="shared" si="41"/>
        <v>-2606.5605504087812</v>
      </c>
      <c r="BC12" s="60">
        <f t="shared" si="42"/>
        <v>-2859.6691209189289</v>
      </c>
      <c r="BD12" s="60">
        <f t="shared" si="43"/>
        <v>-3282.587013427124</v>
      </c>
      <c r="BE12" s="60">
        <f t="shared" si="44"/>
        <v>-4130.7335692626675</v>
      </c>
      <c r="BF12" s="60">
        <f t="shared" si="45"/>
        <v>-628.11613371235921</v>
      </c>
      <c r="BG12" s="60">
        <f t="shared" si="46"/>
        <v>-894.44400669887898</v>
      </c>
      <c r="BH12" s="60">
        <f t="shared" si="47"/>
        <v>-1071.9336704165642</v>
      </c>
      <c r="BI12" s="60">
        <f t="shared" si="48"/>
        <v>-1249.3666760379767</v>
      </c>
      <c r="BJ12" s="60">
        <f t="shared" si="49"/>
        <v>-1515.398249161356</v>
      </c>
      <c r="BK12" s="60">
        <f t="shared" si="50"/>
        <v>-1958.428982160754</v>
      </c>
      <c r="BL12" s="60">
        <f t="shared" si="51"/>
        <v>-2842.9122776202148</v>
      </c>
      <c r="BM12" s="60">
        <f t="shared" si="52"/>
        <v>431.47085802651191</v>
      </c>
      <c r="BN12" s="60">
        <f t="shared" si="53"/>
        <v>173.2069298637839</v>
      </c>
      <c r="BO12" s="60">
        <f t="shared" si="54"/>
        <v>0</v>
      </c>
      <c r="BP12" s="60">
        <f t="shared" si="55"/>
        <v>-173.89744936097316</v>
      </c>
      <c r="BQ12" s="60">
        <f t="shared" si="56"/>
        <v>-435.83403868220785</v>
      </c>
      <c r="BR12" s="60">
        <f t="shared" si="57"/>
        <v>-874.68416919206788</v>
      </c>
      <c r="BS12" s="60">
        <f t="shared" si="58"/>
        <v>-1757.9972841875303</v>
      </c>
      <c r="BT12" s="60">
        <f t="shared" si="59"/>
        <v>1201.6083331665272</v>
      </c>
      <c r="BU12" s="60">
        <f t="shared" si="60"/>
        <v>969.53107611383018</v>
      </c>
      <c r="BV12" s="60">
        <f t="shared" si="61"/>
        <v>811.58083008776885</v>
      </c>
      <c r="BW12" s="60">
        <f t="shared" si="62"/>
        <v>651.40589811373673</v>
      </c>
      <c r="BX12" s="60">
        <f t="shared" si="63"/>
        <v>407.5314335827926</v>
      </c>
      <c r="BY12" s="60">
        <f t="shared" si="64"/>
        <v>-6.8394011411157862</v>
      </c>
      <c r="BZ12" s="60">
        <f t="shared" si="65"/>
        <v>-856.88660322921066</v>
      </c>
      <c r="CA12" s="60">
        <f t="shared" si="66"/>
        <v>1737.3710124516392</v>
      </c>
      <c r="CB12" s="60">
        <f t="shared" si="67"/>
        <v>1542.0467013540247</v>
      </c>
      <c r="CC12" s="60">
        <f t="shared" si="68"/>
        <v>1406.1695940464119</v>
      </c>
      <c r="CD12" s="60">
        <f t="shared" si="69"/>
        <v>1266.3083768194938</v>
      </c>
      <c r="CE12" s="60">
        <f t="shared" si="70"/>
        <v>1049.9208771887254</v>
      </c>
      <c r="CF12" s="60">
        <f t="shared" si="71"/>
        <v>674.4650787495118</v>
      </c>
      <c r="CG12" s="60">
        <f t="shared" si="72"/>
        <v>-117.91147876119794</v>
      </c>
      <c r="CH12" s="60">
        <f t="shared" si="73"/>
        <v>2326.1818895701608</v>
      </c>
      <c r="CI12" s="60">
        <f t="shared" si="74"/>
        <v>2208.5233763887259</v>
      </c>
      <c r="CJ12" s="60">
        <f t="shared" si="75"/>
        <v>2121.4971836864379</v>
      </c>
      <c r="CK12" s="60">
        <f t="shared" si="76"/>
        <v>2028.081590970605</v>
      </c>
      <c r="CL12" s="60">
        <f t="shared" si="77"/>
        <v>1876.8727894719902</v>
      </c>
      <c r="CM12" s="60">
        <f t="shared" si="78"/>
        <v>1598.5346235315346</v>
      </c>
      <c r="CN12" s="60">
        <f t="shared" si="79"/>
        <v>962.17108984579056</v>
      </c>
    </row>
    <row r="13" spans="1:92" x14ac:dyDescent="0.35">
      <c r="A13" s="3" t="s">
        <v>104</v>
      </c>
      <c r="B13" s="4">
        <f>VLOOKUP(A13,PriceData!$K$4:$L$6,2,FALSE)</f>
        <v>1100</v>
      </c>
      <c r="C13" s="46">
        <f>VLOOKUP(A13,PriceData!$K$4:$M$6,3,FALSE)</f>
        <v>0.02</v>
      </c>
      <c r="D13" s="4" t="s">
        <v>108</v>
      </c>
      <c r="E13" s="4" t="s">
        <v>106</v>
      </c>
      <c r="F13" s="4">
        <v>-50</v>
      </c>
      <c r="G13" s="4">
        <v>1034</v>
      </c>
      <c r="H13" s="4" t="s">
        <v>109</v>
      </c>
      <c r="I13" s="5">
        <v>40256</v>
      </c>
      <c r="J13" s="46">
        <f t="shared" si="0"/>
        <v>0.44598602021318745</v>
      </c>
      <c r="K13" s="30">
        <f>VLOOKUP(I13,PriceData!$A$5:$D$7,MATCH($E13,PriceData!$A$4:$D$4,0),FALSE)</f>
        <v>1.0999999999999999E-2</v>
      </c>
      <c r="L13" s="2">
        <f t="shared" si="1"/>
        <v>53.507243347722067</v>
      </c>
      <c r="M13" s="2">
        <f t="shared" si="2"/>
        <v>-2675.3621673861035</v>
      </c>
      <c r="N13" s="4" t="s">
        <v>110</v>
      </c>
      <c r="P13" s="60">
        <f t="shared" si="3"/>
        <v>-374.01225687551062</v>
      </c>
      <c r="Q13" s="60">
        <f t="shared" si="4"/>
        <v>1044.4936390503108</v>
      </c>
      <c r="R13" s="58">
        <f t="shared" si="5"/>
        <v>1.7356937075521404</v>
      </c>
      <c r="S13" s="58">
        <f t="shared" si="6"/>
        <v>34.454504586982289</v>
      </c>
      <c r="T13" s="58">
        <f t="shared" si="7"/>
        <v>-0.57679726778176055</v>
      </c>
      <c r="U13" s="2">
        <f t="shared" si="8"/>
        <v>-0.79647468534739219</v>
      </c>
      <c r="V13" s="65">
        <f t="shared" si="9"/>
        <v>18700.612843775532</v>
      </c>
      <c r="W13" s="65">
        <f t="shared" si="10"/>
        <v>-52224.681952515537</v>
      </c>
      <c r="X13" s="78">
        <f t="shared" si="11"/>
        <v>-86.784685377607019</v>
      </c>
      <c r="Y13" s="78">
        <f t="shared" si="12"/>
        <v>-1722.7252293491144</v>
      </c>
      <c r="Z13" s="78">
        <f t="shared" si="13"/>
        <v>28.839863389088027</v>
      </c>
      <c r="AA13" s="78">
        <f t="shared" si="14"/>
        <v>39.823734267369609</v>
      </c>
      <c r="AB13" s="78">
        <f t="shared" si="15"/>
        <v>-6092.7897268670249</v>
      </c>
      <c r="AC13" s="78">
        <f t="shared" si="16"/>
        <v>-2438.1769718910077</v>
      </c>
      <c r="AD13" s="78">
        <f t="shared" si="17"/>
        <v>-1071.9336704165642</v>
      </c>
      <c r="AE13" s="78">
        <f t="shared" si="18"/>
        <v>-395.32669986078588</v>
      </c>
      <c r="AF13" s="78">
        <f t="shared" si="19"/>
        <v>353.5666042262477</v>
      </c>
      <c r="AG13" s="78">
        <f t="shared" si="20"/>
        <v>811.58083008776885</v>
      </c>
      <c r="AH13" s="78">
        <f t="shared" si="21"/>
        <v>1406.1695940464119</v>
      </c>
      <c r="AI13" s="78">
        <f t="shared" si="22"/>
        <v>2121.4971836864379</v>
      </c>
      <c r="AJ13" s="78">
        <f t="shared" si="23"/>
        <v>856.5233693876479</v>
      </c>
      <c r="AK13" s="78">
        <f t="shared" si="24"/>
        <v>431.47085802651191</v>
      </c>
      <c r="AL13" s="78">
        <f t="shared" si="25"/>
        <v>173.2069298637839</v>
      </c>
      <c r="AM13" s="78">
        <f t="shared" si="26"/>
        <v>86.69635971775449</v>
      </c>
      <c r="AN13" s="78">
        <f t="shared" si="27"/>
        <v>-86.868721458299092</v>
      </c>
      <c r="AO13" s="78">
        <f t="shared" si="28"/>
        <v>-173.89744936097316</v>
      </c>
      <c r="AP13" s="78">
        <f t="shared" si="29"/>
        <v>-435.83403868220785</v>
      </c>
      <c r="AQ13" s="78">
        <f t="shared" si="30"/>
        <v>-874.68416919206788</v>
      </c>
      <c r="AR13" s="60">
        <f t="shared" si="31"/>
        <v>-5820.3062091854263</v>
      </c>
      <c r="AS13" s="60">
        <f t="shared" si="32"/>
        <v>-5980.7245912959588</v>
      </c>
      <c r="AT13" s="60">
        <f t="shared" si="33"/>
        <v>-6092.7897268670249</v>
      </c>
      <c r="AU13" s="60">
        <f t="shared" si="34"/>
        <v>-6208.472249977066</v>
      </c>
      <c r="AV13" s="60">
        <f t="shared" si="35"/>
        <v>-6388.0047969624829</v>
      </c>
      <c r="AW13" s="60">
        <f t="shared" si="36"/>
        <v>-6700.7731796756643</v>
      </c>
      <c r="AX13" s="60">
        <f t="shared" si="37"/>
        <v>-7364.4677978839727</v>
      </c>
      <c r="AY13" s="60">
        <f t="shared" si="38"/>
        <v>-2018.8749391091533</v>
      </c>
      <c r="AZ13" s="60">
        <f t="shared" si="39"/>
        <v>-2270.1395279473472</v>
      </c>
      <c r="BA13" s="60">
        <f t="shared" si="40"/>
        <v>-2438.1769718910077</v>
      </c>
      <c r="BB13" s="60">
        <f t="shared" si="41"/>
        <v>-2606.5605504087812</v>
      </c>
      <c r="BC13" s="60">
        <f t="shared" si="42"/>
        <v>-2859.6691209189289</v>
      </c>
      <c r="BD13" s="60">
        <f t="shared" si="43"/>
        <v>-3282.587013427124</v>
      </c>
      <c r="BE13" s="60">
        <f t="shared" si="44"/>
        <v>-4130.7335692626675</v>
      </c>
      <c r="BF13" s="60">
        <f t="shared" si="45"/>
        <v>-628.11613371235921</v>
      </c>
      <c r="BG13" s="60">
        <f t="shared" si="46"/>
        <v>-894.44400669887898</v>
      </c>
      <c r="BH13" s="60">
        <f t="shared" si="47"/>
        <v>-1071.9336704165642</v>
      </c>
      <c r="BI13" s="60">
        <f t="shared" si="48"/>
        <v>-1249.3666760379767</v>
      </c>
      <c r="BJ13" s="60">
        <f t="shared" si="49"/>
        <v>-1515.398249161356</v>
      </c>
      <c r="BK13" s="60">
        <f t="shared" si="50"/>
        <v>-1958.428982160754</v>
      </c>
      <c r="BL13" s="60">
        <f t="shared" si="51"/>
        <v>-2842.9122776202148</v>
      </c>
      <c r="BM13" s="60">
        <f t="shared" si="52"/>
        <v>431.47085802651191</v>
      </c>
      <c r="BN13" s="60">
        <f t="shared" si="53"/>
        <v>173.2069298637839</v>
      </c>
      <c r="BO13" s="60">
        <f t="shared" si="54"/>
        <v>0</v>
      </c>
      <c r="BP13" s="60">
        <f t="shared" si="55"/>
        <v>-173.89744936097316</v>
      </c>
      <c r="BQ13" s="60">
        <f t="shared" si="56"/>
        <v>-435.83403868220785</v>
      </c>
      <c r="BR13" s="60">
        <f t="shared" si="57"/>
        <v>-874.68416919206788</v>
      </c>
      <c r="BS13" s="60">
        <f t="shared" si="58"/>
        <v>-1757.9972841875303</v>
      </c>
      <c r="BT13" s="60">
        <f t="shared" si="59"/>
        <v>1201.6083331665272</v>
      </c>
      <c r="BU13" s="60">
        <f t="shared" si="60"/>
        <v>969.53107611383018</v>
      </c>
      <c r="BV13" s="60">
        <f t="shared" si="61"/>
        <v>811.58083008776885</v>
      </c>
      <c r="BW13" s="60">
        <f t="shared" si="62"/>
        <v>651.40589811373673</v>
      </c>
      <c r="BX13" s="60">
        <f t="shared" si="63"/>
        <v>407.5314335827926</v>
      </c>
      <c r="BY13" s="60">
        <f t="shared" si="64"/>
        <v>-6.8394011411157862</v>
      </c>
      <c r="BZ13" s="60">
        <f t="shared" si="65"/>
        <v>-856.88660322921066</v>
      </c>
      <c r="CA13" s="60">
        <f t="shared" si="66"/>
        <v>1737.3710124516392</v>
      </c>
      <c r="CB13" s="60">
        <f t="shared" si="67"/>
        <v>1542.0467013540247</v>
      </c>
      <c r="CC13" s="60">
        <f t="shared" si="68"/>
        <v>1406.1695940464119</v>
      </c>
      <c r="CD13" s="60">
        <f t="shared" si="69"/>
        <v>1266.3083768194938</v>
      </c>
      <c r="CE13" s="60">
        <f t="shared" si="70"/>
        <v>1049.9208771887254</v>
      </c>
      <c r="CF13" s="60">
        <f t="shared" si="71"/>
        <v>674.4650787495118</v>
      </c>
      <c r="CG13" s="60">
        <f t="shared" si="72"/>
        <v>-117.91147876119794</v>
      </c>
      <c r="CH13" s="60">
        <f t="shared" si="73"/>
        <v>2326.1818895701608</v>
      </c>
      <c r="CI13" s="60">
        <f t="shared" si="74"/>
        <v>2208.5233763887259</v>
      </c>
      <c r="CJ13" s="60">
        <f t="shared" si="75"/>
        <v>2121.4971836864379</v>
      </c>
      <c r="CK13" s="60">
        <f t="shared" si="76"/>
        <v>2028.081590970605</v>
      </c>
      <c r="CL13" s="60">
        <f t="shared" si="77"/>
        <v>1876.8727894719902</v>
      </c>
      <c r="CM13" s="60">
        <f t="shared" si="78"/>
        <v>1598.5346235315346</v>
      </c>
      <c r="CN13" s="60">
        <f t="shared" si="79"/>
        <v>962.17108984579056</v>
      </c>
    </row>
    <row r="14" spans="1:92" x14ac:dyDescent="0.35">
      <c r="A14" s="3" t="s">
        <v>104</v>
      </c>
      <c r="B14" s="4">
        <f>VLOOKUP(A14,PriceData!$K$4:$L$6,2,FALSE)</f>
        <v>1100</v>
      </c>
      <c r="C14" s="46">
        <f>VLOOKUP(A14,PriceData!$K$4:$M$6,3,FALSE)</f>
        <v>0.02</v>
      </c>
      <c r="D14" s="4" t="s">
        <v>108</v>
      </c>
      <c r="E14" s="4" t="s">
        <v>106</v>
      </c>
      <c r="F14" s="4">
        <v>-50</v>
      </c>
      <c r="G14" s="4">
        <v>1100</v>
      </c>
      <c r="H14" s="4" t="s">
        <v>111</v>
      </c>
      <c r="I14" s="5">
        <v>40256</v>
      </c>
      <c r="J14" s="46">
        <f t="shared" si="0"/>
        <v>0.4092008007118651</v>
      </c>
      <c r="K14" s="30">
        <f>VLOOKUP(I14,PriceData!$A$5:$D$7,MATCH($E14,PriceData!$A$4:$D$4,0),FALSE)</f>
        <v>1.0999999999999999E-2</v>
      </c>
      <c r="L14" s="2">
        <f t="shared" si="1"/>
        <v>76.268259097077362</v>
      </c>
      <c r="M14" s="2">
        <f t="shared" si="2"/>
        <v>-3813.4129548538681</v>
      </c>
      <c r="N14" s="4" t="s">
        <v>110</v>
      </c>
      <c r="P14" s="60">
        <f t="shared" si="3"/>
        <v>582.37830436058039</v>
      </c>
      <c r="Q14" s="60">
        <f t="shared" si="4"/>
        <v>1233.8463888444114</v>
      </c>
      <c r="R14" s="62">
        <f t="shared" si="5"/>
        <v>1.8812374388163944</v>
      </c>
      <c r="S14" s="58">
        <f t="shared" si="6"/>
        <v>-3.5439559316827283</v>
      </c>
      <c r="T14" s="58">
        <f t="shared" si="7"/>
        <v>-0.54937374616319246</v>
      </c>
      <c r="U14" s="2">
        <f t="shared" si="8"/>
        <v>0.94288994734022469</v>
      </c>
      <c r="V14" s="65">
        <f t="shared" si="9"/>
        <v>-29118.915218029018</v>
      </c>
      <c r="W14" s="65">
        <f t="shared" si="10"/>
        <v>-61692.319442220571</v>
      </c>
      <c r="X14" s="78">
        <f t="shared" si="11"/>
        <v>-94.061871940819714</v>
      </c>
      <c r="Y14" s="78">
        <f t="shared" si="12"/>
        <v>177.19779658413643</v>
      </c>
      <c r="Z14" s="78">
        <f t="shared" si="13"/>
        <v>27.468687308159623</v>
      </c>
      <c r="AA14" s="78">
        <f t="shared" si="14"/>
        <v>-47.144497367011233</v>
      </c>
      <c r="AB14" s="78">
        <f t="shared" si="15"/>
        <v>3396.8067527448652</v>
      </c>
      <c r="AC14" s="78">
        <f t="shared" si="16"/>
        <v>2281.8139691817605</v>
      </c>
      <c r="AD14" s="78">
        <f t="shared" si="17"/>
        <v>1298.9804040079748</v>
      </c>
      <c r="AE14" s="78">
        <f t="shared" si="18"/>
        <v>557.48762339533755</v>
      </c>
      <c r="AF14" s="78">
        <f t="shared" si="19"/>
        <v>-606.79459675880025</v>
      </c>
      <c r="AG14" s="78">
        <f t="shared" si="20"/>
        <v>-1605.6176521262159</v>
      </c>
      <c r="AH14" s="78">
        <f t="shared" si="21"/>
        <v>-3486.8741192470338</v>
      </c>
      <c r="AI14" s="78">
        <f t="shared" si="22"/>
        <v>-7897.9677680897967</v>
      </c>
      <c r="AJ14" s="78">
        <f t="shared" si="23"/>
        <v>941.42879655590264</v>
      </c>
      <c r="AK14" s="78">
        <f t="shared" si="24"/>
        <v>470.52143251543725</v>
      </c>
      <c r="AL14" s="78">
        <f t="shared" si="25"/>
        <v>188.15858230355502</v>
      </c>
      <c r="AM14" s="78">
        <f t="shared" si="26"/>
        <v>94.070656765660488</v>
      </c>
      <c r="AN14" s="78">
        <f t="shared" si="27"/>
        <v>-94.052937131081649</v>
      </c>
      <c r="AO14" s="78">
        <f t="shared" si="28"/>
        <v>-188.08770550987788</v>
      </c>
      <c r="AP14" s="78">
        <f t="shared" si="29"/>
        <v>-470.07852983339262</v>
      </c>
      <c r="AQ14" s="78">
        <f t="shared" si="30"/>
        <v>-939.6583475788475</v>
      </c>
      <c r="AR14" s="60">
        <f t="shared" si="31"/>
        <v>3564.44636481111</v>
      </c>
      <c r="AS14" s="60">
        <f t="shared" si="32"/>
        <v>3468.6370738265045</v>
      </c>
      <c r="AT14" s="60">
        <f t="shared" si="33"/>
        <v>3396.8067527448652</v>
      </c>
      <c r="AU14" s="60">
        <f t="shared" si="34"/>
        <v>3319.0776972611743</v>
      </c>
      <c r="AV14" s="60">
        <f t="shared" si="35"/>
        <v>3192.3016672517911</v>
      </c>
      <c r="AW14" s="60">
        <f t="shared" si="36"/>
        <v>2957.0287911107584</v>
      </c>
      <c r="AX14" s="60">
        <f t="shared" si="37"/>
        <v>2415.0082386120289</v>
      </c>
      <c r="AY14" s="60">
        <f t="shared" si="38"/>
        <v>2643.9928269264287</v>
      </c>
      <c r="AZ14" s="60">
        <f t="shared" si="39"/>
        <v>2428.9853618744473</v>
      </c>
      <c r="BA14" s="60">
        <f t="shared" si="40"/>
        <v>2281.8139691817605</v>
      </c>
      <c r="BB14" s="60">
        <f t="shared" si="41"/>
        <v>2132.0281881729129</v>
      </c>
      <c r="BC14" s="60">
        <f t="shared" si="42"/>
        <v>1903.139205821077</v>
      </c>
      <c r="BD14" s="60">
        <f t="shared" si="43"/>
        <v>1512.5264479414113</v>
      </c>
      <c r="BE14" s="60">
        <f t="shared" si="44"/>
        <v>707.05889896127871</v>
      </c>
      <c r="BF14" s="60">
        <f t="shared" si="45"/>
        <v>1734.7095252038116</v>
      </c>
      <c r="BG14" s="60">
        <f t="shared" si="46"/>
        <v>1473.9135329044843</v>
      </c>
      <c r="BH14" s="60">
        <f t="shared" si="47"/>
        <v>1298.9804040079748</v>
      </c>
      <c r="BI14" s="60">
        <f t="shared" si="48"/>
        <v>1123.3417153371533</v>
      </c>
      <c r="BJ14" s="60">
        <f t="shared" si="49"/>
        <v>858.78403075611516</v>
      </c>
      <c r="BK14" s="60">
        <f t="shared" si="50"/>
        <v>415.58444103517047</v>
      </c>
      <c r="BL14" s="60">
        <f t="shared" si="51"/>
        <v>-476.23204405891499</v>
      </c>
      <c r="BM14" s="60">
        <f t="shared" si="52"/>
        <v>470.52143251543725</v>
      </c>
      <c r="BN14" s="60">
        <f t="shared" si="53"/>
        <v>188.15858230355502</v>
      </c>
      <c r="BO14" s="60">
        <f t="shared" si="54"/>
        <v>0</v>
      </c>
      <c r="BP14" s="60">
        <f t="shared" si="55"/>
        <v>-188.08770550987788</v>
      </c>
      <c r="BQ14" s="60">
        <f t="shared" si="56"/>
        <v>-470.07852983339262</v>
      </c>
      <c r="BR14" s="60">
        <f t="shared" si="57"/>
        <v>-939.6583475788475</v>
      </c>
      <c r="BS14" s="60">
        <f t="shared" si="58"/>
        <v>-1877.1020545466031</v>
      </c>
      <c r="BT14" s="60">
        <f t="shared" si="59"/>
        <v>-1142.6012824162683</v>
      </c>
      <c r="BU14" s="60">
        <f t="shared" si="60"/>
        <v>-1419.8823193526039</v>
      </c>
      <c r="BV14" s="60">
        <f t="shared" si="61"/>
        <v>-1605.6176521262159</v>
      </c>
      <c r="BW14" s="60">
        <f t="shared" si="62"/>
        <v>-1791.9305399617201</v>
      </c>
      <c r="BX14" s="60">
        <f t="shared" si="63"/>
        <v>-2072.2927528142181</v>
      </c>
      <c r="BY14" s="60">
        <f t="shared" si="64"/>
        <v>-2541.3801412342937</v>
      </c>
      <c r="BZ14" s="60">
        <f t="shared" si="65"/>
        <v>-3483.7261260036539</v>
      </c>
      <c r="CA14" s="60">
        <f t="shared" si="66"/>
        <v>-3066.3358555918139</v>
      </c>
      <c r="CB14" s="60">
        <f t="shared" si="67"/>
        <v>-3316.6265622699484</v>
      </c>
      <c r="CC14" s="60">
        <f t="shared" si="68"/>
        <v>-3486.8741192470338</v>
      </c>
      <c r="CD14" s="60">
        <f t="shared" si="69"/>
        <v>-3659.4158695453698</v>
      </c>
      <c r="CE14" s="60">
        <f t="shared" si="70"/>
        <v>-3921.9003678317335</v>
      </c>
      <c r="CF14" s="60">
        <f t="shared" si="71"/>
        <v>-4367.2735028532488</v>
      </c>
      <c r="CG14" s="60">
        <f t="shared" si="72"/>
        <v>-5278.6984112625414</v>
      </c>
      <c r="CH14" s="60">
        <f t="shared" si="73"/>
        <v>-7613.6183102069199</v>
      </c>
      <c r="CI14" s="60">
        <f t="shared" si="74"/>
        <v>-7779.0176807409007</v>
      </c>
      <c r="CJ14" s="60">
        <f t="shared" si="75"/>
        <v>-7897.9677680897967</v>
      </c>
      <c r="CK14" s="60">
        <f t="shared" si="76"/>
        <v>-8023.121249400685</v>
      </c>
      <c r="CL14" s="60">
        <f t="shared" si="77"/>
        <v>-8221.2374176077956</v>
      </c>
      <c r="CM14" s="60">
        <f t="shared" si="78"/>
        <v>-8575.0335189878006</v>
      </c>
      <c r="CN14" s="60">
        <f t="shared" si="79"/>
        <v>-9349.6889610094968</v>
      </c>
    </row>
    <row r="15" spans="1:92" x14ac:dyDescent="0.35">
      <c r="A15" s="3" t="s">
        <v>104</v>
      </c>
      <c r="B15" s="4">
        <f>VLOOKUP(A15,PriceData!$K$4:$L$6,2,FALSE)</f>
        <v>1100</v>
      </c>
      <c r="C15" s="46">
        <f>VLOOKUP(A15,PriceData!$K$4:$M$6,3,FALSE)</f>
        <v>0.02</v>
      </c>
      <c r="D15" s="4" t="s">
        <v>108</v>
      </c>
      <c r="E15" s="4" t="s">
        <v>106</v>
      </c>
      <c r="F15" s="4">
        <v>30</v>
      </c>
      <c r="G15" s="4">
        <v>1232</v>
      </c>
      <c r="H15" s="4" t="s">
        <v>111</v>
      </c>
      <c r="I15" s="5">
        <v>40256</v>
      </c>
      <c r="J15" s="46">
        <f t="shared" si="0"/>
        <v>0.37936391354619808</v>
      </c>
      <c r="K15" s="30">
        <f>VLOOKUP(I15,PriceData!$A$5:$D$7,MATCH($E15,PriceData!$A$4:$D$4,0),FALSE)</f>
        <v>1.0999999999999999E-2</v>
      </c>
      <c r="L15" s="2">
        <f t="shared" si="1"/>
        <v>26.997775797652309</v>
      </c>
      <c r="M15" s="2">
        <f t="shared" si="2"/>
        <v>809.93327392956928</v>
      </c>
      <c r="N15" s="4" t="s">
        <v>107</v>
      </c>
      <c r="P15" s="60">
        <f t="shared" si="3"/>
        <v>293.12405656172189</v>
      </c>
      <c r="Q15" s="60">
        <f t="shared" si="4"/>
        <v>1101.2604335686806</v>
      </c>
      <c r="R15" s="58">
        <f t="shared" si="5"/>
        <v>1.5566540174262706</v>
      </c>
      <c r="S15" s="58">
        <f t="shared" si="6"/>
        <v>199.66536437002807</v>
      </c>
      <c r="T15" s="58">
        <f t="shared" si="7"/>
        <v>-0.42617803435527768</v>
      </c>
      <c r="U15" s="2">
        <f t="shared" si="8"/>
        <v>0.49579690662895154</v>
      </c>
      <c r="V15" s="65">
        <f t="shared" si="9"/>
        <v>8793.7216968516568</v>
      </c>
      <c r="W15" s="65">
        <f t="shared" si="10"/>
        <v>33037.813007060417</v>
      </c>
      <c r="X15" s="78">
        <f t="shared" si="11"/>
        <v>46.699620522788116</v>
      </c>
      <c r="Y15" s="78">
        <f t="shared" si="12"/>
        <v>5989.9609311008426</v>
      </c>
      <c r="Z15" s="78">
        <f t="shared" si="13"/>
        <v>-12.78534103065833</v>
      </c>
      <c r="AA15" s="78">
        <f t="shared" si="14"/>
        <v>14.873907198868546</v>
      </c>
      <c r="AB15" s="78">
        <f t="shared" si="15"/>
        <v>-773.72229901932917</v>
      </c>
      <c r="AC15" s="78">
        <f t="shared" si="16"/>
        <v>-587.20314248145257</v>
      </c>
      <c r="AD15" s="78">
        <f t="shared" si="17"/>
        <v>-361.44804421261767</v>
      </c>
      <c r="AE15" s="78">
        <f t="shared" si="18"/>
        <v>-162.91891406911304</v>
      </c>
      <c r="AF15" s="78">
        <f t="shared" si="19"/>
        <v>189.32074849326341</v>
      </c>
      <c r="AG15" s="78">
        <f t="shared" si="20"/>
        <v>525.53638928031432</v>
      </c>
      <c r="AH15" s="78">
        <f t="shared" si="21"/>
        <v>1230.8597076591691</v>
      </c>
      <c r="AI15" s="78">
        <f t="shared" si="22"/>
        <v>3171.7942720460082</v>
      </c>
      <c r="AJ15" s="78">
        <f t="shared" si="23"/>
        <v>-428.61728976425866</v>
      </c>
      <c r="AK15" s="78">
        <f t="shared" si="24"/>
        <v>-225.07112410459968</v>
      </c>
      <c r="AL15" s="78">
        <f t="shared" si="25"/>
        <v>-92.144887561113649</v>
      </c>
      <c r="AM15" s="78">
        <f t="shared" si="26"/>
        <v>-46.393222930397542</v>
      </c>
      <c r="AN15" s="78">
        <f t="shared" si="27"/>
        <v>46.992494571075554</v>
      </c>
      <c r="AO15" s="78">
        <f t="shared" si="28"/>
        <v>94.545284338149145</v>
      </c>
      <c r="AP15" s="78">
        <f t="shared" si="29"/>
        <v>240.21937562104426</v>
      </c>
      <c r="AQ15" s="78">
        <f t="shared" si="30"/>
        <v>491.34513150444036</v>
      </c>
      <c r="AR15" s="60">
        <f t="shared" si="31"/>
        <v>-797.11474168996415</v>
      </c>
      <c r="AS15" s="60">
        <f t="shared" si="32"/>
        <v>-785.0084771866708</v>
      </c>
      <c r="AT15" s="60">
        <f t="shared" si="33"/>
        <v>-773.72229901932917</v>
      </c>
      <c r="AU15" s="60">
        <f t="shared" si="34"/>
        <v>-759.59631114693082</v>
      </c>
      <c r="AV15" s="60">
        <f t="shared" si="35"/>
        <v>-732.75673050856187</v>
      </c>
      <c r="AW15" s="60">
        <f t="shared" si="36"/>
        <v>-672.40221099513417</v>
      </c>
      <c r="AX15" s="60">
        <f t="shared" si="37"/>
        <v>-494.64811034885201</v>
      </c>
      <c r="AY15" s="60">
        <f t="shared" si="38"/>
        <v>-687.49567228551814</v>
      </c>
      <c r="AZ15" s="60">
        <f t="shared" si="39"/>
        <v>-630.82162331389884</v>
      </c>
      <c r="BA15" s="60">
        <f t="shared" si="40"/>
        <v>-587.20314248145257</v>
      </c>
      <c r="BB15" s="60">
        <f t="shared" si="41"/>
        <v>-539.22441566686416</v>
      </c>
      <c r="BC15" s="60">
        <f t="shared" si="42"/>
        <v>-459.69663078032312</v>
      </c>
      <c r="BD15" s="60">
        <f t="shared" si="43"/>
        <v>-309.30193036198574</v>
      </c>
      <c r="BE15" s="60">
        <f t="shared" si="44"/>
        <v>44.629360420500745</v>
      </c>
      <c r="BF15" s="60">
        <f t="shared" si="45"/>
        <v>-522.50244737593016</v>
      </c>
      <c r="BG15" s="60">
        <f t="shared" si="46"/>
        <v>-429.0591962585799</v>
      </c>
      <c r="BH15" s="60">
        <f t="shared" si="47"/>
        <v>-361.44804421261767</v>
      </c>
      <c r="BI15" s="60">
        <f t="shared" si="48"/>
        <v>-290.07573161562618</v>
      </c>
      <c r="BJ15" s="60">
        <f t="shared" si="49"/>
        <v>-176.77876474281078</v>
      </c>
      <c r="BK15" s="60">
        <f t="shared" si="50"/>
        <v>26.049232470885784</v>
      </c>
      <c r="BL15" s="60">
        <f t="shared" si="51"/>
        <v>470.6995869401527</v>
      </c>
      <c r="BM15" s="60">
        <f t="shared" si="52"/>
        <v>-225.07112410459968</v>
      </c>
      <c r="BN15" s="60">
        <f t="shared" si="53"/>
        <v>-92.144887561113649</v>
      </c>
      <c r="BO15" s="60">
        <f t="shared" si="54"/>
        <v>0</v>
      </c>
      <c r="BP15" s="60">
        <f t="shared" si="55"/>
        <v>94.545284338149145</v>
      </c>
      <c r="BQ15" s="60">
        <f t="shared" si="56"/>
        <v>240.21937562104426</v>
      </c>
      <c r="BR15" s="60">
        <f t="shared" si="57"/>
        <v>491.34513150444036</v>
      </c>
      <c r="BS15" s="60">
        <f t="shared" si="58"/>
        <v>1015.6385758017996</v>
      </c>
      <c r="BT15" s="60">
        <f t="shared" si="59"/>
        <v>246.73710963450162</v>
      </c>
      <c r="BU15" s="60">
        <f t="shared" si="60"/>
        <v>413.16716550843125</v>
      </c>
      <c r="BV15" s="60">
        <f t="shared" si="61"/>
        <v>525.53638928031432</v>
      </c>
      <c r="BW15" s="60">
        <f t="shared" si="62"/>
        <v>638.8411128341113</v>
      </c>
      <c r="BX15" s="60">
        <f t="shared" si="63"/>
        <v>810.26217950827572</v>
      </c>
      <c r="BY15" s="60">
        <f t="shared" si="64"/>
        <v>1099.0206494060199</v>
      </c>
      <c r="BZ15" s="60">
        <f t="shared" si="65"/>
        <v>1684.1361063438933</v>
      </c>
      <c r="CA15" s="60">
        <f t="shared" si="66"/>
        <v>919.92964533252291</v>
      </c>
      <c r="CB15" s="60">
        <f t="shared" si="67"/>
        <v>1106.432109481887</v>
      </c>
      <c r="CC15" s="60">
        <f t="shared" si="68"/>
        <v>1230.8597076591691</v>
      </c>
      <c r="CD15" s="60">
        <f t="shared" si="69"/>
        <v>1355.3385139748066</v>
      </c>
      <c r="CE15" s="60">
        <f t="shared" si="70"/>
        <v>1542.118593174037</v>
      </c>
      <c r="CF15" s="60">
        <f t="shared" si="71"/>
        <v>1853.4812686559421</v>
      </c>
      <c r="CG15" s="60">
        <f t="shared" si="72"/>
        <v>2475.943196596691</v>
      </c>
      <c r="CH15" s="60">
        <f t="shared" si="73"/>
        <v>2874.6843730937549</v>
      </c>
      <c r="CI15" s="60">
        <f t="shared" si="74"/>
        <v>3052.013642387753</v>
      </c>
      <c r="CJ15" s="60">
        <f t="shared" si="75"/>
        <v>3171.7942720460082</v>
      </c>
      <c r="CK15" s="60">
        <f t="shared" si="76"/>
        <v>3292.6071094808522</v>
      </c>
      <c r="CL15" s="60">
        <f t="shared" si="77"/>
        <v>3475.4428125181898</v>
      </c>
      <c r="CM15" s="60">
        <f t="shared" si="78"/>
        <v>3783.5475501690785</v>
      </c>
      <c r="CN15" s="60">
        <f t="shared" si="79"/>
        <v>4408.1746855024412</v>
      </c>
    </row>
    <row r="16" spans="1:92" x14ac:dyDescent="0.35">
      <c r="A16" s="3" t="s">
        <v>104</v>
      </c>
      <c r="B16" s="4">
        <f>VLOOKUP(A16,PriceData!$K$4:$L$6,2,FALSE)</f>
        <v>1100</v>
      </c>
      <c r="C16" s="46">
        <f>VLOOKUP(A16,PriceData!$K$4:$M$6,3,FALSE)</f>
        <v>0.02</v>
      </c>
      <c r="D16" s="4" t="s">
        <v>108</v>
      </c>
      <c r="E16" s="4" t="s">
        <v>106</v>
      </c>
      <c r="F16" s="4">
        <v>25</v>
      </c>
      <c r="G16" s="4">
        <v>935</v>
      </c>
      <c r="H16" s="4" t="s">
        <v>109</v>
      </c>
      <c r="I16" s="5">
        <v>40256</v>
      </c>
      <c r="J16" s="46">
        <f t="shared" si="0"/>
        <v>0.53252581704856539</v>
      </c>
      <c r="K16" s="30">
        <f>VLOOKUP(I16,PriceData!$A$5:$D$7,MATCH($E16,PriceData!$A$4:$D$4,0),FALSE)</f>
        <v>1.0999999999999999E-2</v>
      </c>
      <c r="L16" s="2">
        <f t="shared" si="1"/>
        <v>33.099391475391343</v>
      </c>
      <c r="M16" s="2">
        <f t="shared" si="2"/>
        <v>827.4847868847836</v>
      </c>
      <c r="N16" s="4" t="s">
        <v>107</v>
      </c>
      <c r="P16" s="60">
        <f t="shared" si="3"/>
        <v>-227.53807010424387</v>
      </c>
      <c r="Q16" s="60">
        <f t="shared" si="4"/>
        <v>682.4660394628205</v>
      </c>
      <c r="R16" s="58">
        <f t="shared" si="5"/>
        <v>1.3541530629344063</v>
      </c>
      <c r="S16" s="58">
        <f t="shared" si="6"/>
        <v>121.15868454404917</v>
      </c>
      <c r="T16" s="58">
        <f t="shared" si="7"/>
        <v>-0.53484938408966598</v>
      </c>
      <c r="U16" s="2">
        <f t="shared" si="8"/>
        <v>-0.48557116129904643</v>
      </c>
      <c r="V16" s="65">
        <f t="shared" si="9"/>
        <v>-5688.4517526060972</v>
      </c>
      <c r="W16" s="65">
        <f t="shared" si="10"/>
        <v>17061.650986570512</v>
      </c>
      <c r="X16" s="78">
        <f t="shared" si="11"/>
        <v>33.853826573360159</v>
      </c>
      <c r="Y16" s="78">
        <f t="shared" si="12"/>
        <v>3028.9671136012294</v>
      </c>
      <c r="Z16" s="78">
        <f t="shared" si="13"/>
        <v>-13.37123460224165</v>
      </c>
      <c r="AA16" s="78">
        <f t="shared" si="14"/>
        <v>-12.139279032476161</v>
      </c>
      <c r="AB16" s="78">
        <f t="shared" si="15"/>
        <v>2022.0991115778083</v>
      </c>
      <c r="AC16" s="78">
        <f t="shared" si="16"/>
        <v>765.68484516796286</v>
      </c>
      <c r="AD16" s="78">
        <f t="shared" si="17"/>
        <v>330.34837604835946</v>
      </c>
      <c r="AE16" s="78">
        <f t="shared" si="18"/>
        <v>120.80173970191481</v>
      </c>
      <c r="AF16" s="78">
        <f t="shared" si="19"/>
        <v>-107.14957786547288</v>
      </c>
      <c r="AG16" s="78">
        <f t="shared" si="20"/>
        <v>-244.93135187757815</v>
      </c>
      <c r="AH16" s="78">
        <f t="shared" si="21"/>
        <v>-422.83601780536696</v>
      </c>
      <c r="AI16" s="78">
        <f t="shared" si="22"/>
        <v>-638.8287011940896</v>
      </c>
      <c r="AJ16" s="78">
        <f t="shared" si="23"/>
        <v>-320.48210347386782</v>
      </c>
      <c r="AK16" s="78">
        <f t="shared" si="24"/>
        <v>-165.14661418957104</v>
      </c>
      <c r="AL16" s="78">
        <f t="shared" si="25"/>
        <v>-67.08128726702256</v>
      </c>
      <c r="AM16" s="78">
        <f t="shared" si="26"/>
        <v>-33.699844230091003</v>
      </c>
      <c r="AN16" s="78">
        <f t="shared" si="27"/>
        <v>34.002813164566703</v>
      </c>
      <c r="AO16" s="78">
        <f t="shared" si="28"/>
        <v>68.294030173774445</v>
      </c>
      <c r="AP16" s="78">
        <f t="shared" si="29"/>
        <v>172.7643245906755</v>
      </c>
      <c r="AQ16" s="78">
        <f t="shared" si="30"/>
        <v>351.50400623852033</v>
      </c>
      <c r="AR16" s="60">
        <f t="shared" si="31"/>
        <v>1836.2723247082777</v>
      </c>
      <c r="AS16" s="60">
        <f t="shared" si="32"/>
        <v>1947.6184286690291</v>
      </c>
      <c r="AT16" s="60">
        <f t="shared" si="33"/>
        <v>2022.0991115778083</v>
      </c>
      <c r="AU16" s="60">
        <f t="shared" si="34"/>
        <v>2096.7488341376047</v>
      </c>
      <c r="AV16" s="60">
        <f t="shared" si="35"/>
        <v>2208.9915511452195</v>
      </c>
      <c r="AW16" s="60">
        <f t="shared" si="36"/>
        <v>2396.6240436637386</v>
      </c>
      <c r="AX16" s="60">
        <f t="shared" si="37"/>
        <v>2773.212889609335</v>
      </c>
      <c r="AY16" s="60">
        <f t="shared" si="38"/>
        <v>566.92541782069907</v>
      </c>
      <c r="AZ16" s="60">
        <f t="shared" si="39"/>
        <v>686.05972275797239</v>
      </c>
      <c r="BA16" s="60">
        <f t="shared" si="40"/>
        <v>765.68484516796286</v>
      </c>
      <c r="BB16" s="60">
        <f t="shared" si="41"/>
        <v>845.44506450505776</v>
      </c>
      <c r="BC16" s="60">
        <f t="shared" si="42"/>
        <v>965.29648240434869</v>
      </c>
      <c r="BD16" s="60">
        <f t="shared" si="43"/>
        <v>1165.4785259620389</v>
      </c>
      <c r="BE16" s="60">
        <f t="shared" si="44"/>
        <v>1566.7739244293521</v>
      </c>
      <c r="BF16" s="60">
        <f t="shared" si="45"/>
        <v>144.30942638355972</v>
      </c>
      <c r="BG16" s="60">
        <f t="shared" si="46"/>
        <v>255.41297153942892</v>
      </c>
      <c r="BH16" s="60">
        <f t="shared" si="47"/>
        <v>330.34837604835946</v>
      </c>
      <c r="BI16" s="60">
        <f t="shared" si="48"/>
        <v>405.88918079418261</v>
      </c>
      <c r="BJ16" s="60">
        <f t="shared" si="49"/>
        <v>520.19622638393275</v>
      </c>
      <c r="BK16" s="60">
        <f t="shared" si="50"/>
        <v>712.92342471482118</v>
      </c>
      <c r="BL16" s="60">
        <f t="shared" si="51"/>
        <v>1104.452668677289</v>
      </c>
      <c r="BM16" s="60">
        <f t="shared" si="52"/>
        <v>-165.14661418957104</v>
      </c>
      <c r="BN16" s="60">
        <f t="shared" si="53"/>
        <v>-67.08128726702256</v>
      </c>
      <c r="BO16" s="60">
        <f t="shared" si="54"/>
        <v>0</v>
      </c>
      <c r="BP16" s="60">
        <f t="shared" si="55"/>
        <v>68.294030173774445</v>
      </c>
      <c r="BQ16" s="60">
        <f t="shared" si="56"/>
        <v>172.7643245906755</v>
      </c>
      <c r="BR16" s="60">
        <f t="shared" si="57"/>
        <v>351.50400623852033</v>
      </c>
      <c r="BS16" s="60">
        <f t="shared" si="58"/>
        <v>722.21722895959249</v>
      </c>
      <c r="BT16" s="60">
        <f t="shared" si="59"/>
        <v>-385.07333916610804</v>
      </c>
      <c r="BU16" s="60">
        <f t="shared" si="60"/>
        <v>-302.47755721282488</v>
      </c>
      <c r="BV16" s="60">
        <f t="shared" si="61"/>
        <v>-244.93135187757815</v>
      </c>
      <c r="BW16" s="60">
        <f t="shared" si="62"/>
        <v>-185.58640382883453</v>
      </c>
      <c r="BX16" s="60">
        <f t="shared" si="63"/>
        <v>-93.510287708109274</v>
      </c>
      <c r="BY16" s="60">
        <f t="shared" si="64"/>
        <v>67.06123134274975</v>
      </c>
      <c r="BZ16" s="60">
        <f t="shared" si="65"/>
        <v>409.21785812370928</v>
      </c>
      <c r="CA16" s="60">
        <f t="shared" si="66"/>
        <v>-537.2717650125868</v>
      </c>
      <c r="CB16" s="60">
        <f t="shared" si="67"/>
        <v>-470.43604869536608</v>
      </c>
      <c r="CC16" s="60">
        <f t="shared" si="68"/>
        <v>-422.83601780536696</v>
      </c>
      <c r="CD16" s="60">
        <f t="shared" si="69"/>
        <v>-372.98563772734144</v>
      </c>
      <c r="CE16" s="60">
        <f t="shared" si="70"/>
        <v>-294.3149447490967</v>
      </c>
      <c r="CF16" s="60">
        <f t="shared" si="71"/>
        <v>-153.94097040504349</v>
      </c>
      <c r="CG16" s="60">
        <f t="shared" si="72"/>
        <v>155.04469431177981</v>
      </c>
      <c r="CH16" s="60">
        <f t="shared" si="73"/>
        <v>-708.27370998032018</v>
      </c>
      <c r="CI16" s="60">
        <f t="shared" si="74"/>
        <v>-668.60715232589473</v>
      </c>
      <c r="CJ16" s="60">
        <f t="shared" si="75"/>
        <v>-638.8287011940896</v>
      </c>
      <c r="CK16" s="60">
        <f t="shared" si="76"/>
        <v>-606.46443974234853</v>
      </c>
      <c r="CL16" s="60">
        <f t="shared" si="77"/>
        <v>-553.25402019455612</v>
      </c>
      <c r="CM16" s="60">
        <f t="shared" si="78"/>
        <v>-452.91563375043467</v>
      </c>
      <c r="CN16" s="60">
        <f t="shared" si="79"/>
        <v>-214.05683312642054</v>
      </c>
    </row>
    <row r="17" spans="1:92" x14ac:dyDescent="0.35">
      <c r="A17" s="3" t="s">
        <v>104</v>
      </c>
      <c r="B17" s="4">
        <f>VLOOKUP(A17,PriceData!$K$4:$L$6,2,FALSE)</f>
        <v>1100</v>
      </c>
      <c r="C17" s="46">
        <f>VLOOKUP(A17,PriceData!$K$4:$M$6,3,FALSE)</f>
        <v>0.02</v>
      </c>
      <c r="D17" s="4" t="s">
        <v>108</v>
      </c>
      <c r="E17" s="4" t="s">
        <v>106</v>
      </c>
      <c r="F17" s="4">
        <v>-20</v>
      </c>
      <c r="G17" s="4">
        <v>1001</v>
      </c>
      <c r="H17" s="4" t="s">
        <v>111</v>
      </c>
      <c r="I17" s="5">
        <v>40256</v>
      </c>
      <c r="J17" s="46">
        <f t="shared" si="0"/>
        <v>0.47079318216922272</v>
      </c>
      <c r="K17" s="30">
        <f>VLOOKUP(I17,PriceData!$A$5:$D$7,MATCH($E17,PriceData!$A$4:$D$4,0),FALSE)</f>
        <v>1.0999999999999999E-2</v>
      </c>
      <c r="L17" s="2">
        <f t="shared" si="1"/>
        <v>141.86687427093443</v>
      </c>
      <c r="M17" s="2">
        <f t="shared" si="2"/>
        <v>-2837.3374854186886</v>
      </c>
      <c r="N17" s="4" t="s">
        <v>112</v>
      </c>
      <c r="P17" s="60">
        <f t="shared" si="3"/>
        <v>779.62393671782661</v>
      </c>
      <c r="Q17" s="60">
        <f t="shared" si="4"/>
        <v>920.94642833417947</v>
      </c>
      <c r="R17" s="58">
        <f t="shared" si="5"/>
        <v>1.6155134450954702</v>
      </c>
      <c r="S17" s="58">
        <f t="shared" si="6"/>
        <v>67.766641768526227</v>
      </c>
      <c r="T17" s="58">
        <f t="shared" si="7"/>
        <v>-0.53574559989739445</v>
      </c>
      <c r="U17" s="2">
        <f t="shared" si="8"/>
        <v>1.1881501437366759</v>
      </c>
      <c r="V17" s="65">
        <f t="shared" si="9"/>
        <v>-15592.478734356533</v>
      </c>
      <c r="W17" s="65">
        <f t="shared" si="10"/>
        <v>-18418.928566683589</v>
      </c>
      <c r="X17" s="78">
        <f t="shared" si="11"/>
        <v>-32.310268901909403</v>
      </c>
      <c r="Y17" s="78">
        <f t="shared" si="12"/>
        <v>-1355.3328353705247</v>
      </c>
      <c r="Z17" s="78">
        <f t="shared" si="13"/>
        <v>10.714911997947889</v>
      </c>
      <c r="AA17" s="78">
        <f t="shared" si="14"/>
        <v>-23.76300287473352</v>
      </c>
      <c r="AB17" s="78">
        <f t="shared" si="15"/>
        <v>2240.4527309508926</v>
      </c>
      <c r="AC17" s="78">
        <f t="shared" si="16"/>
        <v>1353.8763830409084</v>
      </c>
      <c r="AD17" s="78">
        <f t="shared" si="17"/>
        <v>730.79014179769956</v>
      </c>
      <c r="AE17" s="78">
        <f t="shared" si="18"/>
        <v>304.29997130354423</v>
      </c>
      <c r="AF17" s="78">
        <f t="shared" si="19"/>
        <v>-319.03193082705229</v>
      </c>
      <c r="AG17" s="78">
        <f t="shared" si="20"/>
        <v>-822.7584623947746</v>
      </c>
      <c r="AH17" s="78">
        <f t="shared" si="21"/>
        <v>-1720.1254909103955</v>
      </c>
      <c r="AI17" s="78">
        <f t="shared" si="22"/>
        <v>-3674.0226678172712</v>
      </c>
      <c r="AJ17" s="78">
        <f t="shared" si="23"/>
        <v>314.54355988394127</v>
      </c>
      <c r="AK17" s="78">
        <f t="shared" si="24"/>
        <v>159.65763409254578</v>
      </c>
      <c r="AL17" s="78">
        <f t="shared" si="25"/>
        <v>64.337455337395113</v>
      </c>
      <c r="AM17" s="78">
        <f t="shared" si="26"/>
        <v>32.241029321548922</v>
      </c>
      <c r="AN17" s="78">
        <f t="shared" si="27"/>
        <v>-32.376617479471861</v>
      </c>
      <c r="AO17" s="78">
        <f t="shared" si="28"/>
        <v>-64.880467372181556</v>
      </c>
      <c r="AP17" s="78">
        <f t="shared" si="29"/>
        <v>-163.08054895558826</v>
      </c>
      <c r="AQ17" s="78">
        <f t="shared" si="30"/>
        <v>-328.6649495251595</v>
      </c>
      <c r="AR17" s="60">
        <f t="shared" si="31"/>
        <v>2367.8159394437057</v>
      </c>
      <c r="AS17" s="60">
        <f t="shared" si="32"/>
        <v>2292.165368808407</v>
      </c>
      <c r="AT17" s="60">
        <f t="shared" si="33"/>
        <v>2240.4527309508926</v>
      </c>
      <c r="AU17" s="60">
        <f t="shared" si="34"/>
        <v>2187.8475244357355</v>
      </c>
      <c r="AV17" s="60">
        <f t="shared" si="35"/>
        <v>2107.472327298412</v>
      </c>
      <c r="AW17" s="60">
        <f t="shared" si="36"/>
        <v>1970.2465826444018</v>
      </c>
      <c r="AX17" s="60">
        <f t="shared" si="37"/>
        <v>1686.7691412364536</v>
      </c>
      <c r="AY17" s="60">
        <f t="shared" si="38"/>
        <v>1523.6357247983619</v>
      </c>
      <c r="AZ17" s="60">
        <f t="shared" si="39"/>
        <v>1421.7688081891083</v>
      </c>
      <c r="BA17" s="60">
        <f t="shared" si="40"/>
        <v>1353.8763830409084</v>
      </c>
      <c r="BB17" s="60">
        <f t="shared" si="41"/>
        <v>1286.0023962046773</v>
      </c>
      <c r="BC17" s="60">
        <f t="shared" si="42"/>
        <v>1184.2315960475287</v>
      </c>
      <c r="BD17" s="60">
        <f t="shared" si="43"/>
        <v>1014.7397920191031</v>
      </c>
      <c r="BE17" s="60">
        <f t="shared" si="44"/>
        <v>676.3403834089695</v>
      </c>
      <c r="BF17" s="60">
        <f t="shared" si="45"/>
        <v>901.58397315935645</v>
      </c>
      <c r="BG17" s="60">
        <f t="shared" si="46"/>
        <v>799.19159128602132</v>
      </c>
      <c r="BH17" s="60">
        <f t="shared" si="47"/>
        <v>730.79014179769956</v>
      </c>
      <c r="BI17" s="60">
        <f t="shared" si="48"/>
        <v>662.29814782552467</v>
      </c>
      <c r="BJ17" s="60">
        <f t="shared" si="49"/>
        <v>559.42337246145371</v>
      </c>
      <c r="BK17" s="60">
        <f t="shared" si="50"/>
        <v>387.70245978649427</v>
      </c>
      <c r="BL17" s="60">
        <f t="shared" si="51"/>
        <v>43.780084067874441</v>
      </c>
      <c r="BM17" s="60">
        <f t="shared" si="52"/>
        <v>159.65763409254578</v>
      </c>
      <c r="BN17" s="60">
        <f t="shared" si="53"/>
        <v>64.337455337395113</v>
      </c>
      <c r="BO17" s="60">
        <f t="shared" si="54"/>
        <v>0</v>
      </c>
      <c r="BP17" s="60">
        <f t="shared" si="55"/>
        <v>-64.880467372181556</v>
      </c>
      <c r="BQ17" s="60">
        <f t="shared" si="56"/>
        <v>-163.08054895558826</v>
      </c>
      <c r="BR17" s="60">
        <f t="shared" si="57"/>
        <v>-328.6649495251595</v>
      </c>
      <c r="BS17" s="60">
        <f t="shared" si="58"/>
        <v>-664.93170997660172</v>
      </c>
      <c r="BT17" s="60">
        <f t="shared" si="59"/>
        <v>-682.5903754787555</v>
      </c>
      <c r="BU17" s="60">
        <f t="shared" si="60"/>
        <v>-765.69629719953127</v>
      </c>
      <c r="BV17" s="60">
        <f t="shared" si="61"/>
        <v>-822.7584623947746</v>
      </c>
      <c r="BW17" s="60">
        <f t="shared" si="62"/>
        <v>-880.98329487267165</v>
      </c>
      <c r="BX17" s="60">
        <f t="shared" si="63"/>
        <v>-970.23985979940107</v>
      </c>
      <c r="BY17" s="60">
        <f t="shared" si="64"/>
        <v>-1123.2967517393308</v>
      </c>
      <c r="BZ17" s="60">
        <f t="shared" si="65"/>
        <v>-1441.3811880981439</v>
      </c>
      <c r="CA17" s="60">
        <f t="shared" si="66"/>
        <v>-1603.5138377864178</v>
      </c>
      <c r="CB17" s="60">
        <f t="shared" si="67"/>
        <v>-1672.0062792184603</v>
      </c>
      <c r="CC17" s="60">
        <f t="shared" si="68"/>
        <v>-1720.1254909103955</v>
      </c>
      <c r="CD17" s="60">
        <f t="shared" si="69"/>
        <v>-1770.0062005045493</v>
      </c>
      <c r="CE17" s="60">
        <f t="shared" si="70"/>
        <v>-1847.7909266112533</v>
      </c>
      <c r="CF17" s="60">
        <f t="shared" si="71"/>
        <v>-1984.2232897235294</v>
      </c>
      <c r="CG17" s="60">
        <f t="shared" si="72"/>
        <v>-2276.6893418074551</v>
      </c>
      <c r="CH17" s="60">
        <f t="shared" si="73"/>
        <v>-3603.3253181178497</v>
      </c>
      <c r="CI17" s="60">
        <f t="shared" si="74"/>
        <v>-3643.8158370476572</v>
      </c>
      <c r="CJ17" s="60">
        <f t="shared" si="75"/>
        <v>-3674.0226678172712</v>
      </c>
      <c r="CK17" s="60">
        <f t="shared" si="76"/>
        <v>-3706.6608323750961</v>
      </c>
      <c r="CL17" s="60">
        <f t="shared" si="77"/>
        <v>-3759.9014560848127</v>
      </c>
      <c r="CM17" s="60">
        <f t="shared" si="78"/>
        <v>-3859.0080875828289</v>
      </c>
      <c r="CN17" s="60">
        <f t="shared" si="79"/>
        <v>-4089.556206049665</v>
      </c>
    </row>
    <row r="18" spans="1:92" x14ac:dyDescent="0.35">
      <c r="A18" s="3" t="s">
        <v>104</v>
      </c>
      <c r="B18" s="4">
        <f>VLOOKUP(A18,PriceData!$K$4:$L$6,2,FALSE)</f>
        <v>1100</v>
      </c>
      <c r="C18" s="46">
        <f>VLOOKUP(A18,PriceData!$K$4:$M$6,3,FALSE)</f>
        <v>0.02</v>
      </c>
      <c r="D18" s="4" t="s">
        <v>108</v>
      </c>
      <c r="E18" s="4" t="s">
        <v>106</v>
      </c>
      <c r="F18" s="4">
        <v>-50</v>
      </c>
      <c r="G18" s="4">
        <v>1100</v>
      </c>
      <c r="H18" s="4" t="s">
        <v>109</v>
      </c>
      <c r="I18" s="5">
        <v>40347</v>
      </c>
      <c r="J18" s="46">
        <f t="shared" si="0"/>
        <v>0.35896400835070608</v>
      </c>
      <c r="K18" s="30">
        <f>VLOOKUP(I18,PriceData!$A$5:$D$7,MATCH($E18,PriceData!$A$4:$D$4,0),FALSE)</f>
        <v>1.4999999999999999E-2</v>
      </c>
      <c r="L18" s="2">
        <f t="shared" si="1"/>
        <v>104.13231163075892</v>
      </c>
      <c r="M18" s="2">
        <f t="shared" si="2"/>
        <v>-5206.6155815379461</v>
      </c>
      <c r="N18" s="4" t="s">
        <v>107</v>
      </c>
      <c r="P18" s="60">
        <f t="shared" si="3"/>
        <v>-497.78902004007335</v>
      </c>
      <c r="Q18" s="60">
        <f t="shared" si="4"/>
        <v>912.62722217958503</v>
      </c>
      <c r="R18" s="58">
        <f t="shared" si="5"/>
        <v>2.8541617426172672</v>
      </c>
      <c r="S18" s="58">
        <f t="shared" si="6"/>
        <v>-11.090476100023295</v>
      </c>
      <c r="T18" s="58">
        <f t="shared" si="7"/>
        <v>-0.32472242880323304</v>
      </c>
      <c r="U18" s="63">
        <f t="shared" si="8"/>
        <v>-2.6220682667304742</v>
      </c>
      <c r="V18" s="65">
        <f t="shared" si="9"/>
        <v>24889.451002003669</v>
      </c>
      <c r="W18" s="65">
        <f t="shared" si="10"/>
        <v>-45631.361108979254</v>
      </c>
      <c r="X18" s="78">
        <f t="shared" si="11"/>
        <v>-142.70808713086336</v>
      </c>
      <c r="Y18" s="78">
        <f t="shared" si="12"/>
        <v>554.52380500116476</v>
      </c>
      <c r="Z18" s="78">
        <f t="shared" si="13"/>
        <v>16.236121440161654</v>
      </c>
      <c r="AA18" s="78">
        <f t="shared" si="14"/>
        <v>131.10341333652372</v>
      </c>
      <c r="AB18" s="78">
        <f t="shared" si="15"/>
        <v>-6869.145090382327</v>
      </c>
      <c r="AC18" s="78">
        <f t="shared" si="16"/>
        <v>-2961.206435890736</v>
      </c>
      <c r="AD18" s="78">
        <f t="shared" si="17"/>
        <v>-1360.96327795872</v>
      </c>
      <c r="AE18" s="78">
        <f t="shared" si="18"/>
        <v>-516.210428426254</v>
      </c>
      <c r="AF18" s="78">
        <f t="shared" si="19"/>
        <v>479.72263990859858</v>
      </c>
      <c r="AG18" s="78">
        <f t="shared" si="20"/>
        <v>1133.4818717497399</v>
      </c>
      <c r="AH18" s="78">
        <f t="shared" si="21"/>
        <v>2059.3603778600368</v>
      </c>
      <c r="AI18" s="78">
        <f t="shared" si="22"/>
        <v>3388.936317300343</v>
      </c>
      <c r="AJ18" s="78">
        <f t="shared" si="23"/>
        <v>1429.5908419437096</v>
      </c>
      <c r="AK18" s="78">
        <f t="shared" si="24"/>
        <v>714.200934882345</v>
      </c>
      <c r="AL18" s="78">
        <f t="shared" si="25"/>
        <v>285.52499469074917</v>
      </c>
      <c r="AM18" s="78">
        <f t="shared" si="26"/>
        <v>142.73555299699012</v>
      </c>
      <c r="AN18" s="78">
        <f t="shared" si="27"/>
        <v>-142.68010103045867</v>
      </c>
      <c r="AO18" s="78">
        <f t="shared" si="28"/>
        <v>-285.30319180202071</v>
      </c>
      <c r="AP18" s="78">
        <f t="shared" si="29"/>
        <v>-712.81488721438393</v>
      </c>
      <c r="AQ18" s="78">
        <f t="shared" si="30"/>
        <v>-1424.0499621541517</v>
      </c>
      <c r="AR18" s="60">
        <f t="shared" si="31"/>
        <v>-6491.0200316664914</v>
      </c>
      <c r="AS18" s="60">
        <f t="shared" si="32"/>
        <v>-6710.9229140336456</v>
      </c>
      <c r="AT18" s="60">
        <f t="shared" si="33"/>
        <v>-6869.145090382327</v>
      </c>
      <c r="AU18" s="60">
        <f t="shared" si="34"/>
        <v>-7035.4352043205072</v>
      </c>
      <c r="AV18" s="60">
        <f t="shared" si="35"/>
        <v>-7298.0202701041126</v>
      </c>
      <c r="AW18" s="60">
        <f t="shared" si="36"/>
        <v>-7764.4924568735714</v>
      </c>
      <c r="AX18" s="60">
        <f t="shared" si="37"/>
        <v>-8774.6574501691575</v>
      </c>
      <c r="AY18" s="60">
        <f t="shared" si="38"/>
        <v>-2360.0244733277264</v>
      </c>
      <c r="AZ18" s="60">
        <f t="shared" si="39"/>
        <v>-2718.316469798478</v>
      </c>
      <c r="BA18" s="60">
        <f t="shared" si="40"/>
        <v>-2961.206435890736</v>
      </c>
      <c r="BB18" s="60">
        <f t="shared" si="41"/>
        <v>-3206.7169047157536</v>
      </c>
      <c r="BC18" s="60">
        <f t="shared" si="42"/>
        <v>-3579.0151864957379</v>
      </c>
      <c r="BD18" s="60">
        <f t="shared" si="43"/>
        <v>-4207.7072151229031</v>
      </c>
      <c r="BE18" s="60">
        <f t="shared" si="44"/>
        <v>-5484.2138757811454</v>
      </c>
      <c r="BF18" s="60">
        <f t="shared" si="45"/>
        <v>-685.10836874116023</v>
      </c>
      <c r="BG18" s="60">
        <f t="shared" si="46"/>
        <v>-1090.0614628313833</v>
      </c>
      <c r="BH18" s="60">
        <f t="shared" si="47"/>
        <v>-1360.96327795872</v>
      </c>
      <c r="BI18" s="60">
        <f t="shared" si="48"/>
        <v>-1632.4250606208097</v>
      </c>
      <c r="BJ18" s="60">
        <f t="shared" si="49"/>
        <v>-2040.395665056988</v>
      </c>
      <c r="BK18" s="60">
        <f t="shared" si="50"/>
        <v>-2721.6264167298759</v>
      </c>
      <c r="BL18" s="60">
        <f t="shared" si="51"/>
        <v>-4085.1878444874674</v>
      </c>
      <c r="BM18" s="60">
        <f t="shared" si="52"/>
        <v>714.200934882345</v>
      </c>
      <c r="BN18" s="60">
        <f t="shared" si="53"/>
        <v>285.52499469074917</v>
      </c>
      <c r="BO18" s="60">
        <f t="shared" si="54"/>
        <v>0</v>
      </c>
      <c r="BP18" s="60">
        <f t="shared" si="55"/>
        <v>-285.30319180202071</v>
      </c>
      <c r="BQ18" s="60">
        <f t="shared" si="56"/>
        <v>-712.81488721438393</v>
      </c>
      <c r="BR18" s="60">
        <f t="shared" si="57"/>
        <v>-1424.0499621541517</v>
      </c>
      <c r="BS18" s="60">
        <f t="shared" si="58"/>
        <v>-2841.0172472988679</v>
      </c>
      <c r="BT18" s="60">
        <f t="shared" si="59"/>
        <v>1849.0836467090589</v>
      </c>
      <c r="BU18" s="60">
        <f t="shared" si="60"/>
        <v>1420.1353232867264</v>
      </c>
      <c r="BV18" s="60">
        <f t="shared" si="61"/>
        <v>1133.4818717497399</v>
      </c>
      <c r="BW18" s="60">
        <f t="shared" si="62"/>
        <v>846.43215846258215</v>
      </c>
      <c r="BX18" s="60">
        <f t="shared" si="63"/>
        <v>415.34039565962928</v>
      </c>
      <c r="BY18" s="60">
        <f t="shared" si="64"/>
        <v>-303.86050628623025</v>
      </c>
      <c r="BZ18" s="60">
        <f t="shared" si="65"/>
        <v>-1741.8030064604636</v>
      </c>
      <c r="CA18" s="60">
        <f t="shared" si="66"/>
        <v>2744.1625478184164</v>
      </c>
      <c r="CB18" s="60">
        <f t="shared" si="67"/>
        <v>2335.3083621383944</v>
      </c>
      <c r="CC18" s="60">
        <f t="shared" si="68"/>
        <v>2059.3603778600368</v>
      </c>
      <c r="CD18" s="60">
        <f t="shared" si="69"/>
        <v>1781.2367437899752</v>
      </c>
      <c r="CE18" s="60">
        <f t="shared" si="70"/>
        <v>1360.739310598666</v>
      </c>
      <c r="CF18" s="60">
        <f t="shared" si="71"/>
        <v>653.30040582983884</v>
      </c>
      <c r="CG18" s="60">
        <f t="shared" si="72"/>
        <v>-776.29525283709597</v>
      </c>
      <c r="CH18" s="60">
        <f t="shared" si="73"/>
        <v>3948.3745461797712</v>
      </c>
      <c r="CI18" s="60">
        <f t="shared" si="74"/>
        <v>3619.2539920992303</v>
      </c>
      <c r="CJ18" s="60">
        <f t="shared" si="75"/>
        <v>3388.936317300343</v>
      </c>
      <c r="CK18" s="60">
        <f t="shared" si="76"/>
        <v>3151.2444696743728</v>
      </c>
      <c r="CL18" s="60">
        <f t="shared" si="77"/>
        <v>2782.9462437157363</v>
      </c>
      <c r="CM18" s="60">
        <f t="shared" si="78"/>
        <v>2143.995960318412</v>
      </c>
      <c r="CN18" s="60">
        <f t="shared" si="79"/>
        <v>801.37971739815441</v>
      </c>
    </row>
    <row r="19" spans="1:92" x14ac:dyDescent="0.35">
      <c r="A19" s="3" t="s">
        <v>104</v>
      </c>
      <c r="B19" s="4">
        <f>VLOOKUP(A19,PriceData!$K$4:$L$6,2,FALSE)</f>
        <v>1100</v>
      </c>
      <c r="C19" s="46">
        <f>VLOOKUP(A19,PriceData!$K$4:$M$6,3,FALSE)</f>
        <v>0.02</v>
      </c>
      <c r="D19" s="4" t="s">
        <v>108</v>
      </c>
      <c r="E19" s="4" t="s">
        <v>106</v>
      </c>
      <c r="F19" s="4">
        <v>20</v>
      </c>
      <c r="G19" s="4">
        <v>1034</v>
      </c>
      <c r="H19" s="4" t="s">
        <v>111</v>
      </c>
      <c r="I19" s="5">
        <v>40347</v>
      </c>
      <c r="J19" s="46">
        <f t="shared" si="0"/>
        <v>0.3956302003368482</v>
      </c>
      <c r="K19" s="30">
        <f>VLOOKUP(I19,PriceData!$A$5:$D$7,MATCH($E19,PriceData!$A$4:$D$4,0),FALSE)</f>
        <v>1.4999999999999999E-2</v>
      </c>
      <c r="L19" s="2">
        <f t="shared" si="1"/>
        <v>144.43228295286826</v>
      </c>
      <c r="M19" s="2">
        <f t="shared" si="2"/>
        <v>2888.6456590573653</v>
      </c>
      <c r="N19" s="4" t="s">
        <v>107</v>
      </c>
      <c r="P19" s="60">
        <f t="shared" si="3"/>
        <v>698.18732002678712</v>
      </c>
      <c r="Q19" s="60">
        <f t="shared" si="4"/>
        <v>780.96803510235679</v>
      </c>
      <c r="R19" s="58">
        <f t="shared" si="5"/>
        <v>2.6918877747556711</v>
      </c>
      <c r="S19" s="58">
        <f t="shared" si="6"/>
        <v>23.96444496808888</v>
      </c>
      <c r="T19" s="58">
        <f t="shared" si="7"/>
        <v>-0.31940339284285374</v>
      </c>
      <c r="U19" s="2">
        <f t="shared" si="8"/>
        <v>2.4122479697192634</v>
      </c>
      <c r="V19" s="65">
        <f t="shared" si="9"/>
        <v>13963.746400535743</v>
      </c>
      <c r="W19" s="65">
        <f t="shared" si="10"/>
        <v>15619.360702047135</v>
      </c>
      <c r="X19" s="78">
        <f t="shared" si="11"/>
        <v>53.83775549511342</v>
      </c>
      <c r="Y19" s="78">
        <f t="shared" si="12"/>
        <v>479.28889936177762</v>
      </c>
      <c r="Z19" s="78">
        <f t="shared" si="13"/>
        <v>-6.3880678568570746</v>
      </c>
      <c r="AA19" s="78">
        <f t="shared" si="14"/>
        <v>48.244959394385269</v>
      </c>
      <c r="AB19" s="78">
        <f t="shared" si="15"/>
        <v>-2093.0855205649541</v>
      </c>
      <c r="AC19" s="78">
        <f t="shared" si="16"/>
        <v>-1228.9899176160327</v>
      </c>
      <c r="AD19" s="78">
        <f t="shared" si="17"/>
        <v>-657.65649628164624</v>
      </c>
      <c r="AE19" s="78">
        <f t="shared" si="18"/>
        <v>-272.92971908659638</v>
      </c>
      <c r="AF19" s="78">
        <f t="shared" si="19"/>
        <v>285.4224363563003</v>
      </c>
      <c r="AG19" s="78">
        <f t="shared" si="20"/>
        <v>735.64453709806685</v>
      </c>
      <c r="AH19" s="78">
        <f t="shared" si="21"/>
        <v>1539.6087200182751</v>
      </c>
      <c r="AI19" s="78">
        <f t="shared" si="22"/>
        <v>3312.7495583925315</v>
      </c>
      <c r="AJ19" s="78">
        <f t="shared" si="23"/>
        <v>-534.69935027050724</v>
      </c>
      <c r="AK19" s="78">
        <f t="shared" si="24"/>
        <v>-268.4502653653135</v>
      </c>
      <c r="AL19" s="78">
        <f t="shared" si="25"/>
        <v>-107.57136612726072</v>
      </c>
      <c r="AM19" s="78">
        <f t="shared" si="26"/>
        <v>-53.812778944457023</v>
      </c>
      <c r="AN19" s="78">
        <f t="shared" si="27"/>
        <v>53.860751973984407</v>
      </c>
      <c r="AO19" s="78">
        <f t="shared" si="28"/>
        <v>107.76378919792251</v>
      </c>
      <c r="AP19" s="78">
        <f t="shared" si="29"/>
        <v>269.67647905553349</v>
      </c>
      <c r="AQ19" s="78">
        <f t="shared" si="30"/>
        <v>539.96156361235535</v>
      </c>
      <c r="AR19" s="60">
        <f t="shared" si="31"/>
        <v>-2290.8167598823766</v>
      </c>
      <c r="AS19" s="60">
        <f t="shared" si="32"/>
        <v>-2173.5482045546628</v>
      </c>
      <c r="AT19" s="60">
        <f t="shared" si="33"/>
        <v>-2093.0855205649541</v>
      </c>
      <c r="AU19" s="60">
        <f t="shared" si="34"/>
        <v>-2011.0801959192218</v>
      </c>
      <c r="AV19" s="60">
        <f t="shared" si="35"/>
        <v>-1885.6138010407353</v>
      </c>
      <c r="AW19" s="60">
        <f t="shared" si="36"/>
        <v>-1671.2604401299893</v>
      </c>
      <c r="AX19" s="60">
        <f t="shared" si="37"/>
        <v>-1229.1481060359979</v>
      </c>
      <c r="AY19" s="60">
        <f t="shared" si="38"/>
        <v>-1486.8444974919078</v>
      </c>
      <c r="AZ19" s="60">
        <f t="shared" si="39"/>
        <v>-1332.2132010007226</v>
      </c>
      <c r="BA19" s="60">
        <f t="shared" si="40"/>
        <v>-1228.9899176160327</v>
      </c>
      <c r="BB19" s="60">
        <f t="shared" si="41"/>
        <v>-1125.6955756238267</v>
      </c>
      <c r="BC19" s="60">
        <f t="shared" si="42"/>
        <v>-970.67775623750435</v>
      </c>
      <c r="BD19" s="60">
        <f t="shared" si="43"/>
        <v>-712.28490635695266</v>
      </c>
      <c r="BE19" s="60">
        <f t="shared" si="44"/>
        <v>-196.25064458982592</v>
      </c>
      <c r="BF19" s="60">
        <f t="shared" si="45"/>
        <v>-927.09462033019008</v>
      </c>
      <c r="BG19" s="60">
        <f t="shared" si="46"/>
        <v>-765.37130736354925</v>
      </c>
      <c r="BH19" s="60">
        <f t="shared" si="47"/>
        <v>-657.65649628164624</v>
      </c>
      <c r="BI19" s="60">
        <f t="shared" si="48"/>
        <v>-550.02881422327619</v>
      </c>
      <c r="BJ19" s="60">
        <f t="shared" si="49"/>
        <v>-388.76241023012994</v>
      </c>
      <c r="BK19" s="60">
        <f t="shared" si="50"/>
        <v>-120.49511510582875</v>
      </c>
      <c r="BL19" s="60">
        <f t="shared" si="51"/>
        <v>413.84913197112951</v>
      </c>
      <c r="BM19" s="60">
        <f t="shared" si="52"/>
        <v>-268.4502653653135</v>
      </c>
      <c r="BN19" s="60">
        <f t="shared" si="53"/>
        <v>-107.57136612726072</v>
      </c>
      <c r="BO19" s="60">
        <f t="shared" si="54"/>
        <v>0</v>
      </c>
      <c r="BP19" s="60">
        <f t="shared" si="55"/>
        <v>107.76378919792251</v>
      </c>
      <c r="BQ19" s="60">
        <f t="shared" si="56"/>
        <v>269.67647905553349</v>
      </c>
      <c r="BR19" s="60">
        <f t="shared" si="57"/>
        <v>539.96156361235535</v>
      </c>
      <c r="BS19" s="60">
        <f t="shared" si="58"/>
        <v>1080.7910566991825</v>
      </c>
      <c r="BT19" s="60">
        <f t="shared" si="59"/>
        <v>478.86801885078967</v>
      </c>
      <c r="BU19" s="60">
        <f t="shared" si="60"/>
        <v>632.18557584516248</v>
      </c>
      <c r="BV19" s="60">
        <f t="shared" si="61"/>
        <v>735.64453709806685</v>
      </c>
      <c r="BW19" s="60">
        <f t="shared" si="62"/>
        <v>839.92257701790322</v>
      </c>
      <c r="BX19" s="60">
        <f t="shared" si="63"/>
        <v>997.60830425843096</v>
      </c>
      <c r="BY19" s="60">
        <f t="shared" si="64"/>
        <v>1263.00704309607</v>
      </c>
      <c r="BZ19" s="60">
        <f t="shared" si="65"/>
        <v>1799.793151399308</v>
      </c>
      <c r="CA19" s="60">
        <f t="shared" si="66"/>
        <v>1302.4653905465539</v>
      </c>
      <c r="CB19" s="60">
        <f t="shared" si="67"/>
        <v>1443.2794058964555</v>
      </c>
      <c r="CC19" s="60">
        <f t="shared" si="68"/>
        <v>1539.6087200182751</v>
      </c>
      <c r="CD19" s="60">
        <f t="shared" si="69"/>
        <v>1637.5890504784184</v>
      </c>
      <c r="CE19" s="60">
        <f t="shared" si="70"/>
        <v>1787.1814743787149</v>
      </c>
      <c r="CF19" s="60">
        <f t="shared" si="71"/>
        <v>2042.0663397405406</v>
      </c>
      <c r="CG19" s="60">
        <f t="shared" si="72"/>
        <v>2565.929051611879</v>
      </c>
      <c r="CH19" s="60">
        <f t="shared" si="73"/>
        <v>3127.2979588410908</v>
      </c>
      <c r="CI19" s="60">
        <f t="shared" si="74"/>
        <v>3235.6931931297436</v>
      </c>
      <c r="CJ19" s="60">
        <f t="shared" si="75"/>
        <v>3312.7495583925315</v>
      </c>
      <c r="CK19" s="60">
        <f t="shared" si="76"/>
        <v>3393.1636650894075</v>
      </c>
      <c r="CL19" s="60">
        <f t="shared" si="77"/>
        <v>3519.3076103704607</v>
      </c>
      <c r="CM19" s="60">
        <f t="shared" si="78"/>
        <v>3741.8078456085914</v>
      </c>
      <c r="CN19" s="60">
        <f t="shared" si="79"/>
        <v>4220.2993388888553</v>
      </c>
    </row>
    <row r="20" spans="1:92" x14ac:dyDescent="0.35">
      <c r="A20" s="3" t="s">
        <v>104</v>
      </c>
      <c r="B20" s="4">
        <f>VLOOKUP(A20,PriceData!$K$4:$L$6,2,FALSE)</f>
        <v>1100</v>
      </c>
      <c r="C20" s="46">
        <f>VLOOKUP(A20,PriceData!$K$4:$M$6,3,FALSE)</f>
        <v>0.02</v>
      </c>
      <c r="D20" s="4" t="s">
        <v>108</v>
      </c>
      <c r="E20" s="4" t="s">
        <v>106</v>
      </c>
      <c r="F20" s="4">
        <v>25</v>
      </c>
      <c r="G20" s="4">
        <v>902</v>
      </c>
      <c r="H20" s="4" t="s">
        <v>109</v>
      </c>
      <c r="I20" s="5">
        <v>40347</v>
      </c>
      <c r="J20" s="46">
        <f t="shared" si="0"/>
        <v>0.51838666539148304</v>
      </c>
      <c r="K20" s="30">
        <f>VLOOKUP(I20,PriceData!$A$5:$D$7,MATCH($E20,PriceData!$A$4:$D$4,0),FALSE)</f>
        <v>1.4999999999999999E-2</v>
      </c>
      <c r="L20" s="2">
        <f t="shared" si="1"/>
        <v>59.069959177058593</v>
      </c>
      <c r="M20" s="2">
        <f t="shared" si="2"/>
        <v>1476.7489794264648</v>
      </c>
      <c r="N20" s="4" t="s">
        <v>110</v>
      </c>
      <c r="P20" s="60">
        <f t="shared" si="3"/>
        <v>-248.86143911000528</v>
      </c>
      <c r="Q20" s="60">
        <f t="shared" si="4"/>
        <v>481.77929671825308</v>
      </c>
      <c r="R20" s="58">
        <f t="shared" si="5"/>
        <v>2.1758863632760672</v>
      </c>
      <c r="S20" s="58">
        <f t="shared" si="6"/>
        <v>125.84709738360738</v>
      </c>
      <c r="T20" s="58">
        <f t="shared" si="7"/>
        <v>-0.3556829358286932</v>
      </c>
      <c r="U20" s="2">
        <f t="shared" si="8"/>
        <v>-1.3413997897984422</v>
      </c>
      <c r="V20" s="65">
        <f t="shared" si="9"/>
        <v>-6221.5359777501317</v>
      </c>
      <c r="W20" s="65">
        <f t="shared" si="10"/>
        <v>12044.482417956327</v>
      </c>
      <c r="X20" s="78">
        <f t="shared" si="11"/>
        <v>54.397159081901677</v>
      </c>
      <c r="Y20" s="78">
        <f t="shared" si="12"/>
        <v>3146.1774345901845</v>
      </c>
      <c r="Z20" s="78">
        <f t="shared" si="13"/>
        <v>-8.8920733957173308</v>
      </c>
      <c r="AA20" s="78">
        <f t="shared" si="14"/>
        <v>-33.534994744961054</v>
      </c>
      <c r="AB20" s="78">
        <f t="shared" si="15"/>
        <v>1832.1225049032748</v>
      </c>
      <c r="AC20" s="78">
        <f t="shared" si="16"/>
        <v>755.73307209256905</v>
      </c>
      <c r="AD20" s="78">
        <f t="shared" si="17"/>
        <v>342.80921821624588</v>
      </c>
      <c r="AE20" s="78">
        <f t="shared" si="18"/>
        <v>129.35127610059141</v>
      </c>
      <c r="AF20" s="78">
        <f t="shared" si="19"/>
        <v>-119.71417440000707</v>
      </c>
      <c r="AG20" s="78">
        <f t="shared" si="20"/>
        <v>-282.52799739185122</v>
      </c>
      <c r="AH20" s="78">
        <f t="shared" si="21"/>
        <v>-513.92538224035957</v>
      </c>
      <c r="AI20" s="78">
        <f t="shared" si="22"/>
        <v>-855.33584811084461</v>
      </c>
      <c r="AJ20" s="78">
        <f t="shared" si="23"/>
        <v>-524.52508569965914</v>
      </c>
      <c r="AK20" s="78">
        <f t="shared" si="24"/>
        <v>-267.62852530545587</v>
      </c>
      <c r="AL20" s="78">
        <f t="shared" si="25"/>
        <v>-108.13924990035062</v>
      </c>
      <c r="AM20" s="78">
        <f t="shared" si="26"/>
        <v>-54.236673354875364</v>
      </c>
      <c r="AN20" s="78">
        <f t="shared" si="27"/>
        <v>54.551390751124984</v>
      </c>
      <c r="AO20" s="78">
        <f t="shared" si="28"/>
        <v>109.39931641727796</v>
      </c>
      <c r="AP20" s="78">
        <f t="shared" si="29"/>
        <v>275.55659607905341</v>
      </c>
      <c r="AQ20" s="78">
        <f t="shared" si="30"/>
        <v>557.00632075533326</v>
      </c>
      <c r="AR20" s="60">
        <f t="shared" si="31"/>
        <v>1545.9274245235704</v>
      </c>
      <c r="AS20" s="60">
        <f t="shared" si="32"/>
        <v>1717.7135255584844</v>
      </c>
      <c r="AT20" s="60">
        <f t="shared" si="33"/>
        <v>1832.1225049032748</v>
      </c>
      <c r="AU20" s="60">
        <f t="shared" si="34"/>
        <v>1946.4296188165918</v>
      </c>
      <c r="AV20" s="60">
        <f t="shared" si="35"/>
        <v>2117.6823292678778</v>
      </c>
      <c r="AW20" s="60">
        <f t="shared" si="36"/>
        <v>2402.4892561206116</v>
      </c>
      <c r="AX20" s="60">
        <f t="shared" si="37"/>
        <v>2969.4361068965136</v>
      </c>
      <c r="AY20" s="60">
        <f t="shared" si="38"/>
        <v>462.81043584096864</v>
      </c>
      <c r="AZ20" s="60">
        <f t="shared" si="39"/>
        <v>638.3831887878714</v>
      </c>
      <c r="BA20" s="60">
        <f t="shared" si="40"/>
        <v>755.73307209256905</v>
      </c>
      <c r="BB20" s="60">
        <f t="shared" si="41"/>
        <v>873.27074112731964</v>
      </c>
      <c r="BC20" s="60">
        <f t="shared" si="42"/>
        <v>1049.8445962697517</v>
      </c>
      <c r="BD20" s="60">
        <f t="shared" si="43"/>
        <v>1344.5777384051737</v>
      </c>
      <c r="BE20" s="60">
        <f t="shared" si="44"/>
        <v>1934.3085042150917</v>
      </c>
      <c r="BF20" s="60">
        <f t="shared" si="45"/>
        <v>59.465007271614923</v>
      </c>
      <c r="BG20" s="60">
        <f t="shared" si="46"/>
        <v>228.88506106426973</v>
      </c>
      <c r="BH20" s="60">
        <f t="shared" si="47"/>
        <v>342.80921821624588</v>
      </c>
      <c r="BI20" s="60">
        <f t="shared" si="48"/>
        <v>457.3970120161178</v>
      </c>
      <c r="BJ20" s="60">
        <f t="shared" si="49"/>
        <v>630.33558393483133</v>
      </c>
      <c r="BK20" s="60">
        <f t="shared" si="50"/>
        <v>920.79311646459837</v>
      </c>
      <c r="BL20" s="60">
        <f t="shared" si="51"/>
        <v>1507.0453471925107</v>
      </c>
      <c r="BM20" s="60">
        <f t="shared" si="52"/>
        <v>-267.62852530545587</v>
      </c>
      <c r="BN20" s="60">
        <f t="shared" si="53"/>
        <v>-108.13924990035062</v>
      </c>
      <c r="BO20" s="60">
        <f t="shared" si="54"/>
        <v>0</v>
      </c>
      <c r="BP20" s="60">
        <f t="shared" si="55"/>
        <v>109.39931641727796</v>
      </c>
      <c r="BQ20" s="60">
        <f t="shared" si="56"/>
        <v>275.55659607905341</v>
      </c>
      <c r="BR20" s="60">
        <f t="shared" si="57"/>
        <v>557.00632075533326</v>
      </c>
      <c r="BS20" s="60">
        <f t="shared" si="58"/>
        <v>1131.9023025413017</v>
      </c>
      <c r="BT20" s="60">
        <f t="shared" si="59"/>
        <v>-530.24347870029158</v>
      </c>
      <c r="BU20" s="60">
        <f t="shared" si="60"/>
        <v>-383.22955611536929</v>
      </c>
      <c r="BV20" s="60">
        <f t="shared" si="61"/>
        <v>-282.52799739185122</v>
      </c>
      <c r="BW20" s="60">
        <f t="shared" si="62"/>
        <v>-179.92661344240304</v>
      </c>
      <c r="BX20" s="60">
        <f t="shared" si="63"/>
        <v>-22.874589662018252</v>
      </c>
      <c r="BY20" s="60">
        <f t="shared" si="64"/>
        <v>245.94892290453174</v>
      </c>
      <c r="BZ20" s="60">
        <f t="shared" si="65"/>
        <v>803.18675243314885</v>
      </c>
      <c r="CA20" s="60">
        <f t="shared" si="66"/>
        <v>-739.27651426495095</v>
      </c>
      <c r="CB20" s="60">
        <f t="shared" si="67"/>
        <v>-606.17777872569934</v>
      </c>
      <c r="CC20" s="60">
        <f t="shared" si="68"/>
        <v>-513.92538224035957</v>
      </c>
      <c r="CD20" s="60">
        <f t="shared" si="69"/>
        <v>-419.15519543753067</v>
      </c>
      <c r="CE20" s="60">
        <f t="shared" si="70"/>
        <v>-272.77287041767551</v>
      </c>
      <c r="CF20" s="60">
        <f t="shared" si="71"/>
        <v>-19.154061646394638</v>
      </c>
      <c r="CG20" s="60">
        <f t="shared" si="72"/>
        <v>515.61165813492312</v>
      </c>
      <c r="CH20" s="60">
        <f t="shared" si="73"/>
        <v>-1034.0884914962498</v>
      </c>
      <c r="CI20" s="60">
        <f t="shared" si="74"/>
        <v>-929.70441085059576</v>
      </c>
      <c r="CJ20" s="60">
        <f t="shared" si="75"/>
        <v>-855.33584811084461</v>
      </c>
      <c r="CK20" s="60">
        <f t="shared" si="76"/>
        <v>-777.4539409889677</v>
      </c>
      <c r="CL20" s="60">
        <f t="shared" si="77"/>
        <v>-654.58806860550703</v>
      </c>
      <c r="CM20" s="60">
        <f t="shared" si="78"/>
        <v>-435.58821976724641</v>
      </c>
      <c r="CN20" s="60">
        <f t="shared" si="79"/>
        <v>44.982618227024318</v>
      </c>
    </row>
    <row r="21" spans="1:92" x14ac:dyDescent="0.35">
      <c r="A21" s="3" t="s">
        <v>104</v>
      </c>
      <c r="B21" s="4">
        <f>VLOOKUP(A21,PriceData!$K$4:$L$6,2,FALSE)</f>
        <v>1100</v>
      </c>
      <c r="C21" s="46">
        <f>VLOOKUP(A21,PriceData!$K$4:$M$6,3,FALSE)</f>
        <v>0.02</v>
      </c>
      <c r="D21" s="4" t="s">
        <v>108</v>
      </c>
      <c r="E21" s="4" t="s">
        <v>106</v>
      </c>
      <c r="F21" s="4">
        <v>25</v>
      </c>
      <c r="G21" s="4">
        <v>902</v>
      </c>
      <c r="H21" s="4" t="s">
        <v>109</v>
      </c>
      <c r="I21" s="5">
        <v>40347</v>
      </c>
      <c r="J21" s="46">
        <f t="shared" si="0"/>
        <v>0.51838666539148304</v>
      </c>
      <c r="K21" s="30">
        <f>VLOOKUP(I21,PriceData!$A$5:$D$7,MATCH($E21,PriceData!$A$4:$D$4,0),FALSE)</f>
        <v>1.4999999999999999E-2</v>
      </c>
      <c r="L21" s="2">
        <f t="shared" si="1"/>
        <v>59.069959177058593</v>
      </c>
      <c r="M21" s="2">
        <f t="shared" si="2"/>
        <v>1476.7489794264648</v>
      </c>
      <c r="N21" s="4" t="s">
        <v>107</v>
      </c>
      <c r="P21" s="60">
        <f t="shared" si="3"/>
        <v>-248.86143911000528</v>
      </c>
      <c r="Q21" s="60">
        <f t="shared" si="4"/>
        <v>481.77929671825308</v>
      </c>
      <c r="R21" s="58">
        <f t="shared" si="5"/>
        <v>2.1758863632760672</v>
      </c>
      <c r="S21" s="58">
        <f t="shared" si="6"/>
        <v>125.84709738360738</v>
      </c>
      <c r="T21" s="58">
        <f t="shared" si="7"/>
        <v>-0.3556829358286932</v>
      </c>
      <c r="U21" s="2">
        <f t="shared" si="8"/>
        <v>-1.3413997897984422</v>
      </c>
      <c r="V21" s="65">
        <f t="shared" si="9"/>
        <v>-6221.5359777501317</v>
      </c>
      <c r="W21" s="65">
        <f t="shared" si="10"/>
        <v>12044.482417956327</v>
      </c>
      <c r="X21" s="78">
        <f t="shared" si="11"/>
        <v>54.397159081901677</v>
      </c>
      <c r="Y21" s="78">
        <f t="shared" si="12"/>
        <v>3146.1774345901845</v>
      </c>
      <c r="Z21" s="78">
        <f t="shared" si="13"/>
        <v>-8.8920733957173308</v>
      </c>
      <c r="AA21" s="78">
        <f t="shared" si="14"/>
        <v>-33.534994744961054</v>
      </c>
      <c r="AB21" s="78">
        <f t="shared" si="15"/>
        <v>1832.1225049032748</v>
      </c>
      <c r="AC21" s="78">
        <f t="shared" si="16"/>
        <v>755.73307209256905</v>
      </c>
      <c r="AD21" s="78">
        <f t="shared" si="17"/>
        <v>342.80921821624588</v>
      </c>
      <c r="AE21" s="78">
        <f t="shared" si="18"/>
        <v>129.35127610059141</v>
      </c>
      <c r="AF21" s="78">
        <f t="shared" si="19"/>
        <v>-119.71417440000707</v>
      </c>
      <c r="AG21" s="78">
        <f t="shared" si="20"/>
        <v>-282.52799739185122</v>
      </c>
      <c r="AH21" s="78">
        <f t="shared" si="21"/>
        <v>-513.92538224035957</v>
      </c>
      <c r="AI21" s="78">
        <f t="shared" si="22"/>
        <v>-855.33584811084461</v>
      </c>
      <c r="AJ21" s="78">
        <f t="shared" si="23"/>
        <v>-524.52508569965914</v>
      </c>
      <c r="AK21" s="78">
        <f t="shared" si="24"/>
        <v>-267.62852530545587</v>
      </c>
      <c r="AL21" s="78">
        <f t="shared" si="25"/>
        <v>-108.13924990035062</v>
      </c>
      <c r="AM21" s="78">
        <f t="shared" si="26"/>
        <v>-54.236673354875364</v>
      </c>
      <c r="AN21" s="78">
        <f t="shared" si="27"/>
        <v>54.551390751124984</v>
      </c>
      <c r="AO21" s="78">
        <f t="shared" si="28"/>
        <v>109.39931641727796</v>
      </c>
      <c r="AP21" s="78">
        <f t="shared" si="29"/>
        <v>275.55659607905341</v>
      </c>
      <c r="AQ21" s="78">
        <f t="shared" si="30"/>
        <v>557.00632075533326</v>
      </c>
      <c r="AR21" s="60">
        <f t="shared" si="31"/>
        <v>1545.9274245235704</v>
      </c>
      <c r="AS21" s="60">
        <f t="shared" si="32"/>
        <v>1717.7135255584844</v>
      </c>
      <c r="AT21" s="60">
        <f t="shared" si="33"/>
        <v>1832.1225049032748</v>
      </c>
      <c r="AU21" s="60">
        <f t="shared" si="34"/>
        <v>1946.4296188165918</v>
      </c>
      <c r="AV21" s="60">
        <f t="shared" si="35"/>
        <v>2117.6823292678778</v>
      </c>
      <c r="AW21" s="60">
        <f t="shared" si="36"/>
        <v>2402.4892561206116</v>
      </c>
      <c r="AX21" s="60">
        <f t="shared" si="37"/>
        <v>2969.4361068965136</v>
      </c>
      <c r="AY21" s="60">
        <f t="shared" si="38"/>
        <v>462.81043584096864</v>
      </c>
      <c r="AZ21" s="60">
        <f t="shared" si="39"/>
        <v>638.3831887878714</v>
      </c>
      <c r="BA21" s="60">
        <f t="shared" si="40"/>
        <v>755.73307209256905</v>
      </c>
      <c r="BB21" s="60">
        <f t="shared" si="41"/>
        <v>873.27074112731964</v>
      </c>
      <c r="BC21" s="60">
        <f t="shared" si="42"/>
        <v>1049.8445962697517</v>
      </c>
      <c r="BD21" s="60">
        <f t="shared" si="43"/>
        <v>1344.5777384051737</v>
      </c>
      <c r="BE21" s="60">
        <f t="shared" si="44"/>
        <v>1934.3085042150917</v>
      </c>
      <c r="BF21" s="60">
        <f t="shared" si="45"/>
        <v>59.465007271614923</v>
      </c>
      <c r="BG21" s="60">
        <f t="shared" si="46"/>
        <v>228.88506106426973</v>
      </c>
      <c r="BH21" s="60">
        <f t="shared" si="47"/>
        <v>342.80921821624588</v>
      </c>
      <c r="BI21" s="60">
        <f t="shared" si="48"/>
        <v>457.3970120161178</v>
      </c>
      <c r="BJ21" s="60">
        <f t="shared" si="49"/>
        <v>630.33558393483133</v>
      </c>
      <c r="BK21" s="60">
        <f t="shared" si="50"/>
        <v>920.79311646459837</v>
      </c>
      <c r="BL21" s="60">
        <f t="shared" si="51"/>
        <v>1507.0453471925107</v>
      </c>
      <c r="BM21" s="60">
        <f t="shared" si="52"/>
        <v>-267.62852530545587</v>
      </c>
      <c r="BN21" s="60">
        <f t="shared" si="53"/>
        <v>-108.13924990035062</v>
      </c>
      <c r="BO21" s="60">
        <f t="shared" si="54"/>
        <v>0</v>
      </c>
      <c r="BP21" s="60">
        <f t="shared" si="55"/>
        <v>109.39931641727796</v>
      </c>
      <c r="BQ21" s="60">
        <f t="shared" si="56"/>
        <v>275.55659607905341</v>
      </c>
      <c r="BR21" s="60">
        <f t="shared" si="57"/>
        <v>557.00632075533326</v>
      </c>
      <c r="BS21" s="60">
        <f t="shared" si="58"/>
        <v>1131.9023025413017</v>
      </c>
      <c r="BT21" s="60">
        <f t="shared" si="59"/>
        <v>-530.24347870029158</v>
      </c>
      <c r="BU21" s="60">
        <f t="shared" si="60"/>
        <v>-383.22955611536929</v>
      </c>
      <c r="BV21" s="60">
        <f t="shared" si="61"/>
        <v>-282.52799739185122</v>
      </c>
      <c r="BW21" s="60">
        <f t="shared" si="62"/>
        <v>-179.92661344240304</v>
      </c>
      <c r="BX21" s="60">
        <f t="shared" si="63"/>
        <v>-22.874589662018252</v>
      </c>
      <c r="BY21" s="60">
        <f t="shared" si="64"/>
        <v>245.94892290453174</v>
      </c>
      <c r="BZ21" s="60">
        <f t="shared" si="65"/>
        <v>803.18675243314885</v>
      </c>
      <c r="CA21" s="60">
        <f t="shared" si="66"/>
        <v>-739.27651426495095</v>
      </c>
      <c r="CB21" s="60">
        <f t="shared" si="67"/>
        <v>-606.17777872569934</v>
      </c>
      <c r="CC21" s="60">
        <f t="shared" si="68"/>
        <v>-513.92538224035957</v>
      </c>
      <c r="CD21" s="60">
        <f t="shared" si="69"/>
        <v>-419.15519543753067</v>
      </c>
      <c r="CE21" s="60">
        <f t="shared" si="70"/>
        <v>-272.77287041767551</v>
      </c>
      <c r="CF21" s="60">
        <f t="shared" si="71"/>
        <v>-19.154061646394638</v>
      </c>
      <c r="CG21" s="60">
        <f t="shared" si="72"/>
        <v>515.61165813492312</v>
      </c>
      <c r="CH21" s="60">
        <f t="shared" si="73"/>
        <v>-1034.0884914962498</v>
      </c>
      <c r="CI21" s="60">
        <f t="shared" si="74"/>
        <v>-929.70441085059576</v>
      </c>
      <c r="CJ21" s="60">
        <f t="shared" si="75"/>
        <v>-855.33584811084461</v>
      </c>
      <c r="CK21" s="60">
        <f t="shared" si="76"/>
        <v>-777.4539409889677</v>
      </c>
      <c r="CL21" s="60">
        <f t="shared" si="77"/>
        <v>-654.58806860550703</v>
      </c>
      <c r="CM21" s="60">
        <f t="shared" si="78"/>
        <v>-435.58821976724641</v>
      </c>
      <c r="CN21" s="60">
        <f t="shared" si="79"/>
        <v>44.982618227024318</v>
      </c>
    </row>
    <row r="22" spans="1:92" x14ac:dyDescent="0.35">
      <c r="A22" s="3" t="s">
        <v>104</v>
      </c>
      <c r="B22" s="4">
        <f>VLOOKUP(A22,PriceData!$K$4:$L$6,2,FALSE)</f>
        <v>1100</v>
      </c>
      <c r="C22" s="46">
        <f>VLOOKUP(A22,PriceData!$K$4:$M$6,3,FALSE)</f>
        <v>0.02</v>
      </c>
      <c r="D22" s="4" t="s">
        <v>108</v>
      </c>
      <c r="E22" s="4" t="s">
        <v>106</v>
      </c>
      <c r="F22" s="4">
        <v>50</v>
      </c>
      <c r="G22" s="4">
        <v>1331</v>
      </c>
      <c r="H22" s="4" t="s">
        <v>111</v>
      </c>
      <c r="I22" s="5">
        <v>40347</v>
      </c>
      <c r="J22" s="46">
        <f t="shared" si="0"/>
        <v>0.32969444289961214</v>
      </c>
      <c r="K22" s="30">
        <f>VLOOKUP(I22,PriceData!$A$5:$D$7,MATCH($E22,PriceData!$A$4:$D$4,0),FALSE)</f>
        <v>1.4999999999999999E-2</v>
      </c>
      <c r="L22" s="2">
        <f t="shared" si="1"/>
        <v>26.825157221083771</v>
      </c>
      <c r="M22" s="2">
        <f t="shared" si="2"/>
        <v>1341.2578610541887</v>
      </c>
      <c r="N22" s="4" t="s">
        <v>107</v>
      </c>
      <c r="P22" s="60">
        <f t="shared" si="3"/>
        <v>238.28375127170557</v>
      </c>
      <c r="Q22" s="60">
        <f t="shared" si="4"/>
        <v>739.01958700862792</v>
      </c>
      <c r="R22" s="58">
        <f t="shared" si="5"/>
        <v>2.1227645761031813</v>
      </c>
      <c r="S22" s="58">
        <f t="shared" si="6"/>
        <v>497.81833808904207</v>
      </c>
      <c r="T22" s="58">
        <f t="shared" si="7"/>
        <v>-0.2157163549014337</v>
      </c>
      <c r="U22" s="2">
        <f t="shared" si="8"/>
        <v>0.92114839600133891</v>
      </c>
      <c r="V22" s="65">
        <f t="shared" si="9"/>
        <v>11914.187563585278</v>
      </c>
      <c r="W22" s="65">
        <f t="shared" si="10"/>
        <v>36950.979350431393</v>
      </c>
      <c r="X22" s="78">
        <f t="shared" si="11"/>
        <v>106.13822880515906</v>
      </c>
      <c r="Y22" s="78">
        <f t="shared" si="12"/>
        <v>24890.916904452104</v>
      </c>
      <c r="Z22" s="78">
        <f t="shared" si="13"/>
        <v>-10.785817745071686</v>
      </c>
      <c r="AA22" s="78">
        <f t="shared" si="14"/>
        <v>46.057419800066945</v>
      </c>
      <c r="AB22" s="78">
        <f t="shared" si="15"/>
        <v>-1216.4564534577103</v>
      </c>
      <c r="AC22" s="78">
        <f t="shared" si="16"/>
        <v>-858.12497237522507</v>
      </c>
      <c r="AD22" s="78">
        <f t="shared" si="17"/>
        <v>-507.59937833799427</v>
      </c>
      <c r="AE22" s="78">
        <f t="shared" si="18"/>
        <v>-223.7649783538032</v>
      </c>
      <c r="AF22" s="78">
        <f t="shared" si="19"/>
        <v>253.30895117636061</v>
      </c>
      <c r="AG22" s="78">
        <f t="shared" si="20"/>
        <v>691.70094004686575</v>
      </c>
      <c r="AH22" s="78">
        <f t="shared" si="21"/>
        <v>1586.8775894232442</v>
      </c>
      <c r="AI22" s="78">
        <f t="shared" si="22"/>
        <v>4019.2576644389901</v>
      </c>
      <c r="AJ22" s="78">
        <f t="shared" si="23"/>
        <v>-902.19570672478108</v>
      </c>
      <c r="AK22" s="78">
        <f t="shared" si="24"/>
        <v>-495.61966961093731</v>
      </c>
      <c r="AL22" s="78">
        <f t="shared" si="25"/>
        <v>-207.05906098690861</v>
      </c>
      <c r="AM22" s="78">
        <f t="shared" si="26"/>
        <v>-104.86434376147571</v>
      </c>
      <c r="AN22" s="78">
        <f t="shared" si="27"/>
        <v>107.3545194143918</v>
      </c>
      <c r="AO22" s="78">
        <f t="shared" si="28"/>
        <v>217.03276667935398</v>
      </c>
      <c r="AP22" s="78">
        <f t="shared" si="29"/>
        <v>558.5228083572033</v>
      </c>
      <c r="AQ22" s="78">
        <f t="shared" si="30"/>
        <v>1161.776101261526</v>
      </c>
      <c r="AR22" s="60">
        <f t="shared" si="31"/>
        <v>-1299.806245851843</v>
      </c>
      <c r="AS22" s="60">
        <f t="shared" si="32"/>
        <v>-1256.7736637928567</v>
      </c>
      <c r="AT22" s="60">
        <f t="shared" si="33"/>
        <v>-1216.4564534577103</v>
      </c>
      <c r="AU22" s="60">
        <f t="shared" si="34"/>
        <v>-1166.1681309296184</v>
      </c>
      <c r="AV22" s="60">
        <f t="shared" si="35"/>
        <v>-1071.5465989805616</v>
      </c>
      <c r="AW22" s="60">
        <f t="shared" si="36"/>
        <v>-863.30738103821079</v>
      </c>
      <c r="AX22" s="60">
        <f t="shared" si="37"/>
        <v>-276.60570397181061</v>
      </c>
      <c r="AY22" s="60">
        <f t="shared" si="38"/>
        <v>-1106.209058089376</v>
      </c>
      <c r="AZ22" s="60">
        <f t="shared" si="39"/>
        <v>-968.00256028831632</v>
      </c>
      <c r="BA22" s="60">
        <f t="shared" si="40"/>
        <v>-858.12497237522507</v>
      </c>
      <c r="BB22" s="60">
        <f t="shared" si="41"/>
        <v>-735.05394078013637</v>
      </c>
      <c r="BC22" s="60">
        <f t="shared" si="42"/>
        <v>-527.78457973038121</v>
      </c>
      <c r="BD22" s="60">
        <f t="shared" si="43"/>
        <v>-129.74430564978832</v>
      </c>
      <c r="BE22" s="60">
        <f t="shared" si="44"/>
        <v>817.51936053025111</v>
      </c>
      <c r="BF22" s="60">
        <f t="shared" si="45"/>
        <v>-873.63249328681081</v>
      </c>
      <c r="BG22" s="60">
        <f t="shared" si="46"/>
        <v>-664.50109819956538</v>
      </c>
      <c r="BH22" s="60">
        <f t="shared" si="47"/>
        <v>-507.59937833799427</v>
      </c>
      <c r="BI22" s="60">
        <f t="shared" si="48"/>
        <v>-338.34124982302285</v>
      </c>
      <c r="BJ22" s="60">
        <f t="shared" si="49"/>
        <v>-64.066306098057169</v>
      </c>
      <c r="BK22" s="60">
        <f t="shared" si="50"/>
        <v>438.28670719949372</v>
      </c>
      <c r="BL22" s="60">
        <f t="shared" si="51"/>
        <v>1565.6978392869221</v>
      </c>
      <c r="BM22" s="60">
        <f t="shared" si="52"/>
        <v>-495.61966961093731</v>
      </c>
      <c r="BN22" s="60">
        <f t="shared" si="53"/>
        <v>-207.05906098690861</v>
      </c>
      <c r="BO22" s="60">
        <f t="shared" si="54"/>
        <v>0</v>
      </c>
      <c r="BP22" s="60">
        <f t="shared" si="55"/>
        <v>217.03276667935398</v>
      </c>
      <c r="BQ22" s="60">
        <f t="shared" si="56"/>
        <v>558.5228083572033</v>
      </c>
      <c r="BR22" s="60">
        <f t="shared" si="57"/>
        <v>1161.776101261526</v>
      </c>
      <c r="BS22" s="60">
        <f t="shared" si="58"/>
        <v>2456.3709606885</v>
      </c>
      <c r="BT22" s="60">
        <f t="shared" si="59"/>
        <v>68.984337488487313</v>
      </c>
      <c r="BU22" s="60">
        <f t="shared" si="60"/>
        <v>436.50020392888393</v>
      </c>
      <c r="BV22" s="60">
        <f t="shared" si="61"/>
        <v>691.70094004686575</v>
      </c>
      <c r="BW22" s="60">
        <f t="shared" si="62"/>
        <v>953.60761790574315</v>
      </c>
      <c r="BX22" s="60">
        <f t="shared" si="63"/>
        <v>1356.9115247629297</v>
      </c>
      <c r="BY22" s="60">
        <f t="shared" si="64"/>
        <v>2050.7398082563186</v>
      </c>
      <c r="BZ22" s="60">
        <f t="shared" si="65"/>
        <v>3491.686506035353</v>
      </c>
      <c r="CA22" s="60">
        <f t="shared" si="66"/>
        <v>854.01584010183456</v>
      </c>
      <c r="CB22" s="60">
        <f t="shared" si="67"/>
        <v>1290.517847088978</v>
      </c>
      <c r="CC22" s="60">
        <f t="shared" si="68"/>
        <v>1586.8775894232442</v>
      </c>
      <c r="CD22" s="60">
        <f t="shared" si="69"/>
        <v>1886.6652695556411</v>
      </c>
      <c r="CE22" s="60">
        <f t="shared" si="70"/>
        <v>2341.5481241598513</v>
      </c>
      <c r="CF22" s="60">
        <f t="shared" si="71"/>
        <v>3110.0789927170381</v>
      </c>
      <c r="CG22" s="60">
        <f t="shared" si="72"/>
        <v>4670.8212370367964</v>
      </c>
      <c r="CH22" s="60">
        <f t="shared" si="73"/>
        <v>3158.9105346377069</v>
      </c>
      <c r="CI22" s="60">
        <f t="shared" si="74"/>
        <v>3675.2454870660672</v>
      </c>
      <c r="CJ22" s="60">
        <f t="shared" si="75"/>
        <v>4019.2576644389901</v>
      </c>
      <c r="CK22" s="60">
        <f t="shared" si="76"/>
        <v>4363.0714190822773</v>
      </c>
      <c r="CL22" s="60">
        <f t="shared" si="77"/>
        <v>4878.3707640796392</v>
      </c>
      <c r="CM22" s="60">
        <f t="shared" si="78"/>
        <v>5735.9103474425556</v>
      </c>
      <c r="CN22" s="60">
        <f t="shared" si="79"/>
        <v>7445.1232885505387</v>
      </c>
    </row>
    <row r="23" spans="1:92" x14ac:dyDescent="0.35">
      <c r="A23" s="3" t="s">
        <v>104</v>
      </c>
      <c r="B23" s="4">
        <f>VLOOKUP(A23,PriceData!$K$4:$L$6,2,FALSE)</f>
        <v>1100</v>
      </c>
      <c r="C23" s="46">
        <f>VLOOKUP(A23,PriceData!$K$4:$M$6,3,FALSE)</f>
        <v>0.02</v>
      </c>
      <c r="D23" s="4" t="s">
        <v>108</v>
      </c>
      <c r="E23" s="4" t="s">
        <v>106</v>
      </c>
      <c r="F23" s="4">
        <v>50</v>
      </c>
      <c r="G23" s="4">
        <v>1298</v>
      </c>
      <c r="H23" s="4" t="s">
        <v>111</v>
      </c>
      <c r="I23" s="5">
        <v>40347</v>
      </c>
      <c r="J23" s="46">
        <f t="shared" si="0"/>
        <v>0.32830725519482734</v>
      </c>
      <c r="K23" s="30">
        <f>VLOOKUP(I23,PriceData!$A$5:$D$7,MATCH($E23,PriceData!$A$4:$D$4,0),FALSE)</f>
        <v>1.4999999999999999E-2</v>
      </c>
      <c r="L23" s="2">
        <f t="shared" si="1"/>
        <v>32.223915655975617</v>
      </c>
      <c r="M23" s="2">
        <f t="shared" si="2"/>
        <v>1611.1957827987808</v>
      </c>
      <c r="N23" s="4" t="s">
        <v>107</v>
      </c>
      <c r="P23" s="60">
        <f t="shared" si="3"/>
        <v>275.72170428980866</v>
      </c>
      <c r="Q23" s="60">
        <f t="shared" si="4"/>
        <v>804.39548343590673</v>
      </c>
      <c r="R23" s="58">
        <f t="shared" si="5"/>
        <v>2.3008290875624899</v>
      </c>
      <c r="S23" s="58">
        <f t="shared" si="6"/>
        <v>411.49977968015173</v>
      </c>
      <c r="T23" s="58">
        <f t="shared" si="7"/>
        <v>-0.23243924890555179</v>
      </c>
      <c r="U23" s="2">
        <f t="shared" si="8"/>
        <v>1.0607163943227247</v>
      </c>
      <c r="V23" s="65">
        <f t="shared" si="9"/>
        <v>13786.085214490433</v>
      </c>
      <c r="W23" s="65">
        <f t="shared" si="10"/>
        <v>40219.774171795339</v>
      </c>
      <c r="X23" s="78">
        <f t="shared" si="11"/>
        <v>115.0414543781245</v>
      </c>
      <c r="Y23" s="78">
        <f t="shared" si="12"/>
        <v>20574.988984007585</v>
      </c>
      <c r="Z23" s="78">
        <f t="shared" si="13"/>
        <v>-11.621962445277589</v>
      </c>
      <c r="AA23" s="78">
        <f t="shared" si="14"/>
        <v>53.035819716136231</v>
      </c>
      <c r="AB23" s="78">
        <f t="shared" si="15"/>
        <v>-1449.3948591380129</v>
      </c>
      <c r="AC23" s="78">
        <f t="shared" si="16"/>
        <v>-1009.9695494241637</v>
      </c>
      <c r="AD23" s="78">
        <f t="shared" si="17"/>
        <v>-592.60922736984867</v>
      </c>
      <c r="AE23" s="78">
        <f t="shared" si="18"/>
        <v>-259.86604139476981</v>
      </c>
      <c r="AF23" s="78">
        <f t="shared" si="19"/>
        <v>292.0214183990808</v>
      </c>
      <c r="AG23" s="78">
        <f t="shared" si="20"/>
        <v>792.91357049043972</v>
      </c>
      <c r="AH23" s="78">
        <f t="shared" si="21"/>
        <v>1801.876876368739</v>
      </c>
      <c r="AI23" s="78">
        <f t="shared" si="22"/>
        <v>4480.487862416514</v>
      </c>
      <c r="AJ23" s="78">
        <f t="shared" si="23"/>
        <v>-1014.6678446855987</v>
      </c>
      <c r="AK23" s="78">
        <f t="shared" si="24"/>
        <v>-545.84306578470751</v>
      </c>
      <c r="AL23" s="78">
        <f t="shared" si="25"/>
        <v>-225.75015518196295</v>
      </c>
      <c r="AM23" s="78">
        <f t="shared" si="26"/>
        <v>-113.9860875823075</v>
      </c>
      <c r="AN23" s="78">
        <f t="shared" si="27"/>
        <v>116.04472557920786</v>
      </c>
      <c r="AO23" s="78">
        <f t="shared" si="28"/>
        <v>233.99838837841997</v>
      </c>
      <c r="AP23" s="78">
        <f t="shared" si="29"/>
        <v>597.99611057304242</v>
      </c>
      <c r="AQ23" s="78">
        <f t="shared" si="30"/>
        <v>1232.0146041399526</v>
      </c>
      <c r="AR23" s="60">
        <f t="shared" si="31"/>
        <v>-1553.0479244884082</v>
      </c>
      <c r="AS23" s="60">
        <f t="shared" si="32"/>
        <v>-1498.6228636752976</v>
      </c>
      <c r="AT23" s="60">
        <f t="shared" si="33"/>
        <v>-1449.3948591380129</v>
      </c>
      <c r="AU23" s="60">
        <f t="shared" si="34"/>
        <v>-1389.4113601431841</v>
      </c>
      <c r="AV23" s="60">
        <f t="shared" si="35"/>
        <v>-1279.2600775699366</v>
      </c>
      <c r="AW23" s="60">
        <f t="shared" si="36"/>
        <v>-1044.045928499004</v>
      </c>
      <c r="AX23" s="60">
        <f t="shared" si="37"/>
        <v>-405.92002971942736</v>
      </c>
      <c r="AY23" s="60">
        <f t="shared" si="38"/>
        <v>-1299.9134292668714</v>
      </c>
      <c r="AZ23" s="60">
        <f t="shared" si="39"/>
        <v>-1136.5103338123972</v>
      </c>
      <c r="BA23" s="60">
        <f t="shared" si="40"/>
        <v>-1009.9695494241637</v>
      </c>
      <c r="BB23" s="60">
        <f t="shared" si="41"/>
        <v>-870.64580719882872</v>
      </c>
      <c r="BC23" s="60">
        <f t="shared" si="42"/>
        <v>-640.11910349003779</v>
      </c>
      <c r="BD23" s="60">
        <f t="shared" si="43"/>
        <v>-206.98567038172939</v>
      </c>
      <c r="BE23" s="60">
        <f t="shared" si="44"/>
        <v>796.06861147089057</v>
      </c>
      <c r="BF23" s="60">
        <f t="shared" si="45"/>
        <v>-1007.7421361010948</v>
      </c>
      <c r="BG23" s="60">
        <f t="shared" si="46"/>
        <v>-768.34765243234813</v>
      </c>
      <c r="BH23" s="60">
        <f t="shared" si="47"/>
        <v>-592.60922736984867</v>
      </c>
      <c r="BI23" s="60">
        <f t="shared" si="48"/>
        <v>-405.69082288354394</v>
      </c>
      <c r="BJ23" s="60">
        <f t="shared" si="49"/>
        <v>-107.16449811078377</v>
      </c>
      <c r="BK23" s="60">
        <f t="shared" si="50"/>
        <v>429.90077149371757</v>
      </c>
      <c r="BL23" s="60">
        <f t="shared" si="51"/>
        <v>1608.6310101972388</v>
      </c>
      <c r="BM23" s="60">
        <f t="shared" si="52"/>
        <v>-545.84306578470751</v>
      </c>
      <c r="BN23" s="60">
        <f t="shared" si="53"/>
        <v>-225.75015518196295</v>
      </c>
      <c r="BO23" s="60">
        <f t="shared" si="54"/>
        <v>0</v>
      </c>
      <c r="BP23" s="60">
        <f t="shared" si="55"/>
        <v>233.99838837841997</v>
      </c>
      <c r="BQ23" s="60">
        <f t="shared" si="56"/>
        <v>597.99611057304242</v>
      </c>
      <c r="BR23" s="60">
        <f t="shared" si="57"/>
        <v>1232.0146041399526</v>
      </c>
      <c r="BS23" s="60">
        <f t="shared" si="58"/>
        <v>2569.0113201963968</v>
      </c>
      <c r="BT23" s="60">
        <f t="shared" si="59"/>
        <v>126.46317955580884</v>
      </c>
      <c r="BU23" s="60">
        <f t="shared" si="60"/>
        <v>521.8541075455405</v>
      </c>
      <c r="BV23" s="60">
        <f t="shared" si="61"/>
        <v>792.91357049043972</v>
      </c>
      <c r="BW23" s="60">
        <f t="shared" si="62"/>
        <v>1068.8110081032207</v>
      </c>
      <c r="BX23" s="60">
        <f t="shared" si="63"/>
        <v>1490.0907223180568</v>
      </c>
      <c r="BY23" s="60">
        <f t="shared" si="64"/>
        <v>2207.3620648498477</v>
      </c>
      <c r="BZ23" s="60">
        <f t="shared" si="65"/>
        <v>3677.933500462022</v>
      </c>
      <c r="CA23" s="60">
        <f t="shared" si="66"/>
        <v>1039.1567676751479</v>
      </c>
      <c r="CB23" s="60">
        <f t="shared" si="67"/>
        <v>1494.9862472538327</v>
      </c>
      <c r="CC23" s="60">
        <f t="shared" si="68"/>
        <v>1801.876876368739</v>
      </c>
      <c r="CD23" s="60">
        <f t="shared" si="69"/>
        <v>2110.647447161135</v>
      </c>
      <c r="CE23" s="60">
        <f t="shared" si="70"/>
        <v>2576.5875679521387</v>
      </c>
      <c r="CF23" s="60">
        <f t="shared" si="71"/>
        <v>3358.490348421195</v>
      </c>
      <c r="CG23" s="60">
        <f t="shared" si="72"/>
        <v>4933.1273224304696</v>
      </c>
      <c r="CH23" s="60">
        <f t="shared" si="73"/>
        <v>3631.956751072606</v>
      </c>
      <c r="CI23" s="60">
        <f t="shared" si="74"/>
        <v>4141.1557191141283</v>
      </c>
      <c r="CJ23" s="60">
        <f t="shared" si="75"/>
        <v>4480.487862416514</v>
      </c>
      <c r="CK23" s="60">
        <f t="shared" si="76"/>
        <v>4819.6719599364815</v>
      </c>
      <c r="CL23" s="60">
        <f t="shared" si="77"/>
        <v>5328.1055883475219</v>
      </c>
      <c r="CM23" s="60">
        <f t="shared" si="78"/>
        <v>6174.3697843682512</v>
      </c>
      <c r="CN23" s="60">
        <f t="shared" si="79"/>
        <v>7861.4852967673514</v>
      </c>
    </row>
    <row r="24" spans="1:92" x14ac:dyDescent="0.35">
      <c r="A24" s="3" t="s">
        <v>104</v>
      </c>
      <c r="B24" s="4">
        <f>VLOOKUP(A24,PriceData!$K$4:$L$6,2,FALSE)</f>
        <v>1100</v>
      </c>
      <c r="C24" s="46">
        <f>VLOOKUP(A24,PriceData!$K$4:$M$6,3,FALSE)</f>
        <v>0.02</v>
      </c>
      <c r="D24" s="4" t="s">
        <v>108</v>
      </c>
      <c r="E24" s="4" t="s">
        <v>106</v>
      </c>
      <c r="F24" s="4">
        <v>-30</v>
      </c>
      <c r="G24" s="4">
        <v>1232</v>
      </c>
      <c r="H24" s="4" t="s">
        <v>111</v>
      </c>
      <c r="I24" s="5">
        <v>40347</v>
      </c>
      <c r="J24" s="46">
        <f t="shared" si="0"/>
        <v>0.32932352495643258</v>
      </c>
      <c r="K24" s="30">
        <f>VLOOKUP(I24,PriceData!$A$5:$D$7,MATCH($E24,PriceData!$A$4:$D$4,0),FALSE)</f>
        <v>1.4999999999999999E-2</v>
      </c>
      <c r="L24" s="2">
        <f t="shared" si="1"/>
        <v>47.133791884368577</v>
      </c>
      <c r="M24" s="2">
        <f t="shared" si="2"/>
        <v>-1414.0137565310574</v>
      </c>
      <c r="N24" s="4" t="s">
        <v>107</v>
      </c>
      <c r="P24" s="60">
        <f t="shared" si="3"/>
        <v>366.66046110152155</v>
      </c>
      <c r="Q24" s="60">
        <f t="shared" si="4"/>
        <v>915.18511570031228</v>
      </c>
      <c r="R24" s="58">
        <f t="shared" si="5"/>
        <v>2.6258260897602135</v>
      </c>
      <c r="S24" s="58">
        <f t="shared" si="6"/>
        <v>215.75139899873821</v>
      </c>
      <c r="T24" s="58">
        <f t="shared" si="7"/>
        <v>-0.26497304874944189</v>
      </c>
      <c r="U24" s="2">
        <f t="shared" si="8"/>
        <v>1.3919106960418444</v>
      </c>
      <c r="V24" s="65">
        <f t="shared" si="9"/>
        <v>-10999.813833045646</v>
      </c>
      <c r="W24" s="65">
        <f t="shared" si="10"/>
        <v>-27455.553471009367</v>
      </c>
      <c r="X24" s="78">
        <f t="shared" si="11"/>
        <v>-78.774782692806411</v>
      </c>
      <c r="Y24" s="78">
        <f t="shared" si="12"/>
        <v>-6472.5419699621461</v>
      </c>
      <c r="Z24" s="78">
        <f t="shared" si="13"/>
        <v>7.9491914624832569</v>
      </c>
      <c r="AA24" s="78">
        <f t="shared" si="14"/>
        <v>-41.757320881255332</v>
      </c>
      <c r="AB24" s="78">
        <f t="shared" si="15"/>
        <v>1241.9847721473295</v>
      </c>
      <c r="AC24" s="78">
        <f t="shared" si="16"/>
        <v>838.83459999185197</v>
      </c>
      <c r="AD24" s="78">
        <f t="shared" si="17"/>
        <v>482.7349908729559</v>
      </c>
      <c r="AE24" s="78">
        <f t="shared" si="18"/>
        <v>209.09100060267747</v>
      </c>
      <c r="AF24" s="78">
        <f t="shared" si="19"/>
        <v>-231.03992144055553</v>
      </c>
      <c r="AG24" s="78">
        <f t="shared" si="20"/>
        <v>-619.40913977131231</v>
      </c>
      <c r="AH24" s="78">
        <f t="shared" si="21"/>
        <v>-1378.4404210216026</v>
      </c>
      <c r="AI24" s="78">
        <f t="shared" si="22"/>
        <v>-3295.6031531688045</v>
      </c>
      <c r="AJ24" s="78">
        <f t="shared" si="23"/>
        <v>742.54496844486198</v>
      </c>
      <c r="AK24" s="78">
        <f t="shared" si="24"/>
        <v>384.41576620657429</v>
      </c>
      <c r="AL24" s="78">
        <f t="shared" si="25"/>
        <v>156.1747550395495</v>
      </c>
      <c r="AM24" s="78">
        <f t="shared" si="26"/>
        <v>78.441387299612302</v>
      </c>
      <c r="AN24" s="78">
        <f t="shared" si="27"/>
        <v>-79.089140134578884</v>
      </c>
      <c r="AO24" s="78">
        <f t="shared" si="28"/>
        <v>-158.77176496426728</v>
      </c>
      <c r="AP24" s="78">
        <f t="shared" si="29"/>
        <v>-400.91347853382729</v>
      </c>
      <c r="AQ24" s="78">
        <f t="shared" si="30"/>
        <v>-812.5775965364943</v>
      </c>
      <c r="AR24" s="60">
        <f t="shared" si="31"/>
        <v>1339.9524099792911</v>
      </c>
      <c r="AS24" s="60">
        <f t="shared" si="32"/>
        <v>1286.6230702441255</v>
      </c>
      <c r="AT24" s="60">
        <f t="shared" si="33"/>
        <v>1241.9847721473295</v>
      </c>
      <c r="AU24" s="60">
        <f t="shared" si="34"/>
        <v>1190.2820904864902</v>
      </c>
      <c r="AV24" s="60">
        <f t="shared" si="35"/>
        <v>1100.1576962339336</v>
      </c>
      <c r="AW24" s="60">
        <f t="shared" si="36"/>
        <v>919.61285926774178</v>
      </c>
      <c r="AX24" s="60">
        <f t="shared" si="37"/>
        <v>466.90183209658642</v>
      </c>
      <c r="AY24" s="60">
        <f t="shared" si="38"/>
        <v>1073.5453175686664</v>
      </c>
      <c r="AZ24" s="60">
        <f t="shared" si="39"/>
        <v>938.23406148305935</v>
      </c>
      <c r="BA24" s="60">
        <f t="shared" si="40"/>
        <v>838.83459999185197</v>
      </c>
      <c r="BB24" s="60">
        <f t="shared" si="41"/>
        <v>733.06012776554553</v>
      </c>
      <c r="BC24" s="60">
        <f t="shared" si="42"/>
        <v>564.0376438936687</v>
      </c>
      <c r="BD24" s="60">
        <f t="shared" si="43"/>
        <v>259.73959479811072</v>
      </c>
      <c r="BE24" s="60">
        <f t="shared" si="44"/>
        <v>-408.77526414770102</v>
      </c>
      <c r="BF24" s="60">
        <f t="shared" si="45"/>
        <v>795.61075684641082</v>
      </c>
      <c r="BG24" s="60">
        <f t="shared" si="46"/>
        <v>612.04567540229868</v>
      </c>
      <c r="BH24" s="60">
        <f t="shared" si="47"/>
        <v>482.7349908729559</v>
      </c>
      <c r="BI24" s="60">
        <f t="shared" si="48"/>
        <v>348.79686587824551</v>
      </c>
      <c r="BJ24" s="60">
        <f t="shared" si="49"/>
        <v>140.59824050354109</v>
      </c>
      <c r="BK24" s="60">
        <f t="shared" si="50"/>
        <v>-221.7380433840475</v>
      </c>
      <c r="BL24" s="60">
        <f t="shared" si="51"/>
        <v>-985.05776803726519</v>
      </c>
      <c r="BM24" s="60">
        <f t="shared" si="52"/>
        <v>384.41576620657429</v>
      </c>
      <c r="BN24" s="60">
        <f t="shared" si="53"/>
        <v>156.1747550395495</v>
      </c>
      <c r="BO24" s="60">
        <f t="shared" si="54"/>
        <v>0</v>
      </c>
      <c r="BP24" s="60">
        <f t="shared" si="55"/>
        <v>-158.77176496426728</v>
      </c>
      <c r="BQ24" s="60">
        <f t="shared" si="56"/>
        <v>-400.91347853382729</v>
      </c>
      <c r="BR24" s="60">
        <f t="shared" si="57"/>
        <v>-812.5775965364943</v>
      </c>
      <c r="BS24" s="60">
        <f t="shared" si="58"/>
        <v>-1655.0688768856476</v>
      </c>
      <c r="BT24" s="60">
        <f t="shared" si="59"/>
        <v>-179.33237302113866</v>
      </c>
      <c r="BU24" s="60">
        <f t="shared" si="60"/>
        <v>-442.51793225780261</v>
      </c>
      <c r="BV24" s="60">
        <f t="shared" si="61"/>
        <v>-619.40913977131231</v>
      </c>
      <c r="BW24" s="60">
        <f t="shared" si="62"/>
        <v>-797.19148603380802</v>
      </c>
      <c r="BX24" s="60">
        <f t="shared" si="63"/>
        <v>-1065.1733034664308</v>
      </c>
      <c r="BY24" s="60">
        <f t="shared" si="64"/>
        <v>-1514.2744273844296</v>
      </c>
      <c r="BZ24" s="60">
        <f t="shared" si="65"/>
        <v>-2417.2017979785314</v>
      </c>
      <c r="CA24" s="60">
        <f t="shared" si="66"/>
        <v>-904.70565003500667</v>
      </c>
      <c r="CB24" s="60">
        <f t="shared" si="67"/>
        <v>-1188.947692429344</v>
      </c>
      <c r="CC24" s="60">
        <f t="shared" si="68"/>
        <v>-1378.4404210216026</v>
      </c>
      <c r="CD24" s="60">
        <f t="shared" si="69"/>
        <v>-1567.8969580841767</v>
      </c>
      <c r="CE24" s="60">
        <f t="shared" si="70"/>
        <v>-1851.961385974078</v>
      </c>
      <c r="CF24" s="60">
        <f t="shared" si="71"/>
        <v>-2324.9180358135154</v>
      </c>
      <c r="CG24" s="60">
        <f t="shared" si="72"/>
        <v>-3268.1606730084695</v>
      </c>
      <c r="CH24" s="60">
        <f t="shared" si="73"/>
        <v>-2825.2182236281938</v>
      </c>
      <c r="CI24" s="60">
        <f t="shared" si="74"/>
        <v>-3106.5264303117242</v>
      </c>
      <c r="CJ24" s="60">
        <f t="shared" si="75"/>
        <v>-3295.6031531688045</v>
      </c>
      <c r="CK24" s="60">
        <f t="shared" si="76"/>
        <v>-3485.6356167052486</v>
      </c>
      <c r="CL24" s="60">
        <f t="shared" si="77"/>
        <v>-3772.0876983576732</v>
      </c>
      <c r="CM24" s="60">
        <f t="shared" si="78"/>
        <v>-4252.1526366375856</v>
      </c>
      <c r="CN24" s="60">
        <f t="shared" si="79"/>
        <v>-5217.3586892559651</v>
      </c>
    </row>
    <row r="25" spans="1:92" x14ac:dyDescent="0.35">
      <c r="A25" s="3" t="s">
        <v>104</v>
      </c>
      <c r="B25" s="4">
        <f>VLOOKUP(A25,PriceData!$K$4:$L$6,2,FALSE)</f>
        <v>1100</v>
      </c>
      <c r="C25" s="46">
        <f>VLOOKUP(A25,PriceData!$K$4:$M$6,3,FALSE)</f>
        <v>0.02</v>
      </c>
      <c r="D25" s="4" t="s">
        <v>108</v>
      </c>
      <c r="E25" s="4" t="s">
        <v>106</v>
      </c>
      <c r="F25" s="4">
        <v>-30</v>
      </c>
      <c r="G25" s="4">
        <v>1001</v>
      </c>
      <c r="H25" s="4" t="s">
        <v>109</v>
      </c>
      <c r="I25" s="5">
        <v>40347</v>
      </c>
      <c r="J25" s="46">
        <f t="shared" si="0"/>
        <v>0.42038432876631615</v>
      </c>
      <c r="K25" s="30">
        <f>VLOOKUP(I25,PriceData!$A$5:$D$7,MATCH($E25,PriceData!$A$4:$D$4,0),FALSE)</f>
        <v>1.4999999999999999E-2</v>
      </c>
      <c r="L25" s="2">
        <f t="shared" si="1"/>
        <v>73.271161371525523</v>
      </c>
      <c r="M25" s="2">
        <f t="shared" si="2"/>
        <v>-2198.1348411457657</v>
      </c>
      <c r="N25" s="4" t="s">
        <v>112</v>
      </c>
      <c r="P25" s="60">
        <f t="shared" si="3"/>
        <v>-347.74279025404621</v>
      </c>
      <c r="Q25" s="60">
        <f t="shared" si="4"/>
        <v>701.71633499291147</v>
      </c>
      <c r="R25" s="58">
        <f t="shared" si="5"/>
        <v>2.570054658892404</v>
      </c>
      <c r="S25" s="58">
        <f t="shared" si="6"/>
        <v>55.644015063410578</v>
      </c>
      <c r="T25" s="58">
        <f t="shared" si="7"/>
        <v>-0.34150424954132458</v>
      </c>
      <c r="U25" s="2">
        <f t="shared" si="8"/>
        <v>-1.83400598105386</v>
      </c>
      <c r="V25" s="65">
        <f t="shared" si="9"/>
        <v>10432.283707621387</v>
      </c>
      <c r="W25" s="65">
        <f t="shared" si="10"/>
        <v>-21051.490049787346</v>
      </c>
      <c r="X25" s="78">
        <f t="shared" si="11"/>
        <v>-77.101639766772124</v>
      </c>
      <c r="Y25" s="78">
        <f t="shared" si="12"/>
        <v>-1669.3204519023172</v>
      </c>
      <c r="Z25" s="78">
        <f t="shared" si="13"/>
        <v>10.245127486239737</v>
      </c>
      <c r="AA25" s="78">
        <f t="shared" si="14"/>
        <v>55.020179431615801</v>
      </c>
      <c r="AB25" s="78">
        <f t="shared" si="15"/>
        <v>-3058.6960180237088</v>
      </c>
      <c r="AC25" s="78">
        <f t="shared" si="16"/>
        <v>-1271.7644611591049</v>
      </c>
      <c r="AD25" s="78">
        <f t="shared" si="17"/>
        <v>-576.56409658235816</v>
      </c>
      <c r="AE25" s="78">
        <f t="shared" si="18"/>
        <v>-217.21670134008207</v>
      </c>
      <c r="AF25" s="78">
        <f t="shared" si="19"/>
        <v>200.37720910061296</v>
      </c>
      <c r="AG25" s="78">
        <f t="shared" si="20"/>
        <v>471.37391102692675</v>
      </c>
      <c r="AH25" s="78">
        <f t="shared" si="21"/>
        <v>851.85952728761322</v>
      </c>
      <c r="AI25" s="78">
        <f t="shared" si="22"/>
        <v>1395.4698430598846</v>
      </c>
      <c r="AJ25" s="78">
        <f t="shared" si="23"/>
        <v>759.50093402643688</v>
      </c>
      <c r="AK25" s="78">
        <f t="shared" si="24"/>
        <v>383.07354329063173</v>
      </c>
      <c r="AL25" s="78">
        <f t="shared" si="25"/>
        <v>153.84864564986685</v>
      </c>
      <c r="AM25" s="78">
        <f t="shared" si="26"/>
        <v>77.015634399688793</v>
      </c>
      <c r="AN25" s="78">
        <f t="shared" si="27"/>
        <v>-77.182672730362469</v>
      </c>
      <c r="AO25" s="78">
        <f t="shared" si="28"/>
        <v>-154.51807693554201</v>
      </c>
      <c r="AP25" s="78">
        <f t="shared" si="29"/>
        <v>-387.31407362686241</v>
      </c>
      <c r="AQ25" s="78">
        <f t="shared" si="30"/>
        <v>-777.31179007672324</v>
      </c>
      <c r="AR25" s="60">
        <f t="shared" si="31"/>
        <v>-2737.2813907408172</v>
      </c>
      <c r="AS25" s="60">
        <f t="shared" si="32"/>
        <v>-2928.9939101073023</v>
      </c>
      <c r="AT25" s="60">
        <f t="shared" si="33"/>
        <v>-3058.6960180237088</v>
      </c>
      <c r="AU25" s="60">
        <f t="shared" si="34"/>
        <v>-3189.6642412424726</v>
      </c>
      <c r="AV25" s="60">
        <f t="shared" si="35"/>
        <v>-3388.1118239337675</v>
      </c>
      <c r="AW25" s="60">
        <f t="shared" si="36"/>
        <v>-3723.0331281625354</v>
      </c>
      <c r="AX25" s="60">
        <f t="shared" si="37"/>
        <v>-4403.0502242971315</v>
      </c>
      <c r="AY25" s="60">
        <f t="shared" si="38"/>
        <v>-885.38379544441511</v>
      </c>
      <c r="AZ25" s="60">
        <f t="shared" si="39"/>
        <v>-1117.2974954548056</v>
      </c>
      <c r="BA25" s="60">
        <f t="shared" si="40"/>
        <v>-1271.7644611591049</v>
      </c>
      <c r="BB25" s="60">
        <f t="shared" si="41"/>
        <v>-1426.1067842440893</v>
      </c>
      <c r="BC25" s="60">
        <f t="shared" si="42"/>
        <v>-1657.3674314298678</v>
      </c>
      <c r="BD25" s="60">
        <f t="shared" si="43"/>
        <v>-2042.0591058415846</v>
      </c>
      <c r="BE25" s="60">
        <f t="shared" si="44"/>
        <v>-2808.2278446668761</v>
      </c>
      <c r="BF25" s="60">
        <f t="shared" si="45"/>
        <v>-183.94041276656367</v>
      </c>
      <c r="BG25" s="60">
        <f t="shared" si="46"/>
        <v>-419.47180811748922</v>
      </c>
      <c r="BH25" s="60">
        <f t="shared" si="47"/>
        <v>-576.56409658235816</v>
      </c>
      <c r="BI25" s="60">
        <f t="shared" si="48"/>
        <v>-733.67483344147786</v>
      </c>
      <c r="BJ25" s="60">
        <f t="shared" si="49"/>
        <v>-969.3152753332339</v>
      </c>
      <c r="BK25" s="60">
        <f t="shared" si="50"/>
        <v>-1361.7912624515986</v>
      </c>
      <c r="BL25" s="60">
        <f t="shared" si="51"/>
        <v>-2144.7872720794867</v>
      </c>
      <c r="BM25" s="60">
        <f t="shared" si="52"/>
        <v>383.07354329063173</v>
      </c>
      <c r="BN25" s="60">
        <f t="shared" si="53"/>
        <v>153.84864564986685</v>
      </c>
      <c r="BO25" s="60">
        <f t="shared" si="54"/>
        <v>0</v>
      </c>
      <c r="BP25" s="60">
        <f t="shared" si="55"/>
        <v>-154.51807693554201</v>
      </c>
      <c r="BQ25" s="60">
        <f t="shared" si="56"/>
        <v>-387.31407362686241</v>
      </c>
      <c r="BR25" s="60">
        <f t="shared" si="57"/>
        <v>-777.31179007672324</v>
      </c>
      <c r="BS25" s="60">
        <f t="shared" si="58"/>
        <v>-1561.4026883740048</v>
      </c>
      <c r="BT25" s="60">
        <f t="shared" si="59"/>
        <v>832.3613358167313</v>
      </c>
      <c r="BU25" s="60">
        <f t="shared" si="60"/>
        <v>617.26033106925627</v>
      </c>
      <c r="BV25" s="60">
        <f t="shared" si="61"/>
        <v>471.37391102692675</v>
      </c>
      <c r="BW25" s="60">
        <f t="shared" si="62"/>
        <v>323.817314400398</v>
      </c>
      <c r="BX25" s="60">
        <f t="shared" si="63"/>
        <v>99.836787489191465</v>
      </c>
      <c r="BY25" s="60">
        <f t="shared" si="64"/>
        <v>-279.04598348685283</v>
      </c>
      <c r="BZ25" s="60">
        <f t="shared" si="65"/>
        <v>-1050.6771513165422</v>
      </c>
      <c r="CA25" s="60">
        <f t="shared" si="66"/>
        <v>1182.0314210756444</v>
      </c>
      <c r="CB25" s="60">
        <f t="shared" si="67"/>
        <v>986.40925270850948</v>
      </c>
      <c r="CC25" s="60">
        <f t="shared" si="68"/>
        <v>851.85952728761322</v>
      </c>
      <c r="CD25" s="60">
        <f t="shared" si="69"/>
        <v>714.47618141789633</v>
      </c>
      <c r="CE25" s="60">
        <f t="shared" si="70"/>
        <v>503.82662898026979</v>
      </c>
      <c r="CF25" s="60">
        <f t="shared" si="71"/>
        <v>142.82354883269647</v>
      </c>
      <c r="CG25" s="60">
        <f t="shared" si="72"/>
        <v>-605.25038117161898</v>
      </c>
      <c r="CH25" s="60">
        <f t="shared" si="73"/>
        <v>1652.0599187962844</v>
      </c>
      <c r="CI25" s="60">
        <f t="shared" si="74"/>
        <v>1502.3222129576579</v>
      </c>
      <c r="CJ25" s="60">
        <f t="shared" si="75"/>
        <v>1395.4698430598846</v>
      </c>
      <c r="CK25" s="60">
        <f t="shared" si="76"/>
        <v>1283.6193415721386</v>
      </c>
      <c r="CL25" s="60">
        <f t="shared" si="77"/>
        <v>1107.5098654599315</v>
      </c>
      <c r="CM25" s="60">
        <f t="shared" si="78"/>
        <v>795.16943539501824</v>
      </c>
      <c r="CN25" s="60">
        <f t="shared" si="79"/>
        <v>117.68895176290272</v>
      </c>
    </row>
    <row r="26" spans="1:92" x14ac:dyDescent="0.35">
      <c r="A26" s="3" t="s">
        <v>104</v>
      </c>
      <c r="B26" s="4">
        <f>VLOOKUP(A26,PriceData!$K$4:$L$6,2,FALSE)</f>
        <v>1100</v>
      </c>
      <c r="C26" s="46">
        <f>VLOOKUP(A26,PriceData!$K$4:$M$6,3,FALSE)</f>
        <v>0.02</v>
      </c>
      <c r="D26" s="4" t="s">
        <v>108</v>
      </c>
      <c r="E26" s="4" t="s">
        <v>106</v>
      </c>
      <c r="F26" s="4">
        <v>-50</v>
      </c>
      <c r="G26" s="4">
        <v>1100</v>
      </c>
      <c r="H26" s="4" t="s">
        <v>111</v>
      </c>
      <c r="I26" s="5">
        <v>40347</v>
      </c>
      <c r="J26" s="46">
        <f t="shared" si="0"/>
        <v>0.35896400835070608</v>
      </c>
      <c r="K26" s="30">
        <f>VLOOKUP(I26,PriceData!$A$5:$D$7,MATCH($E26,PriceData!$A$4:$D$4,0),FALSE)</f>
        <v>1.4999999999999999E-2</v>
      </c>
      <c r="L26" s="2">
        <f t="shared" si="1"/>
        <v>101.75461587020106</v>
      </c>
      <c r="M26" s="2">
        <f t="shared" si="2"/>
        <v>-5087.7307935100534</v>
      </c>
      <c r="N26" s="4" t="s">
        <v>107</v>
      </c>
      <c r="P26" s="60">
        <f t="shared" si="3"/>
        <v>592.6690449100837</v>
      </c>
      <c r="Q26" s="60">
        <f t="shared" si="4"/>
        <v>912.62722217958503</v>
      </c>
      <c r="R26" s="58">
        <f t="shared" si="5"/>
        <v>2.8541617426172672</v>
      </c>
      <c r="S26" s="58">
        <f t="shared" si="6"/>
        <v>-11.090476100023295</v>
      </c>
      <c r="T26" s="58">
        <f t="shared" si="7"/>
        <v>-0.30988236061599356</v>
      </c>
      <c r="U26" s="2">
        <f t="shared" si="8"/>
        <v>2.138503951160037</v>
      </c>
      <c r="V26" s="65">
        <f t="shared" si="9"/>
        <v>-29633.452245504184</v>
      </c>
      <c r="W26" s="65">
        <f t="shared" si="10"/>
        <v>-45631.361108979254</v>
      </c>
      <c r="X26" s="78">
        <f t="shared" si="11"/>
        <v>-142.70808713086336</v>
      </c>
      <c r="Y26" s="78">
        <f t="shared" si="12"/>
        <v>554.52380500116476</v>
      </c>
      <c r="Z26" s="78">
        <f t="shared" si="13"/>
        <v>15.494118030799678</v>
      </c>
      <c r="AA26" s="78">
        <f t="shared" si="14"/>
        <v>-106.92519755800186</v>
      </c>
      <c r="AB26" s="78">
        <f t="shared" si="15"/>
        <v>4035.4355591192402</v>
      </c>
      <c r="AC26" s="78">
        <f t="shared" si="16"/>
        <v>2491.0838888600465</v>
      </c>
      <c r="AD26" s="78">
        <f t="shared" si="17"/>
        <v>1365.1818844166712</v>
      </c>
      <c r="AE26" s="78">
        <f t="shared" si="18"/>
        <v>574.24763652389572</v>
      </c>
      <c r="AF26" s="78">
        <f t="shared" si="19"/>
        <v>-610.73542504156535</v>
      </c>
      <c r="AG26" s="78">
        <f t="shared" si="20"/>
        <v>-1592.66329062566</v>
      </c>
      <c r="AH26" s="78">
        <f t="shared" si="21"/>
        <v>-3392.9299468907575</v>
      </c>
      <c r="AI26" s="78">
        <f t="shared" si="22"/>
        <v>-7515.644332201231</v>
      </c>
      <c r="AJ26" s="78">
        <f t="shared" si="23"/>
        <v>1429.5908419437096</v>
      </c>
      <c r="AK26" s="78">
        <f t="shared" si="24"/>
        <v>714.20093488233931</v>
      </c>
      <c r="AL26" s="78">
        <f t="shared" si="25"/>
        <v>285.52499469074348</v>
      </c>
      <c r="AM26" s="78">
        <f t="shared" si="26"/>
        <v>142.73555299698728</v>
      </c>
      <c r="AN26" s="78">
        <f t="shared" si="27"/>
        <v>-142.68010103046436</v>
      </c>
      <c r="AO26" s="78">
        <f t="shared" si="28"/>
        <v>-285.30319180202071</v>
      </c>
      <c r="AP26" s="78">
        <f t="shared" si="29"/>
        <v>-712.81488721438393</v>
      </c>
      <c r="AQ26" s="78">
        <f t="shared" si="30"/>
        <v>-1424.0499621541544</v>
      </c>
      <c r="AR26" s="60">
        <f t="shared" si="31"/>
        <v>4413.5606178350718</v>
      </c>
      <c r="AS26" s="60">
        <f t="shared" si="32"/>
        <v>4193.657735467923</v>
      </c>
      <c r="AT26" s="60">
        <f t="shared" si="33"/>
        <v>4035.4355591192402</v>
      </c>
      <c r="AU26" s="60">
        <f t="shared" si="34"/>
        <v>3869.1454451810573</v>
      </c>
      <c r="AV26" s="60">
        <f t="shared" si="35"/>
        <v>3606.5603793974547</v>
      </c>
      <c r="AW26" s="60">
        <f t="shared" si="36"/>
        <v>3140.0881926279881</v>
      </c>
      <c r="AX26" s="60">
        <f t="shared" si="37"/>
        <v>2129.923199332417</v>
      </c>
      <c r="AY26" s="60">
        <f t="shared" si="38"/>
        <v>3092.2658514230479</v>
      </c>
      <c r="AZ26" s="60">
        <f t="shared" si="39"/>
        <v>2733.973854952299</v>
      </c>
      <c r="BA26" s="60">
        <f t="shared" si="40"/>
        <v>2491.0838888600465</v>
      </c>
      <c r="BB26" s="60">
        <f t="shared" si="41"/>
        <v>2245.5734200350234</v>
      </c>
      <c r="BC26" s="60">
        <f t="shared" si="42"/>
        <v>1873.2751382550391</v>
      </c>
      <c r="BD26" s="60">
        <f t="shared" si="43"/>
        <v>1244.583109627888</v>
      </c>
      <c r="BE26" s="60">
        <f t="shared" si="44"/>
        <v>-31.923551030368458</v>
      </c>
      <c r="BF26" s="60">
        <f t="shared" si="45"/>
        <v>2041.0367936342311</v>
      </c>
      <c r="BG26" s="60">
        <f t="shared" si="46"/>
        <v>1636.0836995440081</v>
      </c>
      <c r="BH26" s="60">
        <f t="shared" si="47"/>
        <v>1365.1818844166712</v>
      </c>
      <c r="BI26" s="60">
        <f t="shared" si="48"/>
        <v>1093.7201017545844</v>
      </c>
      <c r="BJ26" s="60">
        <f t="shared" si="49"/>
        <v>685.7494973184032</v>
      </c>
      <c r="BK26" s="60">
        <f t="shared" si="50"/>
        <v>4.5187456455124675</v>
      </c>
      <c r="BL26" s="60">
        <f t="shared" si="51"/>
        <v>-1359.0426821120814</v>
      </c>
      <c r="BM26" s="60">
        <f t="shared" si="52"/>
        <v>714.20093488233931</v>
      </c>
      <c r="BN26" s="60">
        <f t="shared" si="53"/>
        <v>285.52499469074348</v>
      </c>
      <c r="BO26" s="60">
        <f t="shared" si="54"/>
        <v>0</v>
      </c>
      <c r="BP26" s="60">
        <f t="shared" si="55"/>
        <v>-285.30319180202071</v>
      </c>
      <c r="BQ26" s="60">
        <f t="shared" si="56"/>
        <v>-712.81488721438393</v>
      </c>
      <c r="BR26" s="60">
        <f t="shared" si="57"/>
        <v>-1424.0499621541544</v>
      </c>
      <c r="BS26" s="60">
        <f t="shared" si="58"/>
        <v>-2841.0172472988761</v>
      </c>
      <c r="BT26" s="60">
        <f t="shared" si="59"/>
        <v>-877.06151566633821</v>
      </c>
      <c r="BU26" s="60">
        <f t="shared" si="60"/>
        <v>-1306.0098390886708</v>
      </c>
      <c r="BV26" s="60">
        <f t="shared" si="61"/>
        <v>-1592.66329062566</v>
      </c>
      <c r="BW26" s="60">
        <f t="shared" si="62"/>
        <v>-1879.7130039128206</v>
      </c>
      <c r="BX26" s="60">
        <f t="shared" si="63"/>
        <v>-2310.804766715768</v>
      </c>
      <c r="BY26" s="60">
        <f t="shared" si="64"/>
        <v>-3030.0056686616244</v>
      </c>
      <c r="BZ26" s="60">
        <f t="shared" si="65"/>
        <v>-4467.9481688358519</v>
      </c>
      <c r="CA26" s="60">
        <f t="shared" si="66"/>
        <v>-2708.1277769323779</v>
      </c>
      <c r="CB26" s="60">
        <f t="shared" si="67"/>
        <v>-3116.9819626123967</v>
      </c>
      <c r="CC26" s="60">
        <f t="shared" si="68"/>
        <v>-3392.9299468907575</v>
      </c>
      <c r="CD26" s="60">
        <f t="shared" si="69"/>
        <v>-3671.0535809608191</v>
      </c>
      <c r="CE26" s="60">
        <f t="shared" si="70"/>
        <v>-4091.5510141521281</v>
      </c>
      <c r="CF26" s="60">
        <f t="shared" si="71"/>
        <v>-4798.98991892095</v>
      </c>
      <c r="CG26" s="60">
        <f t="shared" si="72"/>
        <v>-6228.5855775878817</v>
      </c>
      <c r="CH26" s="60">
        <f t="shared" si="73"/>
        <v>-6956.2061033218015</v>
      </c>
      <c r="CI26" s="60">
        <f t="shared" si="74"/>
        <v>-7285.3266574023337</v>
      </c>
      <c r="CJ26" s="60">
        <f t="shared" si="75"/>
        <v>-7515.644332201231</v>
      </c>
      <c r="CK26" s="60">
        <f t="shared" si="76"/>
        <v>-7753.3361798271926</v>
      </c>
      <c r="CL26" s="60">
        <f t="shared" si="77"/>
        <v>-8121.634405785835</v>
      </c>
      <c r="CM26" s="60">
        <f t="shared" si="78"/>
        <v>-8760.584689183157</v>
      </c>
      <c r="CN26" s="60">
        <f t="shared" si="79"/>
        <v>-10103.200932103413</v>
      </c>
    </row>
    <row r="27" spans="1:92" x14ac:dyDescent="0.35">
      <c r="A27" s="3" t="s">
        <v>104</v>
      </c>
      <c r="B27" s="4">
        <f>VLOOKUP(A27,PriceData!$K$4:$L$6,2,FALSE)</f>
        <v>1100</v>
      </c>
      <c r="C27" s="46">
        <f>VLOOKUP(A27,PriceData!$K$4:$M$6,3,FALSE)</f>
        <v>0.02</v>
      </c>
      <c r="D27" s="4" t="s">
        <v>108</v>
      </c>
      <c r="E27" s="4" t="s">
        <v>106</v>
      </c>
      <c r="F27" s="4">
        <v>-20</v>
      </c>
      <c r="G27" s="4">
        <v>1034</v>
      </c>
      <c r="H27" s="4" t="s">
        <v>109</v>
      </c>
      <c r="I27" s="5">
        <v>40347</v>
      </c>
      <c r="J27" s="46">
        <f t="shared" si="0"/>
        <v>0.3956302003368482</v>
      </c>
      <c r="K27" s="30">
        <f>VLOOKUP(I27,PriceData!$A$5:$D$7,MATCH($E27,PriceData!$A$4:$D$4,0),FALSE)</f>
        <v>1.4999999999999999E-2</v>
      </c>
      <c r="L27" s="2">
        <f t="shared" si="1"/>
        <v>81.239833070783277</v>
      </c>
      <c r="M27" s="2">
        <f t="shared" si="2"/>
        <v>-1624.7966614156655</v>
      </c>
      <c r="N27" s="4" t="s">
        <v>107</v>
      </c>
      <c r="P27" s="60">
        <f t="shared" si="3"/>
        <v>-392.27074492336976</v>
      </c>
      <c r="Q27" s="60">
        <f t="shared" si="4"/>
        <v>780.96803510235679</v>
      </c>
      <c r="R27" s="58">
        <f t="shared" si="5"/>
        <v>2.6918877747556711</v>
      </c>
      <c r="S27" s="58">
        <f t="shared" si="6"/>
        <v>23.96444496808888</v>
      </c>
      <c r="T27" s="58">
        <f t="shared" si="7"/>
        <v>-0.33693812454965388</v>
      </c>
      <c r="U27" s="2">
        <f t="shared" si="8"/>
        <v>-2.0626899150978177</v>
      </c>
      <c r="V27" s="65">
        <f t="shared" si="9"/>
        <v>7845.4148984673957</v>
      </c>
      <c r="W27" s="65">
        <f t="shared" si="10"/>
        <v>-15619.360702047135</v>
      </c>
      <c r="X27" s="78">
        <f t="shared" si="11"/>
        <v>-53.83775549511342</v>
      </c>
      <c r="Y27" s="78">
        <f t="shared" si="12"/>
        <v>-479.28889936177762</v>
      </c>
      <c r="Z27" s="78">
        <f t="shared" si="13"/>
        <v>6.7387624909930777</v>
      </c>
      <c r="AA27" s="78">
        <f t="shared" si="14"/>
        <v>41.253798301956351</v>
      </c>
      <c r="AB27" s="78">
        <f t="shared" si="15"/>
        <v>-2268.7467392356748</v>
      </c>
      <c r="AC27" s="78">
        <f t="shared" si="16"/>
        <v>-951.92621228428038</v>
      </c>
      <c r="AD27" s="78">
        <f t="shared" si="17"/>
        <v>-432.80156866851144</v>
      </c>
      <c r="AE27" s="78">
        <f t="shared" si="18"/>
        <v>-163.25350689346578</v>
      </c>
      <c r="AF27" s="78">
        <f t="shared" si="19"/>
        <v>150.760789623763</v>
      </c>
      <c r="AG27" s="78">
        <f t="shared" si="20"/>
        <v>354.81352785208969</v>
      </c>
      <c r="AH27" s="78">
        <f t="shared" si="21"/>
        <v>641.30740988204252</v>
      </c>
      <c r="AI27" s="78">
        <f t="shared" si="22"/>
        <v>1049.0827014080951</v>
      </c>
      <c r="AJ27" s="78">
        <f t="shared" si="23"/>
        <v>534.6993502705061</v>
      </c>
      <c r="AK27" s="78">
        <f t="shared" si="24"/>
        <v>268.45026536531236</v>
      </c>
      <c r="AL27" s="78">
        <f t="shared" si="25"/>
        <v>107.57136612725958</v>
      </c>
      <c r="AM27" s="78">
        <f t="shared" si="26"/>
        <v>53.812778944453612</v>
      </c>
      <c r="AN27" s="78">
        <f t="shared" si="27"/>
        <v>-53.860751973987817</v>
      </c>
      <c r="AO27" s="78">
        <f t="shared" si="28"/>
        <v>-107.76378919792137</v>
      </c>
      <c r="AP27" s="78">
        <f t="shared" si="29"/>
        <v>-269.67647905553463</v>
      </c>
      <c r="AQ27" s="78">
        <f t="shared" si="30"/>
        <v>-539.96156361235649</v>
      </c>
      <c r="AR27" s="60">
        <f t="shared" si="31"/>
        <v>-2071.0154999182523</v>
      </c>
      <c r="AS27" s="60">
        <f t="shared" si="32"/>
        <v>-2188.2840552459666</v>
      </c>
      <c r="AT27" s="60">
        <f t="shared" si="33"/>
        <v>-2268.7467392356748</v>
      </c>
      <c r="AU27" s="60">
        <f t="shared" si="34"/>
        <v>-2350.7520638814058</v>
      </c>
      <c r="AV27" s="60">
        <f t="shared" si="35"/>
        <v>-2476.218458759894</v>
      </c>
      <c r="AW27" s="60">
        <f t="shared" si="36"/>
        <v>-2690.5718196706393</v>
      </c>
      <c r="AX27" s="60">
        <f t="shared" si="37"/>
        <v>-3132.6841537646305</v>
      </c>
      <c r="AY27" s="60">
        <f t="shared" si="38"/>
        <v>-694.07163240840532</v>
      </c>
      <c r="AZ27" s="60">
        <f t="shared" si="39"/>
        <v>-848.7029288995916</v>
      </c>
      <c r="BA27" s="60">
        <f t="shared" si="40"/>
        <v>-951.92621228428038</v>
      </c>
      <c r="BB27" s="60">
        <f t="shared" si="41"/>
        <v>-1055.2205542764898</v>
      </c>
      <c r="BC27" s="60">
        <f t="shared" si="42"/>
        <v>-1210.2383736628099</v>
      </c>
      <c r="BD27" s="60">
        <f t="shared" si="43"/>
        <v>-1468.6312235433604</v>
      </c>
      <c r="BE27" s="60">
        <f t="shared" si="44"/>
        <v>-1984.6654853104906</v>
      </c>
      <c r="BF27" s="60">
        <f t="shared" si="45"/>
        <v>-163.36344461996418</v>
      </c>
      <c r="BG27" s="60">
        <f t="shared" si="46"/>
        <v>-325.08675758660956</v>
      </c>
      <c r="BH27" s="60">
        <f t="shared" si="47"/>
        <v>-432.80156866851144</v>
      </c>
      <c r="BI27" s="60">
        <f t="shared" si="48"/>
        <v>-540.42925072688263</v>
      </c>
      <c r="BJ27" s="60">
        <f t="shared" si="49"/>
        <v>-701.69565472003114</v>
      </c>
      <c r="BK27" s="60">
        <f t="shared" si="50"/>
        <v>-969.96294984433007</v>
      </c>
      <c r="BL27" s="60">
        <f t="shared" si="51"/>
        <v>-1504.3071969212917</v>
      </c>
      <c r="BM27" s="60">
        <f t="shared" si="52"/>
        <v>268.45026536531236</v>
      </c>
      <c r="BN27" s="60">
        <f t="shared" si="53"/>
        <v>107.57136612725958</v>
      </c>
      <c r="BO27" s="60">
        <f t="shared" si="54"/>
        <v>0</v>
      </c>
      <c r="BP27" s="60">
        <f t="shared" si="55"/>
        <v>-107.76378919792137</v>
      </c>
      <c r="BQ27" s="60">
        <f t="shared" si="56"/>
        <v>-269.67647905553463</v>
      </c>
      <c r="BR27" s="60">
        <f t="shared" si="57"/>
        <v>-539.96156361235649</v>
      </c>
      <c r="BS27" s="60">
        <f t="shared" si="58"/>
        <v>-1080.7910566991836</v>
      </c>
      <c r="BT27" s="60">
        <f t="shared" si="59"/>
        <v>611.59004609936687</v>
      </c>
      <c r="BU27" s="60">
        <f t="shared" si="60"/>
        <v>458.27248910499407</v>
      </c>
      <c r="BV27" s="60">
        <f t="shared" si="61"/>
        <v>354.81352785208969</v>
      </c>
      <c r="BW27" s="60">
        <f t="shared" si="62"/>
        <v>250.53548793224991</v>
      </c>
      <c r="BX27" s="60">
        <f t="shared" si="63"/>
        <v>92.849760691726715</v>
      </c>
      <c r="BY27" s="60">
        <f t="shared" si="64"/>
        <v>-172.54897814591345</v>
      </c>
      <c r="BZ27" s="60">
        <f t="shared" si="65"/>
        <v>-709.3350864491515</v>
      </c>
      <c r="CA27" s="60">
        <f t="shared" si="66"/>
        <v>878.45073935376035</v>
      </c>
      <c r="CB27" s="60">
        <f t="shared" si="67"/>
        <v>737.63672400385644</v>
      </c>
      <c r="CC27" s="60">
        <f t="shared" si="68"/>
        <v>641.30740988204252</v>
      </c>
      <c r="CD27" s="60">
        <f t="shared" si="69"/>
        <v>543.32707942189472</v>
      </c>
      <c r="CE27" s="60">
        <f t="shared" si="70"/>
        <v>393.73465552159928</v>
      </c>
      <c r="CF27" s="60">
        <f t="shared" si="71"/>
        <v>138.84979015977137</v>
      </c>
      <c r="CG27" s="60">
        <f t="shared" si="72"/>
        <v>-385.0129217115682</v>
      </c>
      <c r="CH27" s="60">
        <f t="shared" si="73"/>
        <v>1234.5343009595319</v>
      </c>
      <c r="CI27" s="60">
        <f t="shared" si="74"/>
        <v>1126.1390666708837</v>
      </c>
      <c r="CJ27" s="60">
        <f t="shared" si="75"/>
        <v>1049.0827014080951</v>
      </c>
      <c r="CK27" s="60">
        <f t="shared" si="76"/>
        <v>968.66859471121927</v>
      </c>
      <c r="CL27" s="60">
        <f t="shared" si="77"/>
        <v>842.52464943016264</v>
      </c>
      <c r="CM27" s="60">
        <f t="shared" si="78"/>
        <v>620.02441419203365</v>
      </c>
      <c r="CN27" s="60">
        <f t="shared" si="79"/>
        <v>141.53292091176922</v>
      </c>
    </row>
    <row r="28" spans="1:92" x14ac:dyDescent="0.35">
      <c r="A28" s="3" t="s">
        <v>104</v>
      </c>
      <c r="B28" s="4">
        <f>VLOOKUP(A28,PriceData!$K$4:$L$6,2,FALSE)</f>
        <v>1100</v>
      </c>
      <c r="C28" s="46">
        <f>VLOOKUP(A28,PriceData!$K$4:$M$6,3,FALSE)</f>
        <v>0.02</v>
      </c>
      <c r="D28" s="4" t="s">
        <v>108</v>
      </c>
      <c r="E28" s="4" t="s">
        <v>106</v>
      </c>
      <c r="F28" s="4">
        <v>-20</v>
      </c>
      <c r="G28" s="4">
        <v>1034</v>
      </c>
      <c r="H28" s="4" t="s">
        <v>111</v>
      </c>
      <c r="I28" s="5">
        <v>40347</v>
      </c>
      <c r="J28" s="46">
        <f t="shared" si="0"/>
        <v>0.3956302003368482</v>
      </c>
      <c r="K28" s="30">
        <f>VLOOKUP(I28,PriceData!$A$5:$D$7,MATCH($E28,PriceData!$A$4:$D$4,0),FALSE)</f>
        <v>1.4999999999999999E-2</v>
      </c>
      <c r="L28" s="2">
        <f t="shared" si="1"/>
        <v>144.43228295286826</v>
      </c>
      <c r="M28" s="2">
        <f t="shared" si="2"/>
        <v>-2888.6456590573653</v>
      </c>
      <c r="N28" s="4" t="s">
        <v>113</v>
      </c>
      <c r="P28" s="60">
        <f t="shared" si="3"/>
        <v>698.18732002678712</v>
      </c>
      <c r="Q28" s="60">
        <f t="shared" si="4"/>
        <v>780.96803510235679</v>
      </c>
      <c r="R28" s="58">
        <f t="shared" si="5"/>
        <v>2.6918877747556711</v>
      </c>
      <c r="S28" s="58">
        <f t="shared" si="6"/>
        <v>23.96444496808888</v>
      </c>
      <c r="T28" s="58">
        <f t="shared" si="7"/>
        <v>-0.31940339284285374</v>
      </c>
      <c r="U28" s="2">
        <f t="shared" si="8"/>
        <v>2.4122479697192634</v>
      </c>
      <c r="V28" s="65">
        <f t="shared" si="9"/>
        <v>-13963.746400535743</v>
      </c>
      <c r="W28" s="65">
        <f t="shared" si="10"/>
        <v>-15619.360702047135</v>
      </c>
      <c r="X28" s="78">
        <f t="shared" si="11"/>
        <v>-53.83775549511342</v>
      </c>
      <c r="Y28" s="78">
        <f t="shared" si="12"/>
        <v>-479.28889936177762</v>
      </c>
      <c r="Z28" s="78">
        <f t="shared" si="13"/>
        <v>6.3880678568570746</v>
      </c>
      <c r="AA28" s="78">
        <f t="shared" si="14"/>
        <v>-48.244959394385269</v>
      </c>
      <c r="AB28" s="78">
        <f t="shared" si="15"/>
        <v>2093.0855205649541</v>
      </c>
      <c r="AC28" s="78">
        <f t="shared" si="16"/>
        <v>1228.9899176160327</v>
      </c>
      <c r="AD28" s="78">
        <f t="shared" si="17"/>
        <v>657.65649628164624</v>
      </c>
      <c r="AE28" s="78">
        <f t="shared" si="18"/>
        <v>272.92971908659638</v>
      </c>
      <c r="AF28" s="78">
        <f t="shared" si="19"/>
        <v>-285.4224363563003</v>
      </c>
      <c r="AG28" s="78">
        <f t="shared" si="20"/>
        <v>-735.64453709806685</v>
      </c>
      <c r="AH28" s="78">
        <f t="shared" si="21"/>
        <v>-1539.6087200182751</v>
      </c>
      <c r="AI28" s="78">
        <f t="shared" si="22"/>
        <v>-3312.7495583925315</v>
      </c>
      <c r="AJ28" s="78">
        <f t="shared" si="23"/>
        <v>534.69935027050724</v>
      </c>
      <c r="AK28" s="78">
        <f t="shared" si="24"/>
        <v>268.4502653653135</v>
      </c>
      <c r="AL28" s="78">
        <f t="shared" si="25"/>
        <v>107.57136612726072</v>
      </c>
      <c r="AM28" s="78">
        <f t="shared" si="26"/>
        <v>53.812778944457023</v>
      </c>
      <c r="AN28" s="78">
        <f t="shared" si="27"/>
        <v>-53.860751973984407</v>
      </c>
      <c r="AO28" s="78">
        <f t="shared" si="28"/>
        <v>-107.76378919792251</v>
      </c>
      <c r="AP28" s="78">
        <f t="shared" si="29"/>
        <v>-269.67647905553349</v>
      </c>
      <c r="AQ28" s="78">
        <f t="shared" si="30"/>
        <v>-539.96156361235535</v>
      </c>
      <c r="AR28" s="60">
        <f t="shared" si="31"/>
        <v>2290.8167598823766</v>
      </c>
      <c r="AS28" s="60">
        <f t="shared" si="32"/>
        <v>2173.5482045546628</v>
      </c>
      <c r="AT28" s="60">
        <f t="shared" si="33"/>
        <v>2093.0855205649541</v>
      </c>
      <c r="AU28" s="60">
        <f t="shared" si="34"/>
        <v>2011.0801959192218</v>
      </c>
      <c r="AV28" s="60">
        <f t="shared" si="35"/>
        <v>1885.6138010407353</v>
      </c>
      <c r="AW28" s="60">
        <f t="shared" si="36"/>
        <v>1671.2604401299893</v>
      </c>
      <c r="AX28" s="60">
        <f t="shared" si="37"/>
        <v>1229.1481060359979</v>
      </c>
      <c r="AY28" s="60">
        <f t="shared" si="38"/>
        <v>1486.8444974919078</v>
      </c>
      <c r="AZ28" s="60">
        <f t="shared" si="39"/>
        <v>1332.2132010007226</v>
      </c>
      <c r="BA28" s="60">
        <f t="shared" si="40"/>
        <v>1228.9899176160327</v>
      </c>
      <c r="BB28" s="60">
        <f t="shared" si="41"/>
        <v>1125.6955756238267</v>
      </c>
      <c r="BC28" s="60">
        <f t="shared" si="42"/>
        <v>970.67775623750435</v>
      </c>
      <c r="BD28" s="60">
        <f t="shared" si="43"/>
        <v>712.28490635695266</v>
      </c>
      <c r="BE28" s="60">
        <f t="shared" si="44"/>
        <v>196.25064458982592</v>
      </c>
      <c r="BF28" s="60">
        <f t="shared" si="45"/>
        <v>927.09462033019008</v>
      </c>
      <c r="BG28" s="60">
        <f t="shared" si="46"/>
        <v>765.37130736354925</v>
      </c>
      <c r="BH28" s="60">
        <f t="shared" si="47"/>
        <v>657.65649628164624</v>
      </c>
      <c r="BI28" s="60">
        <f t="shared" si="48"/>
        <v>550.02881422327619</v>
      </c>
      <c r="BJ28" s="60">
        <f t="shared" si="49"/>
        <v>388.76241023012994</v>
      </c>
      <c r="BK28" s="60">
        <f t="shared" si="50"/>
        <v>120.49511510582875</v>
      </c>
      <c r="BL28" s="60">
        <f t="shared" si="51"/>
        <v>-413.84913197112951</v>
      </c>
      <c r="BM28" s="60">
        <f t="shared" si="52"/>
        <v>268.4502653653135</v>
      </c>
      <c r="BN28" s="60">
        <f t="shared" si="53"/>
        <v>107.57136612726072</v>
      </c>
      <c r="BO28" s="60">
        <f t="shared" si="54"/>
        <v>0</v>
      </c>
      <c r="BP28" s="60">
        <f t="shared" si="55"/>
        <v>-107.76378919792251</v>
      </c>
      <c r="BQ28" s="60">
        <f t="shared" si="56"/>
        <v>-269.67647905553349</v>
      </c>
      <c r="BR28" s="60">
        <f t="shared" si="57"/>
        <v>-539.96156361235535</v>
      </c>
      <c r="BS28" s="60">
        <f t="shared" si="58"/>
        <v>-1080.7910566991825</v>
      </c>
      <c r="BT28" s="60">
        <f t="shared" si="59"/>
        <v>-478.86801885078967</v>
      </c>
      <c r="BU28" s="60">
        <f t="shared" si="60"/>
        <v>-632.18557584516248</v>
      </c>
      <c r="BV28" s="60">
        <f t="shared" si="61"/>
        <v>-735.64453709806685</v>
      </c>
      <c r="BW28" s="60">
        <f t="shared" si="62"/>
        <v>-839.92257701790322</v>
      </c>
      <c r="BX28" s="60">
        <f t="shared" si="63"/>
        <v>-997.60830425843096</v>
      </c>
      <c r="BY28" s="60">
        <f t="shared" si="64"/>
        <v>-1263.00704309607</v>
      </c>
      <c r="BZ28" s="60">
        <f t="shared" si="65"/>
        <v>-1799.793151399308</v>
      </c>
      <c r="CA28" s="60">
        <f t="shared" si="66"/>
        <v>-1302.4653905465539</v>
      </c>
      <c r="CB28" s="60">
        <f t="shared" si="67"/>
        <v>-1443.2794058964555</v>
      </c>
      <c r="CC28" s="60">
        <f t="shared" si="68"/>
        <v>-1539.6087200182751</v>
      </c>
      <c r="CD28" s="60">
        <f t="shared" si="69"/>
        <v>-1637.5890504784184</v>
      </c>
      <c r="CE28" s="60">
        <f t="shared" si="70"/>
        <v>-1787.1814743787149</v>
      </c>
      <c r="CF28" s="60">
        <f t="shared" si="71"/>
        <v>-2042.0663397405406</v>
      </c>
      <c r="CG28" s="60">
        <f t="shared" si="72"/>
        <v>-2565.929051611879</v>
      </c>
      <c r="CH28" s="60">
        <f t="shared" si="73"/>
        <v>-3127.2979588410908</v>
      </c>
      <c r="CI28" s="60">
        <f t="shared" si="74"/>
        <v>-3235.6931931297436</v>
      </c>
      <c r="CJ28" s="60">
        <f t="shared" si="75"/>
        <v>-3312.7495583925315</v>
      </c>
      <c r="CK28" s="60">
        <f t="shared" si="76"/>
        <v>-3393.1636650894075</v>
      </c>
      <c r="CL28" s="60">
        <f t="shared" si="77"/>
        <v>-3519.3076103704607</v>
      </c>
      <c r="CM28" s="60">
        <f t="shared" si="78"/>
        <v>-3741.8078456085914</v>
      </c>
      <c r="CN28" s="60">
        <f t="shared" si="79"/>
        <v>-4220.2993388888553</v>
      </c>
    </row>
    <row r="29" spans="1:92" x14ac:dyDescent="0.35">
      <c r="A29" s="3" t="s">
        <v>104</v>
      </c>
      <c r="B29" s="4">
        <f>VLOOKUP(A29,PriceData!$K$4:$L$6,2,FALSE)</f>
        <v>1100</v>
      </c>
      <c r="C29" s="46">
        <f>VLOOKUP(A29,PriceData!$K$4:$M$6,3,FALSE)</f>
        <v>0.02</v>
      </c>
      <c r="D29" s="4" t="s">
        <v>108</v>
      </c>
      <c r="E29" s="4" t="s">
        <v>106</v>
      </c>
      <c r="F29" s="4">
        <v>-50</v>
      </c>
      <c r="G29" s="4">
        <v>1100</v>
      </c>
      <c r="H29" s="4" t="s">
        <v>109</v>
      </c>
      <c r="I29" s="5">
        <v>40438</v>
      </c>
      <c r="J29" s="46">
        <f t="shared" si="0"/>
        <v>0.32918394622393538</v>
      </c>
      <c r="K29" s="30">
        <f>VLOOKUP(I29,PriceData!$A$5:$D$7,MATCH($E29,PriceData!$A$4:$D$4,0),FALSE)</f>
        <v>1.7500000000000002E-2</v>
      </c>
      <c r="L29" s="2">
        <f t="shared" si="1"/>
        <v>118.59680567678924</v>
      </c>
      <c r="M29" s="2">
        <f t="shared" si="2"/>
        <v>-5929.8402838394622</v>
      </c>
      <c r="N29" s="4" t="s">
        <v>107</v>
      </c>
      <c r="P29" s="60">
        <f t="shared" si="3"/>
        <v>-486.43182499065125</v>
      </c>
      <c r="Q29" s="60">
        <f t="shared" si="4"/>
        <v>787.76257807430693</v>
      </c>
      <c r="R29" s="58">
        <f t="shared" si="5"/>
        <v>3.5523122484663197</v>
      </c>
      <c r="S29" s="58">
        <f t="shared" si="6"/>
        <v>-19.980728286368912</v>
      </c>
      <c r="T29" s="58">
        <f t="shared" si="7"/>
        <v>-0.23151840944527557</v>
      </c>
      <c r="U29" s="2">
        <f t="shared" si="8"/>
        <v>-4.1440317169002752</v>
      </c>
      <c r="V29" s="65">
        <f t="shared" si="9"/>
        <v>24321.591249532561</v>
      </c>
      <c r="W29" s="65">
        <f t="shared" si="10"/>
        <v>-39388.128903715347</v>
      </c>
      <c r="X29" s="78">
        <f t="shared" si="11"/>
        <v>-177.61561242331598</v>
      </c>
      <c r="Y29" s="78">
        <f t="shared" si="12"/>
        <v>999.03641431844562</v>
      </c>
      <c r="Z29" s="78">
        <f t="shared" si="13"/>
        <v>11.575920472263778</v>
      </c>
      <c r="AA29" s="78">
        <f t="shared" si="14"/>
        <v>207.20158584501377</v>
      </c>
      <c r="AB29" s="78">
        <f t="shared" si="15"/>
        <v>-6525.7043175777599</v>
      </c>
      <c r="AC29" s="78">
        <f t="shared" si="16"/>
        <v>-2841.635806580166</v>
      </c>
      <c r="AD29" s="78">
        <f t="shared" si="17"/>
        <v>-1316.7544207529374</v>
      </c>
      <c r="AE29" s="78">
        <f t="shared" si="18"/>
        <v>-502.33686711316921</v>
      </c>
      <c r="AF29" s="78">
        <f t="shared" si="19"/>
        <v>470.83667441358728</v>
      </c>
      <c r="AG29" s="78">
        <f t="shared" si="20"/>
        <v>1120.2167528955897</v>
      </c>
      <c r="AH29" s="78">
        <f t="shared" si="21"/>
        <v>2060.3323644505335</v>
      </c>
      <c r="AI29" s="78">
        <f t="shared" si="22"/>
        <v>3478.4057984120354</v>
      </c>
      <c r="AJ29" s="78">
        <f t="shared" si="23"/>
        <v>1780.6471107973352</v>
      </c>
      <c r="AK29" s="78">
        <f t="shared" si="24"/>
        <v>889.26405955456005</v>
      </c>
      <c r="AL29" s="78">
        <f t="shared" si="25"/>
        <v>355.42702094321612</v>
      </c>
      <c r="AM29" s="78">
        <f t="shared" si="26"/>
        <v>177.66506316395407</v>
      </c>
      <c r="AN29" s="78">
        <f t="shared" si="27"/>
        <v>-177.56516014717363</v>
      </c>
      <c r="AO29" s="78">
        <f t="shared" si="28"/>
        <v>-355.02741638073019</v>
      </c>
      <c r="AP29" s="78">
        <f t="shared" si="29"/>
        <v>-886.76686172520078</v>
      </c>
      <c r="AQ29" s="78">
        <f t="shared" si="30"/>
        <v>-1770.6631919971983</v>
      </c>
      <c r="AR29" s="60">
        <f t="shared" si="31"/>
        <v>-5993.0147820984475</v>
      </c>
      <c r="AS29" s="60">
        <f t="shared" si="32"/>
        <v>-6304.4724967228603</v>
      </c>
      <c r="AT29" s="60">
        <f t="shared" si="33"/>
        <v>-6525.7043175777599</v>
      </c>
      <c r="AU29" s="60">
        <f t="shared" si="34"/>
        <v>-6756.0541949452954</v>
      </c>
      <c r="AV29" s="60">
        <f t="shared" si="35"/>
        <v>-7115.98829482171</v>
      </c>
      <c r="AW29" s="60">
        <f t="shared" si="36"/>
        <v>-7746.2273838941546</v>
      </c>
      <c r="AX29" s="60">
        <f t="shared" si="37"/>
        <v>-9082.7702365045643</v>
      </c>
      <c r="AY29" s="60">
        <f t="shared" si="38"/>
        <v>-2071.3950487777538</v>
      </c>
      <c r="AZ29" s="60">
        <f t="shared" si="39"/>
        <v>-2531.0578227322421</v>
      </c>
      <c r="BA29" s="60">
        <f t="shared" si="40"/>
        <v>-2841.635806580166</v>
      </c>
      <c r="BB29" s="60">
        <f t="shared" si="41"/>
        <v>-3154.7994968783487</v>
      </c>
      <c r="BC29" s="60">
        <f t="shared" si="42"/>
        <v>-3628.3618772840728</v>
      </c>
      <c r="BD29" s="60">
        <f t="shared" si="43"/>
        <v>-4424.8794103859436</v>
      </c>
      <c r="BE29" s="60">
        <f t="shared" si="44"/>
        <v>-6032.0753846426323</v>
      </c>
      <c r="BF29" s="60">
        <f t="shared" si="45"/>
        <v>-469.11576080572672</v>
      </c>
      <c r="BG29" s="60">
        <f t="shared" si="46"/>
        <v>-977.23108310309499</v>
      </c>
      <c r="BH29" s="60">
        <f t="shared" si="47"/>
        <v>-1316.7544207529374</v>
      </c>
      <c r="BI29" s="60">
        <f t="shared" si="48"/>
        <v>-1656.6789859717233</v>
      </c>
      <c r="BJ29" s="60">
        <f t="shared" si="49"/>
        <v>-2166.9962410828757</v>
      </c>
      <c r="BK29" s="60">
        <f t="shared" si="50"/>
        <v>-3017.7330544505962</v>
      </c>
      <c r="BL29" s="60">
        <f t="shared" si="51"/>
        <v>-4715.5479993358031</v>
      </c>
      <c r="BM29" s="60">
        <f t="shared" si="52"/>
        <v>889.26405955456005</v>
      </c>
      <c r="BN29" s="60">
        <f t="shared" si="53"/>
        <v>355.42702094321612</v>
      </c>
      <c r="BO29" s="60">
        <f t="shared" si="54"/>
        <v>0</v>
      </c>
      <c r="BP29" s="60">
        <f t="shared" si="55"/>
        <v>-355.02741638073019</v>
      </c>
      <c r="BQ29" s="60">
        <f t="shared" si="56"/>
        <v>-886.76686172520078</v>
      </c>
      <c r="BR29" s="60">
        <f t="shared" si="57"/>
        <v>-1770.6631919971983</v>
      </c>
      <c r="BS29" s="60">
        <f t="shared" si="58"/>
        <v>-3528.3733177953509</v>
      </c>
      <c r="BT29" s="60">
        <f t="shared" si="59"/>
        <v>2015.5608589327926</v>
      </c>
      <c r="BU29" s="60">
        <f t="shared" si="60"/>
        <v>1478.6848210213066</v>
      </c>
      <c r="BV29" s="60">
        <f t="shared" si="61"/>
        <v>1120.2167528955897</v>
      </c>
      <c r="BW29" s="60">
        <f t="shared" si="62"/>
        <v>761.49995873588239</v>
      </c>
      <c r="BX29" s="60">
        <f t="shared" si="63"/>
        <v>223.23805078180783</v>
      </c>
      <c r="BY29" s="60">
        <f t="shared" si="64"/>
        <v>-673.53769040436475</v>
      </c>
      <c r="BZ29" s="60">
        <f t="shared" si="65"/>
        <v>-2461.8834647303402</v>
      </c>
      <c r="CA29" s="60">
        <f t="shared" si="66"/>
        <v>2930.340879952726</v>
      </c>
      <c r="CB29" s="60">
        <f t="shared" si="67"/>
        <v>2410.4129266843102</v>
      </c>
      <c r="CC29" s="60">
        <f t="shared" si="68"/>
        <v>2060.3323644505335</v>
      </c>
      <c r="CD29" s="60">
        <f t="shared" si="69"/>
        <v>1708.120407824319</v>
      </c>
      <c r="CE29" s="60">
        <f t="shared" si="70"/>
        <v>1176.7146337358013</v>
      </c>
      <c r="CF29" s="60">
        <f t="shared" si="71"/>
        <v>285.38705589175493</v>
      </c>
      <c r="CG29" s="60">
        <f t="shared" si="72"/>
        <v>-1506.9421789187941</v>
      </c>
      <c r="CH29" s="60">
        <f t="shared" si="73"/>
        <v>4230.4236314924738</v>
      </c>
      <c r="CI29" s="60">
        <f t="shared" si="74"/>
        <v>3786.5512589588634</v>
      </c>
      <c r="CJ29" s="60">
        <f t="shared" si="75"/>
        <v>3478.4057984120354</v>
      </c>
      <c r="CK29" s="60">
        <f t="shared" si="76"/>
        <v>3162.2500172421383</v>
      </c>
      <c r="CL29" s="60">
        <f t="shared" si="77"/>
        <v>2675.6134866857933</v>
      </c>
      <c r="CM29" s="60">
        <f t="shared" si="78"/>
        <v>1839.1054120204331</v>
      </c>
      <c r="CN29" s="60">
        <f t="shared" si="79"/>
        <v>105.182157490745</v>
      </c>
    </row>
    <row r="30" spans="1:92" x14ac:dyDescent="0.35">
      <c r="A30" s="3" t="s">
        <v>104</v>
      </c>
      <c r="B30" s="4">
        <f>VLOOKUP(A30,PriceData!$K$4:$L$6,2,FALSE)</f>
        <v>1100</v>
      </c>
      <c r="C30" s="46">
        <f>VLOOKUP(A30,PriceData!$K$4:$M$6,3,FALSE)</f>
        <v>0.02</v>
      </c>
      <c r="D30" s="4" t="s">
        <v>108</v>
      </c>
      <c r="E30" s="4" t="s">
        <v>106</v>
      </c>
      <c r="F30" s="4">
        <v>-50</v>
      </c>
      <c r="G30" s="4">
        <v>1232</v>
      </c>
      <c r="H30" s="4" t="s">
        <v>111</v>
      </c>
      <c r="I30" s="5">
        <v>40438</v>
      </c>
      <c r="J30" s="46">
        <f t="shared" si="0"/>
        <v>0.29936102282234395</v>
      </c>
      <c r="K30" s="30">
        <f>VLOOKUP(I30,PriceData!$A$5:$D$7,MATCH($E30,PriceData!$A$4:$D$4,0),FALSE)</f>
        <v>1.7500000000000002E-2</v>
      </c>
      <c r="L30" s="2">
        <f t="shared" si="1"/>
        <v>59.289572408836989</v>
      </c>
      <c r="M30" s="2">
        <f t="shared" si="2"/>
        <v>-2964.4786204418497</v>
      </c>
      <c r="N30" s="4" t="s">
        <v>112</v>
      </c>
      <c r="P30" s="60">
        <f t="shared" si="3"/>
        <v>397.94134081509833</v>
      </c>
      <c r="Q30" s="60">
        <f t="shared" si="4"/>
        <v>824.39306315836268</v>
      </c>
      <c r="R30" s="58">
        <f t="shared" si="5"/>
        <v>3.3807006930785297</v>
      </c>
      <c r="S30" s="58">
        <f t="shared" si="6"/>
        <v>226.15930520422793</v>
      </c>
      <c r="T30" s="58">
        <f t="shared" si="7"/>
        <v>-0.1968417271132874</v>
      </c>
      <c r="U30" s="2">
        <f t="shared" si="8"/>
        <v>2.3195326603168582</v>
      </c>
      <c r="V30" s="65">
        <f t="shared" si="9"/>
        <v>-19897.067040754915</v>
      </c>
      <c r="W30" s="65">
        <f t="shared" si="10"/>
        <v>-41219.653157918132</v>
      </c>
      <c r="X30" s="78">
        <f t="shared" si="11"/>
        <v>-169.03503465392649</v>
      </c>
      <c r="Y30" s="78">
        <f t="shared" si="12"/>
        <v>-11307.965260211397</v>
      </c>
      <c r="Z30" s="78">
        <f t="shared" si="13"/>
        <v>9.842086355664371</v>
      </c>
      <c r="AA30" s="78">
        <f t="shared" si="14"/>
        <v>-115.97663301584291</v>
      </c>
      <c r="AB30" s="78">
        <f t="shared" si="15"/>
        <v>2463.090691505085</v>
      </c>
      <c r="AC30" s="78">
        <f t="shared" si="16"/>
        <v>1588.4498398637816</v>
      </c>
      <c r="AD30" s="78">
        <f t="shared" si="17"/>
        <v>892.80697654870949</v>
      </c>
      <c r="AE30" s="78">
        <f t="shared" si="18"/>
        <v>381.50375604068643</v>
      </c>
      <c r="AF30" s="78">
        <f t="shared" si="19"/>
        <v>-414.46132408125891</v>
      </c>
      <c r="AG30" s="78">
        <f t="shared" si="20"/>
        <v>-1098.1982199473634</v>
      </c>
      <c r="AH30" s="78">
        <f t="shared" si="21"/>
        <v>-2401.6520789648439</v>
      </c>
      <c r="AI30" s="78">
        <f t="shared" si="22"/>
        <v>-5589.2226157340074</v>
      </c>
      <c r="AJ30" s="78">
        <f t="shared" si="23"/>
        <v>1606.119245635236</v>
      </c>
      <c r="AK30" s="78">
        <f t="shared" si="24"/>
        <v>828.17318739766961</v>
      </c>
      <c r="AL30" s="78">
        <f t="shared" si="25"/>
        <v>335.64222249501086</v>
      </c>
      <c r="AM30" s="78">
        <f t="shared" si="26"/>
        <v>168.44948627618805</v>
      </c>
      <c r="AN30" s="78">
        <f t="shared" si="27"/>
        <v>-169.58143760607527</v>
      </c>
      <c r="AO30" s="78">
        <f t="shared" si="28"/>
        <v>-340.18393234360644</v>
      </c>
      <c r="AP30" s="78">
        <f t="shared" si="29"/>
        <v>-857.17972353922391</v>
      </c>
      <c r="AQ30" s="78">
        <f t="shared" si="30"/>
        <v>-1731.7822372159044</v>
      </c>
      <c r="AR30" s="60">
        <f t="shared" si="31"/>
        <v>2740.4751109712124</v>
      </c>
      <c r="AS30" s="60">
        <f t="shared" si="32"/>
        <v>2587.3599331175642</v>
      </c>
      <c r="AT30" s="60">
        <f t="shared" si="33"/>
        <v>2463.090691505085</v>
      </c>
      <c r="AU30" s="60">
        <f t="shared" si="34"/>
        <v>2322.4506068054502</v>
      </c>
      <c r="AV30" s="60">
        <f t="shared" si="35"/>
        <v>2083.6852214329724</v>
      </c>
      <c r="AW30" s="60">
        <f t="shared" si="36"/>
        <v>1622.3802609041811</v>
      </c>
      <c r="AX30" s="60">
        <f t="shared" si="37"/>
        <v>523.62868400505386</v>
      </c>
      <c r="AY30" s="60">
        <f t="shared" si="38"/>
        <v>2145.1698007475939</v>
      </c>
      <c r="AZ30" s="60">
        <f t="shared" si="39"/>
        <v>1822.3730131575608</v>
      </c>
      <c r="BA30" s="60">
        <f t="shared" si="40"/>
        <v>1588.4498398637816</v>
      </c>
      <c r="BB30" s="60">
        <f t="shared" si="41"/>
        <v>1342.0316870580778</v>
      </c>
      <c r="BC30" s="60">
        <f t="shared" si="42"/>
        <v>952.77677665582564</v>
      </c>
      <c r="BD30" s="60">
        <f t="shared" si="43"/>
        <v>263.02162962914082</v>
      </c>
      <c r="BE30" s="60">
        <f t="shared" si="44"/>
        <v>-1218.0600347484074</v>
      </c>
      <c r="BF30" s="60">
        <f t="shared" si="45"/>
        <v>1593.9707376452729</v>
      </c>
      <c r="BG30" s="60">
        <f t="shared" si="46"/>
        <v>1181.2367307667273</v>
      </c>
      <c r="BH30" s="60">
        <f t="shared" si="47"/>
        <v>892.80697654870949</v>
      </c>
      <c r="BI30" s="60">
        <f t="shared" si="48"/>
        <v>595.82845339253652</v>
      </c>
      <c r="BJ30" s="60">
        <f t="shared" si="49"/>
        <v>137.31531391544252</v>
      </c>
      <c r="BK30" s="60">
        <f t="shared" si="50"/>
        <v>-653.17340888480544</v>
      </c>
      <c r="BL30" s="60">
        <f t="shared" si="51"/>
        <v>-2295.625648707542</v>
      </c>
      <c r="BM30" s="60">
        <f t="shared" si="52"/>
        <v>828.17318739766961</v>
      </c>
      <c r="BN30" s="60">
        <f t="shared" si="53"/>
        <v>335.64222249501086</v>
      </c>
      <c r="BO30" s="60">
        <f t="shared" si="54"/>
        <v>0</v>
      </c>
      <c r="BP30" s="60">
        <f t="shared" si="55"/>
        <v>-340.18393234360644</v>
      </c>
      <c r="BQ30" s="60">
        <f t="shared" si="56"/>
        <v>-857.17972353922391</v>
      </c>
      <c r="BR30" s="60">
        <f t="shared" si="57"/>
        <v>-1731.7822372159044</v>
      </c>
      <c r="BS30" s="60">
        <f t="shared" si="58"/>
        <v>-3508.2324480051484</v>
      </c>
      <c r="BT30" s="60">
        <f t="shared" si="59"/>
        <v>-172.97120945499671</v>
      </c>
      <c r="BU30" s="60">
        <f t="shared" si="60"/>
        <v>-726.66359322377048</v>
      </c>
      <c r="BV30" s="60">
        <f t="shared" si="61"/>
        <v>-1098.1982199473634</v>
      </c>
      <c r="BW30" s="60">
        <f t="shared" si="62"/>
        <v>-1471.1373527194696</v>
      </c>
      <c r="BX30" s="60">
        <f t="shared" si="63"/>
        <v>-2032.459780431418</v>
      </c>
      <c r="BY30" s="60">
        <f t="shared" si="64"/>
        <v>-2971.1027218431468</v>
      </c>
      <c r="BZ30" s="60">
        <f t="shared" si="65"/>
        <v>-4851.3103520385839</v>
      </c>
      <c r="CA30" s="60">
        <f t="shared" si="66"/>
        <v>-1416.8833134314184</v>
      </c>
      <c r="CB30" s="60">
        <f t="shared" si="67"/>
        <v>-2007.8627945143921</v>
      </c>
      <c r="CC30" s="60">
        <f t="shared" si="68"/>
        <v>-2401.6520789648439</v>
      </c>
      <c r="CD30" s="60">
        <f t="shared" si="69"/>
        <v>-2795.2053288599072</v>
      </c>
      <c r="CE30" s="60">
        <f t="shared" si="70"/>
        <v>-3384.9711676287939</v>
      </c>
      <c r="CF30" s="60">
        <f t="shared" si="71"/>
        <v>-4366.0208766593769</v>
      </c>
      <c r="CG30" s="60">
        <f t="shared" si="72"/>
        <v>-6318.8630800569972</v>
      </c>
      <c r="CH30" s="60">
        <f t="shared" si="73"/>
        <v>-4601.4418382700915</v>
      </c>
      <c r="CI30" s="60">
        <f t="shared" si="74"/>
        <v>-5192.5117859326401</v>
      </c>
      <c r="CJ30" s="60">
        <f t="shared" si="75"/>
        <v>-5589.2226157340074</v>
      </c>
      <c r="CK30" s="60">
        <f t="shared" si="76"/>
        <v>-5987.4929810920603</v>
      </c>
      <c r="CL30" s="60">
        <f t="shared" si="77"/>
        <v>-6587.0323277851412</v>
      </c>
      <c r="CM30" s="60">
        <f t="shared" si="78"/>
        <v>-7589.7622607425201</v>
      </c>
      <c r="CN30" s="60">
        <f t="shared" si="79"/>
        <v>-9598.7773458289212</v>
      </c>
    </row>
    <row r="31" spans="1:92" x14ac:dyDescent="0.35">
      <c r="A31" s="3" t="s">
        <v>104</v>
      </c>
      <c r="B31" s="4">
        <f>VLOOKUP(A31,PriceData!$K$4:$L$6,2,FALSE)</f>
        <v>1100</v>
      </c>
      <c r="C31" s="46">
        <f>VLOOKUP(A31,PriceData!$K$4:$M$6,3,FALSE)</f>
        <v>0.02</v>
      </c>
      <c r="D31" s="4" t="s">
        <v>108</v>
      </c>
      <c r="E31" s="4" t="s">
        <v>106</v>
      </c>
      <c r="F31" s="4">
        <v>-20</v>
      </c>
      <c r="G31" s="4">
        <v>1001</v>
      </c>
      <c r="H31" s="4" t="s">
        <v>109</v>
      </c>
      <c r="I31" s="5">
        <v>40438</v>
      </c>
      <c r="J31" s="46">
        <f t="shared" si="0"/>
        <v>0.39076411312591419</v>
      </c>
      <c r="K31" s="30">
        <f>VLOOKUP(I31,PriceData!$A$5:$D$7,MATCH($E31,PriceData!$A$4:$D$4,0),FALSE)</f>
        <v>1.7500000000000002E-2</v>
      </c>
      <c r="L31" s="2">
        <f t="shared" si="1"/>
        <v>90.608697206694444</v>
      </c>
      <c r="M31" s="2">
        <f t="shared" si="2"/>
        <v>-1812.1739441338889</v>
      </c>
      <c r="N31" s="4" t="s">
        <v>107</v>
      </c>
      <c r="P31" s="60">
        <f t="shared" si="3"/>
        <v>-354.8782990306853</v>
      </c>
      <c r="Q31" s="60">
        <f t="shared" si="4"/>
        <v>605.33736177943922</v>
      </c>
      <c r="R31" s="58">
        <f t="shared" si="5"/>
        <v>3.2403303742153859</v>
      </c>
      <c r="S31" s="58">
        <f t="shared" si="6"/>
        <v>46.302084905898745</v>
      </c>
      <c r="T31" s="58">
        <f t="shared" si="7"/>
        <v>-0.25132738565827906</v>
      </c>
      <c r="U31" s="2">
        <f t="shared" si="8"/>
        <v>-3.051280796146437</v>
      </c>
      <c r="V31" s="65">
        <f t="shared" si="9"/>
        <v>7097.5659806137064</v>
      </c>
      <c r="W31" s="65">
        <f t="shared" si="10"/>
        <v>-12106.747235588784</v>
      </c>
      <c r="X31" s="78">
        <f t="shared" si="11"/>
        <v>-64.806607484307719</v>
      </c>
      <c r="Y31" s="78">
        <f t="shared" si="12"/>
        <v>-926.04169811797487</v>
      </c>
      <c r="Z31" s="78">
        <f t="shared" si="13"/>
        <v>5.0265477131655807</v>
      </c>
      <c r="AA31" s="78">
        <f t="shared" si="14"/>
        <v>61.025615922928736</v>
      </c>
      <c r="AB31" s="78">
        <f t="shared" si="15"/>
        <v>-1973.6309371659684</v>
      </c>
      <c r="AC31" s="78">
        <f t="shared" si="16"/>
        <v>-840.16339896624004</v>
      </c>
      <c r="AD31" s="78">
        <f t="shared" si="17"/>
        <v>-386.33500472885771</v>
      </c>
      <c r="AE31" s="78">
        <f t="shared" si="18"/>
        <v>-146.87074896051286</v>
      </c>
      <c r="AF31" s="78">
        <f t="shared" si="19"/>
        <v>137.18583256479178</v>
      </c>
      <c r="AG31" s="78">
        <f t="shared" si="20"/>
        <v>325.82040490949453</v>
      </c>
      <c r="AH31" s="78">
        <f t="shared" si="21"/>
        <v>598.35341452289867</v>
      </c>
      <c r="AI31" s="78">
        <f t="shared" si="22"/>
        <v>1011.4435157894928</v>
      </c>
      <c r="AJ31" s="78">
        <f t="shared" si="23"/>
        <v>640.97149354270869</v>
      </c>
      <c r="AK31" s="78">
        <f t="shared" si="24"/>
        <v>322.60741817639428</v>
      </c>
      <c r="AL31" s="78">
        <f t="shared" si="25"/>
        <v>129.41207096405492</v>
      </c>
      <c r="AM31" s="78">
        <f t="shared" si="26"/>
        <v>64.758359209421315</v>
      </c>
      <c r="AN31" s="78">
        <f t="shared" si="27"/>
        <v>-64.851048364217831</v>
      </c>
      <c r="AO31" s="78">
        <f t="shared" si="28"/>
        <v>-129.78384983375577</v>
      </c>
      <c r="AP31" s="78">
        <f t="shared" si="29"/>
        <v>-324.97640691410538</v>
      </c>
      <c r="AQ31" s="78">
        <f t="shared" si="30"/>
        <v>-651.13481636467668</v>
      </c>
      <c r="AR31" s="60">
        <f t="shared" si="31"/>
        <v>-1698.1659660663547</v>
      </c>
      <c r="AS31" s="60">
        <f t="shared" si="32"/>
        <v>-1862.7156147325206</v>
      </c>
      <c r="AT31" s="60">
        <f t="shared" si="33"/>
        <v>-1973.6309371659684</v>
      </c>
      <c r="AU31" s="60">
        <f t="shared" si="34"/>
        <v>-2085.327934261154</v>
      </c>
      <c r="AV31" s="60">
        <f t="shared" si="35"/>
        <v>-2254.0537804363894</v>
      </c>
      <c r="AW31" s="60">
        <f t="shared" si="36"/>
        <v>-2537.561106176423</v>
      </c>
      <c r="AX31" s="60">
        <f t="shared" si="37"/>
        <v>-3109.1788499661234</v>
      </c>
      <c r="AY31" s="60">
        <f t="shared" si="38"/>
        <v>-519.66855215170085</v>
      </c>
      <c r="AZ31" s="60">
        <f t="shared" si="39"/>
        <v>-712.07717207085352</v>
      </c>
      <c r="BA31" s="60">
        <f t="shared" si="40"/>
        <v>-840.16339896624004</v>
      </c>
      <c r="BB31" s="60">
        <f t="shared" si="41"/>
        <v>-968.08855502964775</v>
      </c>
      <c r="BC31" s="60">
        <f t="shared" si="42"/>
        <v>-1159.6525531626696</v>
      </c>
      <c r="BD31" s="60">
        <f t="shared" si="43"/>
        <v>-1477.9831540404314</v>
      </c>
      <c r="BE31" s="60">
        <f t="shared" si="44"/>
        <v>-2110.5990150917523</v>
      </c>
      <c r="BF31" s="60">
        <f t="shared" si="45"/>
        <v>-59.831995769734476</v>
      </c>
      <c r="BG31" s="60">
        <f t="shared" si="46"/>
        <v>-255.75821427091796</v>
      </c>
      <c r="BH31" s="60">
        <f t="shared" si="47"/>
        <v>-386.33500472885771</v>
      </c>
      <c r="BI31" s="60">
        <f t="shared" si="48"/>
        <v>-516.84637806009505</v>
      </c>
      <c r="BJ31" s="60">
        <f t="shared" si="49"/>
        <v>-712.43880929834972</v>
      </c>
      <c r="BK31" s="60">
        <f t="shared" si="50"/>
        <v>-1037.7934247735925</v>
      </c>
      <c r="BL31" s="60">
        <f t="shared" si="51"/>
        <v>-1685.2231801392929</v>
      </c>
      <c r="BM31" s="60">
        <f t="shared" si="52"/>
        <v>322.60741817639428</v>
      </c>
      <c r="BN31" s="60">
        <f t="shared" si="53"/>
        <v>129.41207096405492</v>
      </c>
      <c r="BO31" s="60">
        <f t="shared" si="54"/>
        <v>0</v>
      </c>
      <c r="BP31" s="60">
        <f t="shared" si="55"/>
        <v>-129.78384983375577</v>
      </c>
      <c r="BQ31" s="60">
        <f t="shared" si="56"/>
        <v>-324.97640691410538</v>
      </c>
      <c r="BR31" s="60">
        <f t="shared" si="57"/>
        <v>-651.13481636467668</v>
      </c>
      <c r="BS31" s="60">
        <f t="shared" si="58"/>
        <v>-1303.9936188299635</v>
      </c>
      <c r="BT31" s="60">
        <f t="shared" si="59"/>
        <v>636.34754446239072</v>
      </c>
      <c r="BU31" s="60">
        <f t="shared" si="60"/>
        <v>451.01607321297365</v>
      </c>
      <c r="BV31" s="60">
        <f t="shared" si="61"/>
        <v>325.82040490949453</v>
      </c>
      <c r="BW31" s="60">
        <f t="shared" si="62"/>
        <v>199.55992250253871</v>
      </c>
      <c r="BX31" s="60">
        <f t="shared" si="63"/>
        <v>8.5445132247195943</v>
      </c>
      <c r="BY31" s="60">
        <f t="shared" si="64"/>
        <v>-313.03841612472979</v>
      </c>
      <c r="BZ31" s="60">
        <f t="shared" si="65"/>
        <v>-963.06600784857096</v>
      </c>
      <c r="CA31" s="60">
        <f t="shared" si="66"/>
        <v>890.60754451069499</v>
      </c>
      <c r="CB31" s="60">
        <f t="shared" si="67"/>
        <v>716.97766570608451</v>
      </c>
      <c r="CC31" s="60">
        <f t="shared" si="68"/>
        <v>598.35341452289867</v>
      </c>
      <c r="CD31" s="60">
        <f t="shared" si="69"/>
        <v>477.81795578073456</v>
      </c>
      <c r="CE31" s="60">
        <f t="shared" si="70"/>
        <v>294.01623030778751</v>
      </c>
      <c r="CF31" s="60">
        <f t="shared" si="71"/>
        <v>-18.55507460400986</v>
      </c>
      <c r="CG31" s="60">
        <f t="shared" si="72"/>
        <v>-658.71845549957584</v>
      </c>
      <c r="CH31" s="60">
        <f t="shared" si="73"/>
        <v>1256.3208985382187</v>
      </c>
      <c r="CI31" s="60">
        <f t="shared" si="74"/>
        <v>1112.5935612623493</v>
      </c>
      <c r="CJ31" s="60">
        <f t="shared" si="75"/>
        <v>1011.4435157894928</v>
      </c>
      <c r="CK31" s="60">
        <f t="shared" si="76"/>
        <v>906.61415607449328</v>
      </c>
      <c r="CL31" s="60">
        <f t="shared" si="77"/>
        <v>743.40315461073885</v>
      </c>
      <c r="CM31" s="60">
        <f t="shared" si="78"/>
        <v>458.39433756536664</v>
      </c>
      <c r="CN31" s="60">
        <f t="shared" si="79"/>
        <v>-145.84121294456395</v>
      </c>
    </row>
    <row r="32" spans="1:92" x14ac:dyDescent="0.35">
      <c r="A32" s="3" t="s">
        <v>104</v>
      </c>
      <c r="B32" s="4">
        <f>VLOOKUP(A32,PriceData!$K$4:$L$6,2,FALSE)</f>
        <v>1100</v>
      </c>
      <c r="C32" s="46">
        <f>VLOOKUP(A32,PriceData!$K$4:$M$6,3,FALSE)</f>
        <v>0.02</v>
      </c>
      <c r="D32" s="4" t="s">
        <v>108</v>
      </c>
      <c r="E32" s="4" t="s">
        <v>106</v>
      </c>
      <c r="F32" s="4">
        <v>-50</v>
      </c>
      <c r="G32" s="4">
        <v>1067</v>
      </c>
      <c r="H32" s="4" t="s">
        <v>109</v>
      </c>
      <c r="I32" s="5">
        <v>40438</v>
      </c>
      <c r="J32" s="46">
        <f t="shared" si="0"/>
        <v>0.3454428185513545</v>
      </c>
      <c r="K32" s="30">
        <f>VLOOKUP(I32,PriceData!$A$5:$D$7,MATCH($E32,PriceData!$A$4:$D$4,0),FALSE)</f>
        <v>1.7500000000000002E-2</v>
      </c>
      <c r="L32" s="2">
        <f t="shared" si="1"/>
        <v>106.82093528205399</v>
      </c>
      <c r="M32" s="2">
        <f t="shared" si="2"/>
        <v>-5341.0467641026999</v>
      </c>
      <c r="N32" s="4" t="s">
        <v>107</v>
      </c>
      <c r="P32" s="60">
        <f t="shared" si="3"/>
        <v>-438.14776974407386</v>
      </c>
      <c r="Q32" s="60">
        <f t="shared" si="4"/>
        <v>734.93496720134749</v>
      </c>
      <c r="R32" s="58">
        <f t="shared" si="5"/>
        <v>3.4777809112600107</v>
      </c>
      <c r="S32" s="58">
        <f t="shared" si="6"/>
        <v>-10.392413374442203</v>
      </c>
      <c r="T32" s="58">
        <f t="shared" si="7"/>
        <v>-0.23815434848788067</v>
      </c>
      <c r="U32" s="2">
        <f t="shared" si="8"/>
        <v>-3.7326623631926568</v>
      </c>
      <c r="V32" s="65">
        <f t="shared" si="9"/>
        <v>21907.388487203694</v>
      </c>
      <c r="W32" s="65">
        <f t="shared" si="10"/>
        <v>-36746.748360067373</v>
      </c>
      <c r="X32" s="78">
        <f t="shared" si="11"/>
        <v>-173.88904556300054</v>
      </c>
      <c r="Y32" s="78">
        <f t="shared" si="12"/>
        <v>519.62066872211017</v>
      </c>
      <c r="Z32" s="78">
        <f t="shared" si="13"/>
        <v>11.907717424394033</v>
      </c>
      <c r="AA32" s="78">
        <f t="shared" si="14"/>
        <v>186.63311815963283</v>
      </c>
      <c r="AB32" s="78">
        <f t="shared" si="15"/>
        <v>-5981.3718183015881</v>
      </c>
      <c r="AC32" s="78">
        <f t="shared" si="16"/>
        <v>-2578.2218016231441</v>
      </c>
      <c r="AD32" s="78">
        <f t="shared" si="17"/>
        <v>-1189.9218885197483</v>
      </c>
      <c r="AE32" s="78">
        <f t="shared" si="18"/>
        <v>-453.02434697494505</v>
      </c>
      <c r="AF32" s="78">
        <f t="shared" si="19"/>
        <v>423.63376614927972</v>
      </c>
      <c r="AG32" s="78">
        <f t="shared" si="20"/>
        <v>1006.4551230999797</v>
      </c>
      <c r="AH32" s="78">
        <f t="shared" si="21"/>
        <v>1847.5946007458247</v>
      </c>
      <c r="AI32" s="78">
        <f t="shared" si="22"/>
        <v>3112.5749136997997</v>
      </c>
      <c r="AJ32" s="78">
        <f t="shared" si="23"/>
        <v>1739.9558775634573</v>
      </c>
      <c r="AK32" s="78">
        <f t="shared" si="24"/>
        <v>869.92521641501526</v>
      </c>
      <c r="AL32" s="78">
        <f t="shared" si="25"/>
        <v>347.87180605590322</v>
      </c>
      <c r="AM32" s="78">
        <f t="shared" si="26"/>
        <v>173.91377402336161</v>
      </c>
      <c r="AN32" s="78">
        <f t="shared" si="27"/>
        <v>-173.86185519486901</v>
      </c>
      <c r="AO32" s="78">
        <f t="shared" si="28"/>
        <v>-347.66465131062034</v>
      </c>
      <c r="AP32" s="78">
        <f t="shared" si="29"/>
        <v>-868.65373200570559</v>
      </c>
      <c r="AQ32" s="78">
        <f t="shared" si="30"/>
        <v>-1735.2303311545541</v>
      </c>
      <c r="AR32" s="60">
        <f t="shared" si="31"/>
        <v>-5383.8909531328709</v>
      </c>
      <c r="AS32" s="60">
        <f t="shared" si="32"/>
        <v>-5736.6125098491038</v>
      </c>
      <c r="AT32" s="60">
        <f t="shared" si="33"/>
        <v>-5981.3718183015881</v>
      </c>
      <c r="AU32" s="60">
        <f t="shared" si="34"/>
        <v>-6232.4943867419197</v>
      </c>
      <c r="AV32" s="60">
        <f t="shared" si="35"/>
        <v>-6619.1245292366002</v>
      </c>
      <c r="AW32" s="60">
        <f t="shared" si="36"/>
        <v>-7284.1588039151047</v>
      </c>
      <c r="AX32" s="60">
        <f t="shared" si="37"/>
        <v>-8664.5634477077328</v>
      </c>
      <c r="AY32" s="60">
        <f t="shared" si="38"/>
        <v>-1782.1748007305218</v>
      </c>
      <c r="AZ32" s="60">
        <f t="shared" si="39"/>
        <v>-2258.8339124932277</v>
      </c>
      <c r="BA32" s="60">
        <f t="shared" si="40"/>
        <v>-2578.2218016231441</v>
      </c>
      <c r="BB32" s="60">
        <f t="shared" si="41"/>
        <v>-2898.5656379218567</v>
      </c>
      <c r="BC32" s="60">
        <f t="shared" si="42"/>
        <v>-3380.3868144020412</v>
      </c>
      <c r="BD32" s="60">
        <f t="shared" si="43"/>
        <v>-4185.4892445127234</v>
      </c>
      <c r="BE32" s="60">
        <f t="shared" si="44"/>
        <v>-5796.9100929553751</v>
      </c>
      <c r="BF32" s="60">
        <f t="shared" si="45"/>
        <v>-340.09254795597315</v>
      </c>
      <c r="BG32" s="60">
        <f t="shared" si="46"/>
        <v>-850.15744015325367</v>
      </c>
      <c r="BH32" s="60">
        <f t="shared" si="47"/>
        <v>-1189.9218885197483</v>
      </c>
      <c r="BI32" s="60">
        <f t="shared" si="48"/>
        <v>-1529.4072621228879</v>
      </c>
      <c r="BJ32" s="60">
        <f t="shared" si="49"/>
        <v>-2038.021096621665</v>
      </c>
      <c r="BK32" s="60">
        <f t="shared" si="50"/>
        <v>-2883.769555609183</v>
      </c>
      <c r="BL32" s="60">
        <f t="shared" si="51"/>
        <v>-4566.2359300026337</v>
      </c>
      <c r="BM32" s="60">
        <f t="shared" si="52"/>
        <v>869.92521641501526</v>
      </c>
      <c r="BN32" s="60">
        <f t="shared" si="53"/>
        <v>347.87180605590322</v>
      </c>
      <c r="BO32" s="60">
        <f t="shared" si="54"/>
        <v>0</v>
      </c>
      <c r="BP32" s="60">
        <f t="shared" si="55"/>
        <v>-347.66465131062034</v>
      </c>
      <c r="BQ32" s="60">
        <f t="shared" si="56"/>
        <v>-868.65373200570559</v>
      </c>
      <c r="BR32" s="60">
        <f t="shared" si="57"/>
        <v>-1735.2303311545541</v>
      </c>
      <c r="BS32" s="60">
        <f t="shared" si="58"/>
        <v>-3459.7552773863326</v>
      </c>
      <c r="BT32" s="60">
        <f t="shared" si="59"/>
        <v>1865.4094082105814</v>
      </c>
      <c r="BU32" s="60">
        <f t="shared" si="60"/>
        <v>1351.114768563164</v>
      </c>
      <c r="BV32" s="60">
        <f t="shared" si="61"/>
        <v>1006.4551230999797</v>
      </c>
      <c r="BW32" s="60">
        <f t="shared" si="62"/>
        <v>660.72891921153598</v>
      </c>
      <c r="BX32" s="60">
        <f t="shared" si="63"/>
        <v>140.67663121597889</v>
      </c>
      <c r="BY32" s="60">
        <f t="shared" si="64"/>
        <v>-728.4205662769125</v>
      </c>
      <c r="BZ32" s="60">
        <f t="shared" si="65"/>
        <v>-2468.2097483149078</v>
      </c>
      <c r="CA32" s="60">
        <f t="shared" si="66"/>
        <v>2669.7530635992907</v>
      </c>
      <c r="CB32" s="60">
        <f t="shared" si="67"/>
        <v>2179.525097253611</v>
      </c>
      <c r="CC32" s="60">
        <f t="shared" si="68"/>
        <v>1847.5946007458247</v>
      </c>
      <c r="CD32" s="60">
        <f t="shared" si="69"/>
        <v>1512.4106756781116</v>
      </c>
      <c r="CE32" s="60">
        <f t="shared" si="70"/>
        <v>1004.7467038251881</v>
      </c>
      <c r="CF32" s="60">
        <f t="shared" si="71"/>
        <v>149.1023618539117</v>
      </c>
      <c r="CG32" s="60">
        <f t="shared" si="72"/>
        <v>-1582.1603646248946</v>
      </c>
      <c r="CH32" s="60">
        <f t="shared" si="73"/>
        <v>3809.8751353556127</v>
      </c>
      <c r="CI32" s="60">
        <f t="shared" si="74"/>
        <v>3399.4730112534712</v>
      </c>
      <c r="CJ32" s="60">
        <f t="shared" si="75"/>
        <v>3112.5749136997997</v>
      </c>
      <c r="CK32" s="60">
        <f t="shared" si="76"/>
        <v>2816.8015845912605</v>
      </c>
      <c r="CL32" s="60">
        <f t="shared" si="77"/>
        <v>2359.1684836683698</v>
      </c>
      <c r="CM32" s="60">
        <f t="shared" si="78"/>
        <v>1567.1559038563203</v>
      </c>
      <c r="CN32" s="60">
        <f t="shared" si="79"/>
        <v>-89.54388095542356</v>
      </c>
    </row>
    <row r="33" spans="1:92" x14ac:dyDescent="0.35">
      <c r="A33" s="3" t="s">
        <v>104</v>
      </c>
      <c r="B33" s="4">
        <f>VLOOKUP(A33,PriceData!$K$4:$L$6,2,FALSE)</f>
        <v>1100</v>
      </c>
      <c r="C33" s="46">
        <f>VLOOKUP(A33,PriceData!$K$4:$M$6,3,FALSE)</f>
        <v>0.02</v>
      </c>
      <c r="D33" s="4" t="s">
        <v>108</v>
      </c>
      <c r="E33" s="4" t="s">
        <v>106</v>
      </c>
      <c r="F33" s="4">
        <v>-50</v>
      </c>
      <c r="G33" s="4">
        <v>1067</v>
      </c>
      <c r="H33" s="4" t="s">
        <v>111</v>
      </c>
      <c r="I33" s="5">
        <v>40438</v>
      </c>
      <c r="J33" s="46">
        <f t="shared" si="0"/>
        <v>0.3454428185513545</v>
      </c>
      <c r="K33" s="30">
        <f>VLOOKUP(I33,PriceData!$A$5:$D$7,MATCH($E33,PriceData!$A$4:$D$4,0),FALSE)</f>
        <v>1.7500000000000002E-2</v>
      </c>
      <c r="L33" s="2">
        <f t="shared" si="1"/>
        <v>137.56822151290169</v>
      </c>
      <c r="M33" s="2">
        <f t="shared" si="2"/>
        <v>-6878.4110756450846</v>
      </c>
      <c r="N33" s="4" t="s">
        <v>113</v>
      </c>
      <c r="P33" s="60">
        <f t="shared" si="3"/>
        <v>646.88647629865511</v>
      </c>
      <c r="Q33" s="60">
        <f t="shared" si="4"/>
        <v>734.93496720134749</v>
      </c>
      <c r="R33" s="58">
        <f t="shared" si="5"/>
        <v>3.4777809112600107</v>
      </c>
      <c r="S33" s="58">
        <f t="shared" si="6"/>
        <v>-10.392413374442203</v>
      </c>
      <c r="T33" s="58">
        <f t="shared" si="7"/>
        <v>-0.22924842212035557</v>
      </c>
      <c r="U33" s="2">
        <f t="shared" si="8"/>
        <v>3.4884811971626948</v>
      </c>
      <c r="V33" s="65">
        <f t="shared" si="9"/>
        <v>-32344.323814932755</v>
      </c>
      <c r="W33" s="65">
        <f t="shared" si="10"/>
        <v>-36746.748360067373</v>
      </c>
      <c r="X33" s="78">
        <f t="shared" si="11"/>
        <v>-173.88904556300054</v>
      </c>
      <c r="Y33" s="78">
        <f t="shared" si="12"/>
        <v>519.62066872211017</v>
      </c>
      <c r="Z33" s="78">
        <f t="shared" si="13"/>
        <v>11.462421106017779</v>
      </c>
      <c r="AA33" s="78">
        <f t="shared" si="14"/>
        <v>-174.42405985813474</v>
      </c>
      <c r="AB33" s="78">
        <f t="shared" si="15"/>
        <v>4868.9706421257069</v>
      </c>
      <c r="AC33" s="78">
        <f t="shared" si="16"/>
        <v>2846.9494285905002</v>
      </c>
      <c r="AD33" s="78">
        <f t="shared" si="17"/>
        <v>1522.6637265870891</v>
      </c>
      <c r="AE33" s="78">
        <f t="shared" si="18"/>
        <v>632.00989906778489</v>
      </c>
      <c r="AF33" s="78">
        <f t="shared" si="19"/>
        <v>-661.40047989343316</v>
      </c>
      <c r="AG33" s="78">
        <f t="shared" si="20"/>
        <v>-1706.130492006838</v>
      </c>
      <c r="AH33" s="78">
        <f t="shared" si="21"/>
        <v>-3577.5766294678192</v>
      </c>
      <c r="AI33" s="78">
        <f t="shared" si="22"/>
        <v>-7737.7675467274912</v>
      </c>
      <c r="AJ33" s="78">
        <f t="shared" si="23"/>
        <v>1739.9558775634603</v>
      </c>
      <c r="AK33" s="78">
        <f t="shared" si="24"/>
        <v>869.92521641501526</v>
      </c>
      <c r="AL33" s="78">
        <f t="shared" si="25"/>
        <v>347.87180605591175</v>
      </c>
      <c r="AM33" s="78">
        <f t="shared" si="26"/>
        <v>173.9137740233673</v>
      </c>
      <c r="AN33" s="78">
        <f t="shared" si="27"/>
        <v>-173.86185519486048</v>
      </c>
      <c r="AO33" s="78">
        <f t="shared" si="28"/>
        <v>-347.66465131061466</v>
      </c>
      <c r="AP33" s="78">
        <f t="shared" si="29"/>
        <v>-868.65373200569991</v>
      </c>
      <c r="AQ33" s="78">
        <f t="shared" si="30"/>
        <v>-1735.2303311545484</v>
      </c>
      <c r="AR33" s="60">
        <f t="shared" si="31"/>
        <v>5466.4515072944168</v>
      </c>
      <c r="AS33" s="60">
        <f t="shared" si="32"/>
        <v>5113.7299505781857</v>
      </c>
      <c r="AT33" s="60">
        <f t="shared" si="33"/>
        <v>4868.9706421257069</v>
      </c>
      <c r="AU33" s="60">
        <f t="shared" si="34"/>
        <v>4617.8480736853644</v>
      </c>
      <c r="AV33" s="60">
        <f t="shared" si="35"/>
        <v>4231.2179311906921</v>
      </c>
      <c r="AW33" s="60">
        <f t="shared" si="36"/>
        <v>3566.1836565121857</v>
      </c>
      <c r="AX33" s="60">
        <f t="shared" si="37"/>
        <v>2185.779012719564</v>
      </c>
      <c r="AY33" s="60">
        <f t="shared" si="38"/>
        <v>3642.9964294831307</v>
      </c>
      <c r="AZ33" s="60">
        <f t="shared" si="39"/>
        <v>3166.3373177204221</v>
      </c>
      <c r="BA33" s="60">
        <f t="shared" si="40"/>
        <v>2846.9494285905002</v>
      </c>
      <c r="BB33" s="60">
        <f t="shared" si="41"/>
        <v>2526.6055922917899</v>
      </c>
      <c r="BC33" s="60">
        <f t="shared" si="42"/>
        <v>2044.7844158116084</v>
      </c>
      <c r="BD33" s="60">
        <f t="shared" si="43"/>
        <v>1239.6819857009234</v>
      </c>
      <c r="BE33" s="60">
        <f t="shared" si="44"/>
        <v>-371.73886274172787</v>
      </c>
      <c r="BF33" s="60">
        <f t="shared" si="45"/>
        <v>2372.4930671508587</v>
      </c>
      <c r="BG33" s="60">
        <f t="shared" si="46"/>
        <v>1862.4281749535699</v>
      </c>
      <c r="BH33" s="60">
        <f t="shared" si="47"/>
        <v>1522.6637265870891</v>
      </c>
      <c r="BI33" s="60">
        <f t="shared" si="48"/>
        <v>1183.178352983947</v>
      </c>
      <c r="BJ33" s="60">
        <f t="shared" si="49"/>
        <v>674.56451848516963</v>
      </c>
      <c r="BK33" s="60">
        <f t="shared" si="50"/>
        <v>-171.18394050235111</v>
      </c>
      <c r="BL33" s="60">
        <f t="shared" si="51"/>
        <v>-1853.6503148958018</v>
      </c>
      <c r="BM33" s="60">
        <f t="shared" si="52"/>
        <v>869.92521641501526</v>
      </c>
      <c r="BN33" s="60">
        <f t="shared" si="53"/>
        <v>347.87180605591175</v>
      </c>
      <c r="BO33" s="60">
        <f t="shared" si="54"/>
        <v>0</v>
      </c>
      <c r="BP33" s="60">
        <f t="shared" si="55"/>
        <v>-347.66465131061466</v>
      </c>
      <c r="BQ33" s="60">
        <f t="shared" si="56"/>
        <v>-868.65373200569991</v>
      </c>
      <c r="BR33" s="60">
        <f t="shared" si="57"/>
        <v>-1735.2303311545484</v>
      </c>
      <c r="BS33" s="60">
        <f t="shared" si="58"/>
        <v>-3459.7552773863245</v>
      </c>
      <c r="BT33" s="60">
        <f t="shared" si="59"/>
        <v>-847.17620689623914</v>
      </c>
      <c r="BU33" s="60">
        <f t="shared" si="60"/>
        <v>-1361.4708465436649</v>
      </c>
      <c r="BV33" s="60">
        <f t="shared" si="61"/>
        <v>-1706.130492006838</v>
      </c>
      <c r="BW33" s="60">
        <f t="shared" si="62"/>
        <v>-2051.8566958952874</v>
      </c>
      <c r="BX33" s="60">
        <f t="shared" si="63"/>
        <v>-2571.9089838908417</v>
      </c>
      <c r="BY33" s="60">
        <f t="shared" si="64"/>
        <v>-3441.0061813837387</v>
      </c>
      <c r="BZ33" s="60">
        <f t="shared" si="65"/>
        <v>-5180.7953634217311</v>
      </c>
      <c r="CA33" s="60">
        <f t="shared" si="66"/>
        <v>-2755.4181666143504</v>
      </c>
      <c r="CB33" s="60">
        <f t="shared" si="67"/>
        <v>-3245.6461329600361</v>
      </c>
      <c r="CC33" s="60">
        <f t="shared" si="68"/>
        <v>-3577.5766294678192</v>
      </c>
      <c r="CD33" s="60">
        <f t="shared" si="69"/>
        <v>-3912.7605545355323</v>
      </c>
      <c r="CE33" s="60">
        <f t="shared" si="70"/>
        <v>-4420.4245263884559</v>
      </c>
      <c r="CF33" s="60">
        <f t="shared" si="71"/>
        <v>-5276.0688683597327</v>
      </c>
      <c r="CG33" s="60">
        <f t="shared" si="72"/>
        <v>-7007.3315948385416</v>
      </c>
      <c r="CH33" s="60">
        <f t="shared" si="73"/>
        <v>-7040.4673250716769</v>
      </c>
      <c r="CI33" s="60">
        <f t="shared" si="74"/>
        <v>-7450.8694491738079</v>
      </c>
      <c r="CJ33" s="60">
        <f t="shared" si="75"/>
        <v>-7737.7675467274912</v>
      </c>
      <c r="CK33" s="60">
        <f t="shared" si="76"/>
        <v>-8033.54087583603</v>
      </c>
      <c r="CL33" s="60">
        <f t="shared" si="77"/>
        <v>-8491.1739767589206</v>
      </c>
      <c r="CM33" s="60">
        <f t="shared" si="78"/>
        <v>-9283.1865565709613</v>
      </c>
      <c r="CN33" s="60">
        <f t="shared" si="79"/>
        <v>-10939.886341382709</v>
      </c>
    </row>
    <row r="34" spans="1:92" x14ac:dyDescent="0.35">
      <c r="A34" s="3" t="s">
        <v>1</v>
      </c>
      <c r="B34" s="4">
        <f>VLOOKUP(A34,PriceData!$K$4:$L$6,2,FALSE)</f>
        <v>2905</v>
      </c>
      <c r="C34" s="46">
        <f>VLOOKUP(A34,PriceData!$K$4:$M$6,3,FALSE)</f>
        <v>2.1999999999999999E-2</v>
      </c>
      <c r="D34" s="4" t="s">
        <v>105</v>
      </c>
      <c r="E34" s="4" t="s">
        <v>114</v>
      </c>
      <c r="F34" s="4">
        <v>20</v>
      </c>
      <c r="H34" s="4"/>
      <c r="I34" s="5">
        <v>40256</v>
      </c>
      <c r="J34" s="46">
        <f t="shared" si="0"/>
        <v>0</v>
      </c>
      <c r="K34" s="30"/>
      <c r="L34" s="2">
        <f t="shared" si="1"/>
        <v>2893.1178463623419</v>
      </c>
      <c r="M34" s="2">
        <f t="shared" si="2"/>
        <v>57862.356927246838</v>
      </c>
      <c r="N34" s="4" t="s">
        <v>107</v>
      </c>
      <c r="P34" s="60">
        <f t="shared" si="3"/>
        <v>2893.1178463623419</v>
      </c>
      <c r="Q34" s="60">
        <f t="shared" si="4"/>
        <v>0</v>
      </c>
      <c r="R34" s="58">
        <f t="shared" si="5"/>
        <v>0</v>
      </c>
      <c r="S34" s="58">
        <f t="shared" si="6"/>
        <v>0</v>
      </c>
      <c r="T34" s="58">
        <f t="shared" si="7"/>
        <v>0.17437970580814116</v>
      </c>
      <c r="U34" s="2">
        <f t="shared" si="8"/>
        <v>5.389918179524364</v>
      </c>
      <c r="V34" s="65">
        <f t="shared" si="9"/>
        <v>57862.356927246838</v>
      </c>
      <c r="W34" s="65">
        <f t="shared" si="10"/>
        <v>0</v>
      </c>
      <c r="X34" s="78">
        <f t="shared" si="11"/>
        <v>0</v>
      </c>
      <c r="Y34" s="78">
        <f t="shared" si="12"/>
        <v>0</v>
      </c>
      <c r="Z34" s="78">
        <f t="shared" si="13"/>
        <v>3.487594116162823</v>
      </c>
      <c r="AA34" s="78">
        <f t="shared" si="14"/>
        <v>107.79836359048728</v>
      </c>
      <c r="AB34" s="78">
        <f t="shared" si="15"/>
        <v>-11572.471385449362</v>
      </c>
      <c r="AC34" s="78">
        <f t="shared" si="16"/>
        <v>-5786.2356927246765</v>
      </c>
      <c r="AD34" s="78">
        <f t="shared" si="17"/>
        <v>-2893.1178463623382</v>
      </c>
      <c r="AE34" s="78">
        <f t="shared" si="18"/>
        <v>-1157.2471385449353</v>
      </c>
      <c r="AF34" s="78">
        <f t="shared" si="19"/>
        <v>1157.2471385449353</v>
      </c>
      <c r="AG34" s="78">
        <f t="shared" si="20"/>
        <v>2893.1178463623473</v>
      </c>
      <c r="AH34" s="78">
        <f t="shared" si="21"/>
        <v>5786.2356927246947</v>
      </c>
      <c r="AI34" s="78">
        <f t="shared" si="22"/>
        <v>11572.471385449371</v>
      </c>
      <c r="AJ34" s="78">
        <f t="shared" si="23"/>
        <v>0</v>
      </c>
      <c r="AK34" s="78">
        <f t="shared" si="24"/>
        <v>0</v>
      </c>
      <c r="AL34" s="78">
        <f t="shared" si="25"/>
        <v>0</v>
      </c>
      <c r="AM34" s="78">
        <f t="shared" si="26"/>
        <v>0</v>
      </c>
      <c r="AN34" s="78">
        <f t="shared" si="27"/>
        <v>0</v>
      </c>
      <c r="AO34" s="78">
        <f t="shared" si="28"/>
        <v>0</v>
      </c>
      <c r="AP34" s="78">
        <f t="shared" si="29"/>
        <v>0</v>
      </c>
      <c r="AQ34" s="78">
        <f t="shared" si="30"/>
        <v>0</v>
      </c>
      <c r="AR34" s="60">
        <f t="shared" si="31"/>
        <v>-11572.471385449362</v>
      </c>
      <c r="AS34" s="60">
        <f t="shared" si="32"/>
        <v>-11572.471385449362</v>
      </c>
      <c r="AT34" s="60">
        <f t="shared" si="33"/>
        <v>-11572.471385449362</v>
      </c>
      <c r="AU34" s="60">
        <f t="shared" si="34"/>
        <v>-11572.471385449362</v>
      </c>
      <c r="AV34" s="60">
        <f t="shared" si="35"/>
        <v>-11572.471385449362</v>
      </c>
      <c r="AW34" s="60">
        <f t="shared" si="36"/>
        <v>-11572.471385449362</v>
      </c>
      <c r="AX34" s="60">
        <f t="shared" si="37"/>
        <v>-11572.471385449362</v>
      </c>
      <c r="AY34" s="60">
        <f t="shared" si="38"/>
        <v>-5786.2356927246765</v>
      </c>
      <c r="AZ34" s="60">
        <f t="shared" si="39"/>
        <v>-5786.2356927246765</v>
      </c>
      <c r="BA34" s="60">
        <f t="shared" si="40"/>
        <v>-5786.2356927246765</v>
      </c>
      <c r="BB34" s="60">
        <f t="shared" si="41"/>
        <v>-5786.2356927246765</v>
      </c>
      <c r="BC34" s="60">
        <f t="shared" si="42"/>
        <v>-5786.2356927246765</v>
      </c>
      <c r="BD34" s="60">
        <f t="shared" si="43"/>
        <v>-5786.2356927246765</v>
      </c>
      <c r="BE34" s="60">
        <f t="shared" si="44"/>
        <v>-5786.2356927246765</v>
      </c>
      <c r="BF34" s="60">
        <f t="shared" si="45"/>
        <v>-2893.1178463623382</v>
      </c>
      <c r="BG34" s="60">
        <f t="shared" si="46"/>
        <v>-2893.1178463623382</v>
      </c>
      <c r="BH34" s="60">
        <f t="shared" si="47"/>
        <v>-2893.1178463623382</v>
      </c>
      <c r="BI34" s="60">
        <f t="shared" si="48"/>
        <v>-2893.1178463623382</v>
      </c>
      <c r="BJ34" s="60">
        <f t="shared" si="49"/>
        <v>-2893.1178463623382</v>
      </c>
      <c r="BK34" s="60">
        <f t="shared" si="50"/>
        <v>-2893.1178463623382</v>
      </c>
      <c r="BL34" s="60">
        <f t="shared" si="51"/>
        <v>-2893.1178463623382</v>
      </c>
      <c r="BM34" s="60">
        <f t="shared" si="52"/>
        <v>0</v>
      </c>
      <c r="BN34" s="60">
        <f t="shared" si="53"/>
        <v>0</v>
      </c>
      <c r="BO34" s="60">
        <f t="shared" si="54"/>
        <v>0</v>
      </c>
      <c r="BP34" s="60">
        <f t="shared" si="55"/>
        <v>0</v>
      </c>
      <c r="BQ34" s="60">
        <f t="shared" si="56"/>
        <v>0</v>
      </c>
      <c r="BR34" s="60">
        <f t="shared" si="57"/>
        <v>0</v>
      </c>
      <c r="BS34" s="60">
        <f t="shared" si="58"/>
        <v>0</v>
      </c>
      <c r="BT34" s="60">
        <f t="shared" si="59"/>
        <v>2893.1178463623473</v>
      </c>
      <c r="BU34" s="60">
        <f t="shared" si="60"/>
        <v>2893.1178463623473</v>
      </c>
      <c r="BV34" s="60">
        <f t="shared" si="61"/>
        <v>2893.1178463623473</v>
      </c>
      <c r="BW34" s="60">
        <f t="shared" si="62"/>
        <v>2893.1178463623473</v>
      </c>
      <c r="BX34" s="60">
        <f t="shared" si="63"/>
        <v>2893.1178463623473</v>
      </c>
      <c r="BY34" s="60">
        <f t="shared" si="64"/>
        <v>2893.1178463623473</v>
      </c>
      <c r="BZ34" s="60">
        <f t="shared" si="65"/>
        <v>2893.1178463623473</v>
      </c>
      <c r="CA34" s="60">
        <f t="shared" si="66"/>
        <v>5786.2356927246947</v>
      </c>
      <c r="CB34" s="60">
        <f t="shared" si="67"/>
        <v>5786.2356927246947</v>
      </c>
      <c r="CC34" s="60">
        <f t="shared" si="68"/>
        <v>5786.2356927246947</v>
      </c>
      <c r="CD34" s="60">
        <f t="shared" si="69"/>
        <v>5786.2356927246947</v>
      </c>
      <c r="CE34" s="60">
        <f t="shared" si="70"/>
        <v>5786.2356927246947</v>
      </c>
      <c r="CF34" s="60">
        <f t="shared" si="71"/>
        <v>5786.2356927246947</v>
      </c>
      <c r="CG34" s="60">
        <f t="shared" si="72"/>
        <v>5786.2356927246947</v>
      </c>
      <c r="CH34" s="60">
        <f t="shared" si="73"/>
        <v>11572.471385449371</v>
      </c>
      <c r="CI34" s="60">
        <f t="shared" si="74"/>
        <v>11572.471385449371</v>
      </c>
      <c r="CJ34" s="60">
        <f t="shared" si="75"/>
        <v>11572.471385449371</v>
      </c>
      <c r="CK34" s="60">
        <f t="shared" si="76"/>
        <v>11572.471385449371</v>
      </c>
      <c r="CL34" s="60">
        <f t="shared" si="77"/>
        <v>11572.471385449371</v>
      </c>
      <c r="CM34" s="60">
        <f t="shared" si="78"/>
        <v>11572.471385449371</v>
      </c>
      <c r="CN34" s="60">
        <f t="shared" si="79"/>
        <v>11572.471385449371</v>
      </c>
    </row>
    <row r="35" spans="1:92" x14ac:dyDescent="0.35">
      <c r="A35" s="3" t="s">
        <v>1</v>
      </c>
      <c r="B35" s="4">
        <f>VLOOKUP(A35,PriceData!$K$4:$L$6,2,FALSE)</f>
        <v>2905</v>
      </c>
      <c r="C35" s="46">
        <f>VLOOKUP(A35,PriceData!$K$4:$M$6,3,FALSE)</f>
        <v>2.1999999999999999E-2</v>
      </c>
      <c r="D35" s="4" t="s">
        <v>108</v>
      </c>
      <c r="E35" s="4" t="s">
        <v>114</v>
      </c>
      <c r="F35" s="4">
        <v>-20</v>
      </c>
      <c r="G35" s="4">
        <v>2992</v>
      </c>
      <c r="H35" s="4" t="s">
        <v>111</v>
      </c>
      <c r="I35" s="5">
        <v>40256</v>
      </c>
      <c r="J35" s="46">
        <f t="shared" si="0"/>
        <v>0.39756798563679596</v>
      </c>
      <c r="K35" s="30">
        <f>VLOOKUP(I35,PriceData!$A$5:$D$7,MATCH($E35,PriceData!$A$4:$D$4,0),FALSE)</f>
        <v>2.1999999999999999E-2</v>
      </c>
      <c r="L35" s="2">
        <f t="shared" si="1"/>
        <v>160.41055787487358</v>
      </c>
      <c r="M35" s="2">
        <f t="shared" si="2"/>
        <v>-3208.2111574974715</v>
      </c>
      <c r="N35" s="4" t="s">
        <v>110</v>
      </c>
      <c r="P35" s="60">
        <f t="shared" si="3"/>
        <v>1347.236298191099</v>
      </c>
      <c r="Q35" s="60">
        <f t="shared" si="4"/>
        <v>3350.5394623296156</v>
      </c>
      <c r="R35" s="58">
        <f t="shared" si="5"/>
        <v>4.963318974727593</v>
      </c>
      <c r="S35" s="58">
        <f t="shared" si="6"/>
        <v>27.726046042558011</v>
      </c>
      <c r="T35" s="58">
        <f t="shared" si="7"/>
        <v>-1.4412554822936774</v>
      </c>
      <c r="U35" s="2">
        <f t="shared" si="8"/>
        <v>2.2110726120959812</v>
      </c>
      <c r="V35" s="65">
        <f t="shared" si="9"/>
        <v>-26944.72596382198</v>
      </c>
      <c r="W35" s="65">
        <f t="shared" si="10"/>
        <v>-67010.789246592307</v>
      </c>
      <c r="X35" s="78">
        <f t="shared" si="11"/>
        <v>-99.266379494551856</v>
      </c>
      <c r="Y35" s="78">
        <f t="shared" si="12"/>
        <v>-554.52092085116021</v>
      </c>
      <c r="Z35" s="78">
        <f t="shared" si="13"/>
        <v>28.825109645873546</v>
      </c>
      <c r="AA35" s="78">
        <f t="shared" si="14"/>
        <v>-44.221452241919621</v>
      </c>
      <c r="AB35" s="78">
        <f t="shared" si="15"/>
        <v>2927.6957365832741</v>
      </c>
      <c r="AC35" s="78">
        <f t="shared" si="16"/>
        <v>2032.8698726651942</v>
      </c>
      <c r="AD35" s="78">
        <f t="shared" si="17"/>
        <v>1179.5221979879761</v>
      </c>
      <c r="AE35" s="78">
        <f t="shared" si="18"/>
        <v>512.03141146863345</v>
      </c>
      <c r="AF35" s="78">
        <f t="shared" si="19"/>
        <v>-565.58075673166059</v>
      </c>
      <c r="AG35" s="78">
        <f t="shared" si="20"/>
        <v>-1512.2736120139643</v>
      </c>
      <c r="AH35" s="78">
        <f t="shared" si="21"/>
        <v>-3336.998095872209</v>
      </c>
      <c r="AI35" s="78">
        <f t="shared" si="22"/>
        <v>-7756.8691302200205</v>
      </c>
      <c r="AJ35" s="78">
        <f t="shared" si="23"/>
        <v>988.58596597709948</v>
      </c>
      <c r="AK35" s="78">
        <f t="shared" si="24"/>
        <v>495.49733007664145</v>
      </c>
      <c r="AL35" s="78">
        <f t="shared" si="25"/>
        <v>198.41346509554114</v>
      </c>
      <c r="AM35" s="78">
        <f t="shared" si="26"/>
        <v>99.237629477834162</v>
      </c>
      <c r="AN35" s="78">
        <f t="shared" si="27"/>
        <v>-99.293127468813509</v>
      </c>
      <c r="AO35" s="78">
        <f t="shared" si="28"/>
        <v>-198.63600919770761</v>
      </c>
      <c r="AP35" s="78">
        <f t="shared" si="29"/>
        <v>-496.91274701455313</v>
      </c>
      <c r="AQ35" s="78">
        <f t="shared" si="30"/>
        <v>-994.61976477246026</v>
      </c>
      <c r="AR35" s="60">
        <f t="shared" si="31"/>
        <v>3058.7609947209148</v>
      </c>
      <c r="AS35" s="60">
        <f t="shared" si="32"/>
        <v>2985.3025302343854</v>
      </c>
      <c r="AT35" s="60">
        <f t="shared" si="33"/>
        <v>2927.6957365832741</v>
      </c>
      <c r="AU35" s="60">
        <f t="shared" si="34"/>
        <v>2863.4672648231099</v>
      </c>
      <c r="AV35" s="60">
        <f t="shared" si="35"/>
        <v>2755.378833094549</v>
      </c>
      <c r="AW35" s="60">
        <f t="shared" si="36"/>
        <v>2546.71251629159</v>
      </c>
      <c r="AX35" s="60">
        <f t="shared" si="37"/>
        <v>2041.0292954147553</v>
      </c>
      <c r="AY35" s="60">
        <f t="shared" si="38"/>
        <v>2368.7905186573462</v>
      </c>
      <c r="AZ35" s="60">
        <f t="shared" si="39"/>
        <v>2170.9826364833179</v>
      </c>
      <c r="BA35" s="60">
        <f t="shared" si="40"/>
        <v>2032.8698726651942</v>
      </c>
      <c r="BB35" s="60">
        <f t="shared" si="41"/>
        <v>1890.4411886588559</v>
      </c>
      <c r="BC35" s="60">
        <f t="shared" si="42"/>
        <v>1669.7671225808995</v>
      </c>
      <c r="BD35" s="60">
        <f t="shared" si="43"/>
        <v>1286.5134462945502</v>
      </c>
      <c r="BE35" s="60">
        <f t="shared" si="44"/>
        <v>478.05659634403355</v>
      </c>
      <c r="BF35" s="60">
        <f t="shared" si="45"/>
        <v>1612.2310368818898</v>
      </c>
      <c r="BG35" s="60">
        <f t="shared" si="46"/>
        <v>1354.3057198928113</v>
      </c>
      <c r="BH35" s="60">
        <f t="shared" si="47"/>
        <v>1179.5221979879761</v>
      </c>
      <c r="BI35" s="60">
        <f t="shared" si="48"/>
        <v>1002.8389751839495</v>
      </c>
      <c r="BJ35" s="60">
        <f t="shared" si="49"/>
        <v>734.80138334195999</v>
      </c>
      <c r="BK35" s="60">
        <f t="shared" si="50"/>
        <v>281.66868109427014</v>
      </c>
      <c r="BL35" s="60">
        <f t="shared" si="51"/>
        <v>-641.02011526976185</v>
      </c>
      <c r="BM35" s="60">
        <f t="shared" si="52"/>
        <v>495.49733007664145</v>
      </c>
      <c r="BN35" s="60">
        <f t="shared" si="53"/>
        <v>198.41346509554114</v>
      </c>
      <c r="BO35" s="60">
        <f t="shared" si="54"/>
        <v>0</v>
      </c>
      <c r="BP35" s="60">
        <f t="shared" si="55"/>
        <v>-198.63600919770761</v>
      </c>
      <c r="BQ35" s="60">
        <f t="shared" si="56"/>
        <v>-496.91274701455313</v>
      </c>
      <c r="BR35" s="60">
        <f t="shared" si="57"/>
        <v>-994.61976477246026</v>
      </c>
      <c r="BS35" s="60">
        <f t="shared" si="58"/>
        <v>-1990.8681444162812</v>
      </c>
      <c r="BT35" s="60">
        <f t="shared" si="59"/>
        <v>-999.59558256784021</v>
      </c>
      <c r="BU35" s="60">
        <f t="shared" si="60"/>
        <v>-1307.1383592323537</v>
      </c>
      <c r="BV35" s="60">
        <f t="shared" si="61"/>
        <v>-1512.2736120139643</v>
      </c>
      <c r="BW35" s="60">
        <f t="shared" si="62"/>
        <v>-1717.4635199630075</v>
      </c>
      <c r="BX35" s="60">
        <f t="shared" si="63"/>
        <v>-2025.3042034776399</v>
      </c>
      <c r="BY35" s="60">
        <f t="shared" si="64"/>
        <v>-2538.3782425949539</v>
      </c>
      <c r="BZ35" s="60">
        <f t="shared" si="65"/>
        <v>-3563.8374430480599</v>
      </c>
      <c r="CA35" s="60">
        <f t="shared" si="66"/>
        <v>-2851.0738955379429</v>
      </c>
      <c r="CB35" s="60">
        <f t="shared" si="67"/>
        <v>-3141.3798411795278</v>
      </c>
      <c r="CC35" s="60">
        <f t="shared" si="68"/>
        <v>-3336.998095872209</v>
      </c>
      <c r="CD35" s="60">
        <f t="shared" si="69"/>
        <v>-3533.9992856204253</v>
      </c>
      <c r="CE35" s="60">
        <f t="shared" si="70"/>
        <v>-3831.6752588020108</v>
      </c>
      <c r="CF35" s="60">
        <f t="shared" si="71"/>
        <v>-4332.3634587653805</v>
      </c>
      <c r="CG35" s="60">
        <f t="shared" si="72"/>
        <v>-5345.1233988255944</v>
      </c>
      <c r="CH35" s="60">
        <f t="shared" si="73"/>
        <v>-7405.9003017499072</v>
      </c>
      <c r="CI35" s="60">
        <f t="shared" si="74"/>
        <v>-7611.4459568057282</v>
      </c>
      <c r="CJ35" s="60">
        <f t="shared" si="75"/>
        <v>-7756.8691302200205</v>
      </c>
      <c r="CK35" s="60">
        <f t="shared" si="76"/>
        <v>-7908.1672248945597</v>
      </c>
      <c r="CL35" s="60">
        <f t="shared" si="77"/>
        <v>-8144.781914610212</v>
      </c>
      <c r="CM35" s="60">
        <f t="shared" si="78"/>
        <v>-8560.6566665021455</v>
      </c>
      <c r="CN35" s="60">
        <f t="shared" si="79"/>
        <v>-9451.7663371803646</v>
      </c>
    </row>
    <row r="36" spans="1:92" x14ac:dyDescent="0.35">
      <c r="A36" s="3" t="s">
        <v>1</v>
      </c>
      <c r="B36" s="4">
        <f>VLOOKUP(A36,PriceData!$K$4:$L$6,2,FALSE)</f>
        <v>2905</v>
      </c>
      <c r="C36" s="46">
        <f>VLOOKUP(A36,PriceData!$K$4:$M$6,3,FALSE)</f>
        <v>2.1999999999999999E-2</v>
      </c>
      <c r="D36" s="4" t="s">
        <v>108</v>
      </c>
      <c r="E36" s="4" t="s">
        <v>114</v>
      </c>
      <c r="F36" s="4">
        <v>-30</v>
      </c>
      <c r="G36" s="4">
        <v>2818</v>
      </c>
      <c r="H36" s="4" t="s">
        <v>111</v>
      </c>
      <c r="I36" s="5">
        <v>40256</v>
      </c>
      <c r="J36" s="46">
        <f t="shared" si="0"/>
        <v>0.4264333531544322</v>
      </c>
      <c r="K36" s="30">
        <f>VLOOKUP(I36,PriceData!$A$5:$D$7,MATCH($E36,PriceData!$A$4:$D$4,0),FALSE)</f>
        <v>2.1999999999999999E-2</v>
      </c>
      <c r="L36" s="2">
        <f t="shared" si="1"/>
        <v>255.12202571128637</v>
      </c>
      <c r="M36" s="2">
        <f t="shared" si="2"/>
        <v>-7653.6607713385911</v>
      </c>
      <c r="N36" s="4" t="s">
        <v>107</v>
      </c>
      <c r="P36" s="60">
        <f t="shared" si="3"/>
        <v>1740.2041935197692</v>
      </c>
      <c r="Q36" s="60">
        <f t="shared" si="4"/>
        <v>3033.3282242263963</v>
      </c>
      <c r="R36" s="58">
        <f t="shared" si="5"/>
        <v>4.81966236490352</v>
      </c>
      <c r="S36" s="58">
        <f t="shared" si="6"/>
        <v>21.271128855411305</v>
      </c>
      <c r="T36" s="58">
        <f t="shared" si="7"/>
        <v>-1.4958468874075315</v>
      </c>
      <c r="U36" s="2">
        <f t="shared" si="8"/>
        <v>2.7667284222185429</v>
      </c>
      <c r="V36" s="65">
        <f t="shared" si="9"/>
        <v>-52206.125805593074</v>
      </c>
      <c r="W36" s="65">
        <f t="shared" si="10"/>
        <v>-90999.84672679189</v>
      </c>
      <c r="X36" s="78">
        <f t="shared" si="11"/>
        <v>-144.5898709471056</v>
      </c>
      <c r="Y36" s="78">
        <f t="shared" si="12"/>
        <v>-638.13386566233919</v>
      </c>
      <c r="Z36" s="78">
        <f t="shared" si="13"/>
        <v>44.875406622225945</v>
      </c>
      <c r="AA36" s="78">
        <f t="shared" si="14"/>
        <v>-83.001852666556289</v>
      </c>
      <c r="AB36" s="78">
        <f t="shared" si="15"/>
        <v>6585.6149853351308</v>
      </c>
      <c r="AC36" s="78">
        <f t="shared" si="16"/>
        <v>4257.9276795400156</v>
      </c>
      <c r="AD36" s="78">
        <f t="shared" si="17"/>
        <v>2374.8528730218595</v>
      </c>
      <c r="AE36" s="78">
        <f t="shared" si="18"/>
        <v>1007.1679949432701</v>
      </c>
      <c r="AF36" s="78">
        <f t="shared" si="19"/>
        <v>-1079.9160157907136</v>
      </c>
      <c r="AG36" s="78">
        <f t="shared" si="20"/>
        <v>-2827.8278357256841</v>
      </c>
      <c r="AH36" s="78">
        <f t="shared" si="21"/>
        <v>-6045.6347491652514</v>
      </c>
      <c r="AI36" s="78">
        <f t="shared" si="22"/>
        <v>-13359.464803755163</v>
      </c>
      <c r="AJ36" s="78">
        <f t="shared" si="23"/>
        <v>1441.1898700839151</v>
      </c>
      <c r="AK36" s="78">
        <f t="shared" si="24"/>
        <v>721.98492847292073</v>
      </c>
      <c r="AL36" s="78">
        <f t="shared" si="25"/>
        <v>289.04215509558298</v>
      </c>
      <c r="AM36" s="78">
        <f t="shared" si="26"/>
        <v>144.55674613174097</v>
      </c>
      <c r="AN36" s="78">
        <f t="shared" si="27"/>
        <v>-144.62060963782505</v>
      </c>
      <c r="AO36" s="78">
        <f t="shared" si="28"/>
        <v>-289.29821183980721</v>
      </c>
      <c r="AP36" s="78">
        <f t="shared" si="29"/>
        <v>-723.61199407687081</v>
      </c>
      <c r="AQ36" s="78">
        <f t="shared" si="30"/>
        <v>-1448.100336108505</v>
      </c>
      <c r="AR36" s="60">
        <f t="shared" si="31"/>
        <v>6938.3780499261538</v>
      </c>
      <c r="AS36" s="60">
        <f t="shared" si="32"/>
        <v>6733.1707666156572</v>
      </c>
      <c r="AT36" s="60">
        <f t="shared" si="33"/>
        <v>6585.6149853351308</v>
      </c>
      <c r="AU36" s="60">
        <f t="shared" si="34"/>
        <v>6430.3212163904973</v>
      </c>
      <c r="AV36" s="60">
        <f t="shared" si="35"/>
        <v>6184.3345708272382</v>
      </c>
      <c r="AW36" s="60">
        <f t="shared" si="36"/>
        <v>5744.4388287230777</v>
      </c>
      <c r="AX36" s="60">
        <f t="shared" si="37"/>
        <v>4778.4486371715502</v>
      </c>
      <c r="AY36" s="60">
        <f t="shared" si="38"/>
        <v>4891.1810881392512</v>
      </c>
      <c r="AZ36" s="60">
        <f t="shared" si="39"/>
        <v>4512.914841819822</v>
      </c>
      <c r="BA36" s="60">
        <f t="shared" si="40"/>
        <v>4257.9276795400156</v>
      </c>
      <c r="BB36" s="60">
        <f t="shared" si="41"/>
        <v>4001.0473781827682</v>
      </c>
      <c r="BC36" s="60">
        <f t="shared" si="42"/>
        <v>3612.7137558296431</v>
      </c>
      <c r="BD36" s="60">
        <f t="shared" si="43"/>
        <v>2959.0681777052373</v>
      </c>
      <c r="BE36" s="60">
        <f t="shared" si="44"/>
        <v>1635.3325435641943</v>
      </c>
      <c r="BF36" s="60">
        <f t="shared" si="45"/>
        <v>3084.3243662121154</v>
      </c>
      <c r="BG36" s="60">
        <f t="shared" si="46"/>
        <v>2658.7143453850535</v>
      </c>
      <c r="BH36" s="60">
        <f t="shared" si="47"/>
        <v>2374.8528730218595</v>
      </c>
      <c r="BI36" s="60">
        <f t="shared" si="48"/>
        <v>2090.9323261790223</v>
      </c>
      <c r="BJ36" s="60">
        <f t="shared" si="49"/>
        <v>1664.9996419126546</v>
      </c>
      <c r="BK36" s="60">
        <f t="shared" si="50"/>
        <v>955.15686900593209</v>
      </c>
      <c r="BL36" s="60">
        <f t="shared" si="51"/>
        <v>-463.42292120520369</v>
      </c>
      <c r="BM36" s="60">
        <f t="shared" si="52"/>
        <v>721.98492847292073</v>
      </c>
      <c r="BN36" s="60">
        <f t="shared" si="53"/>
        <v>289.04215509558298</v>
      </c>
      <c r="BO36" s="60">
        <f t="shared" si="54"/>
        <v>0</v>
      </c>
      <c r="BP36" s="60">
        <f t="shared" si="55"/>
        <v>-289.29821183980721</v>
      </c>
      <c r="BQ36" s="60">
        <f t="shared" si="56"/>
        <v>-723.61199407687081</v>
      </c>
      <c r="BR36" s="60">
        <f t="shared" si="57"/>
        <v>-1448.100336108505</v>
      </c>
      <c r="BS36" s="60">
        <f t="shared" si="58"/>
        <v>-2897.76069700373</v>
      </c>
      <c r="BT36" s="60">
        <f t="shared" si="59"/>
        <v>-2151.2688217543791</v>
      </c>
      <c r="BU36" s="60">
        <f t="shared" si="60"/>
        <v>-2555.1845295625662</v>
      </c>
      <c r="BV36" s="60">
        <f t="shared" si="61"/>
        <v>-2827.8278357256841</v>
      </c>
      <c r="BW36" s="60">
        <f t="shared" si="62"/>
        <v>-3102.7446057070665</v>
      </c>
      <c r="BX36" s="60">
        <f t="shared" si="63"/>
        <v>-3518.746852631316</v>
      </c>
      <c r="BY36" s="60">
        <f t="shared" si="64"/>
        <v>-4219.8432631774313</v>
      </c>
      <c r="BZ36" s="60">
        <f t="shared" si="65"/>
        <v>-5642.056215389468</v>
      </c>
      <c r="CA36" s="60">
        <f t="shared" si="66"/>
        <v>-5455.0853594764112</v>
      </c>
      <c r="CB36" s="60">
        <f t="shared" si="67"/>
        <v>-5804.8673201521615</v>
      </c>
      <c r="CC36" s="60">
        <f t="shared" si="68"/>
        <v>-6045.6347491652514</v>
      </c>
      <c r="CD36" s="60">
        <f t="shared" si="69"/>
        <v>-6291.6409226745282</v>
      </c>
      <c r="CE36" s="60">
        <f t="shared" si="70"/>
        <v>-6669.1863088896589</v>
      </c>
      <c r="CF36" s="60">
        <f t="shared" si="71"/>
        <v>-7317.2180464120311</v>
      </c>
      <c r="CG36" s="60">
        <f t="shared" si="72"/>
        <v>-8664.3253537014953</v>
      </c>
      <c r="CH36" s="60">
        <f t="shared" si="73"/>
        <v>-12981.992715507467</v>
      </c>
      <c r="CI36" s="60">
        <f t="shared" si="74"/>
        <v>-13200.05315080658</v>
      </c>
      <c r="CJ36" s="60">
        <f t="shared" si="75"/>
        <v>-13359.464803755163</v>
      </c>
      <c r="CK36" s="60">
        <f t="shared" si="76"/>
        <v>-13529.130958309564</v>
      </c>
      <c r="CL36" s="60">
        <f t="shared" si="77"/>
        <v>-13801.133423229498</v>
      </c>
      <c r="CM36" s="60">
        <f t="shared" si="78"/>
        <v>-14295.197191750394</v>
      </c>
      <c r="CN36" s="60">
        <f t="shared" si="79"/>
        <v>-15403.00773216868</v>
      </c>
    </row>
    <row r="37" spans="1:92" x14ac:dyDescent="0.35">
      <c r="A37" s="3" t="s">
        <v>1</v>
      </c>
      <c r="B37" s="4">
        <f>VLOOKUP(A37,PriceData!$K$4:$L$6,2,FALSE)</f>
        <v>2905</v>
      </c>
      <c r="C37" s="46">
        <f>VLOOKUP(A37,PriceData!$K$4:$M$6,3,FALSE)</f>
        <v>2.1999999999999999E-2</v>
      </c>
      <c r="D37" s="4" t="s">
        <v>108</v>
      </c>
      <c r="E37" s="4" t="s">
        <v>114</v>
      </c>
      <c r="F37" s="4">
        <v>-20</v>
      </c>
      <c r="G37" s="4">
        <v>2992</v>
      </c>
      <c r="H37" s="4" t="s">
        <v>109</v>
      </c>
      <c r="I37" s="5">
        <v>40256</v>
      </c>
      <c r="J37" s="46">
        <f t="shared" ref="J37:J68" si="80">FindImpliedVol(A37, D37, G37, I37)</f>
        <v>0.39756798563679596</v>
      </c>
      <c r="K37" s="30">
        <f>VLOOKUP(I37,PriceData!$A$5:$D$7,MATCH($E37,PriceData!$A$4:$D$4,0),FALSE)</f>
        <v>2.1999999999999999E-2</v>
      </c>
      <c r="L37" s="2">
        <f t="shared" ref="L37:L68" si="81">BSPrice($B37,$J37, $K37, $C37, ($I37-$B$1)/365, $G37, $H37, $D37)</f>
        <v>247.05470680207645</v>
      </c>
      <c r="M37" s="2">
        <f t="shared" ref="M37:M68" si="82">F37*L37</f>
        <v>-4941.0941360415291</v>
      </c>
      <c r="N37" s="4" t="s">
        <v>107</v>
      </c>
      <c r="P37" s="60">
        <f t="shared" ref="P37:P68" si="83">BSDelta(B37, J37, K37, C37, (I37-$B$1)/365, G37, H37, D37)</f>
        <v>-1545.8815481712434</v>
      </c>
      <c r="Q37" s="60">
        <f t="shared" ref="Q37:Q68" si="84">BSGamma(B37, J37, K37, C37, (I37-$B$1)/365, G37, D37)</f>
        <v>3350.5394623296156</v>
      </c>
      <c r="R37" s="58">
        <f t="shared" ref="R37:R68" si="85">BSVega(B37, J37, K37, C37, (I37-$B$1)/365,G37, D37)</f>
        <v>4.963318974727593</v>
      </c>
      <c r="S37" s="58">
        <f t="shared" ref="S37:S68" si="86">BSVolga(B37, J37, K37, C37, (I37-$B$1)/365,G37, D37)</f>
        <v>27.726046042558011</v>
      </c>
      <c r="T37" s="58">
        <f t="shared" ref="T37:T68" si="87">BSTheta(B37,J37,K37, C37, (I37-$B$1)/365, G37, H37, D37)</f>
        <v>-1.4360330952350513</v>
      </c>
      <c r="U37" s="2">
        <f t="shared" ref="U37:U68" si="88">BSRho(B37, J37, K37, C37, (I37-$B$1)/365, G37, H37, D37)</f>
        <v>-3.3402648037859111</v>
      </c>
      <c r="V37" s="65">
        <f t="shared" ref="V37:V68" si="89">$F37*$P37</f>
        <v>30917.630963424868</v>
      </c>
      <c r="W37" s="65">
        <f t="shared" ref="W37:W68" si="90">$F37*$Q37</f>
        <v>-67010.789246592307</v>
      </c>
      <c r="X37" s="78">
        <f t="shared" ref="X37:X68" si="91">$F37*R37</f>
        <v>-99.266379494551856</v>
      </c>
      <c r="Y37" s="78">
        <f t="shared" ref="Y37:Y68" si="92">$F37*S37</f>
        <v>-554.52092085116021</v>
      </c>
      <c r="Z37" s="78">
        <f t="shared" ref="Z37:Z68" si="93">$F37*T37</f>
        <v>28.720661904701025</v>
      </c>
      <c r="AA37" s="78">
        <f t="shared" ref="AA37:AA68" si="94">$F37*U37</f>
        <v>66.805296075718218</v>
      </c>
      <c r="AB37" s="78">
        <f t="shared" ref="AB37:AB68" si="95">(BSPrice($B37*0.8,$J37, $K37, $C37, ($I37-$B$1)/365, $G37, $H37, $D37) - BSPrice($B37,$J37, $K37, $C37, ($I37-$B$1)/365, $G37, $H37, $D37)) * $F37</f>
        <v>-8644.7756488660889</v>
      </c>
      <c r="AC37" s="78">
        <f t="shared" ref="AC37:AC68" si="96">(BSPrice($B37*0.9,$J37, $K37, $C37, ($I37-$B$1)/365, $G37, $H37, $D37) - BSPrice($B37,$J37, $K37, $C37, ($I37-$B$1)/365, $G37, $H37, $D37)) * $F37</f>
        <v>-3753.3658200594755</v>
      </c>
      <c r="AD37" s="78">
        <f t="shared" ref="AD37:AD68" si="97">(BSPrice($B37*0.95,$J37, $K37, $C37, ($I37-$B$1)/365, $G37, $H37, $D37) - BSPrice($B37,$J37, $K37, $C37, ($I37-$B$1)/365, $G37, $H37, $D37)) * $F37</f>
        <v>-1713.5956483743621</v>
      </c>
      <c r="AE37" s="78">
        <f t="shared" ref="AE37:AE68" si="98">(BSPrice($B37*0.98,$J37, $K37, $C37, ($I37-$B$1)/365, $G37, $H37, $D37) - BSPrice($B37,$J37, $K37, $C37, ($I37-$B$1)/365, $G37, $H37, $D37)) * $F37</f>
        <v>-645.21572707630185</v>
      </c>
      <c r="AF37" s="78">
        <f t="shared" ref="AF37:AF68" si="99">(BSPrice($B37*1.02,$J37, $K37, $C37, ($I37-$B$1)/365, $G37, $H37, $D37) - BSPrice($B37,$J37, $K37, $C37, ($I37-$B$1)/365, $G37, $H37, $D37)) * $F37</f>
        <v>591.66638181327016</v>
      </c>
      <c r="AG37" s="78">
        <f t="shared" ref="AG37:AG68" si="100">(BSPrice($B37*1.05,$J37, $K37, $C37, ($I37-$B$1)/365, $G37, $H37, $D37) - BSPrice($B37,$J37, $K37, $C37, ($I37-$B$1)/365, $G37, $H37, $D37)) * $F37</f>
        <v>1380.844234348383</v>
      </c>
      <c r="AH37" s="78">
        <f t="shared" ref="AH37:AH68" si="101">(BSPrice($B37*1.1,$J37, $K37, $C37, ($I37-$B$1)/365, $G37, $H37, $D37) - BSPrice($B37,$J37, $K37, $C37, ($I37-$B$1)/365, $G37, $H37, $D37)) * $F37</f>
        <v>2449.2375968524811</v>
      </c>
      <c r="AI37" s="78">
        <f t="shared" ref="AI37:AI68" si="102">(BSPrice($B37*1.2,$J37, $K37, $C37, ($I37-$B$1)/365, $G37, $H37, $D37) - BSPrice($B37,$J37, $K37, $C37, ($I37-$B$1)/365, $G37, $H37, $D37)) * $F37</f>
        <v>3815.6022552293507</v>
      </c>
      <c r="AJ37" s="78">
        <f t="shared" ref="AJ37:AJ68" si="103">(BSPrice($B37,$J37-0.1, $K37, $C37, ($I37-$B$1)/365, $G37, $H37, $D37) - BSPrice($B37,$J37, $K37, $C37, ($I37-$B$1)/365, $G37, $H37, $D37)) * $F37</f>
        <v>988.58596597710402</v>
      </c>
      <c r="AK37" s="78">
        <f t="shared" ref="AK37:AK68" si="104">(BSPrice($B37,$J37-0.05,$K37,$C37,($I37-$B$1)/365,$G37,$H37,$D37)-BSPrice($B37,$J37,$K37,$C37,($I37-$B$1)/365,$G37,$H37,$D37))*$F37</f>
        <v>495.4973300766369</v>
      </c>
      <c r="AL37" s="78">
        <f t="shared" ref="AL37:AL68" si="105">(BSPrice($B37,$J37-0.02, $K37, $C37, ($I37-$B$1)/365, $G37, $H37, $D37) - BSPrice($B37,$J37, $K37, $C37, ($I37-$B$1)/365, $G37, $H37, $D37)) * $F37</f>
        <v>198.41346509554114</v>
      </c>
      <c r="AM37" s="78">
        <f t="shared" ref="AM37:AM68" si="106">(BSPrice($B37,$J37-0.01, $K37, $C37, ($I37-$B$1)/365, $G37, $H37, $D37) - BSPrice($B37,$J37, $K37, $C37, ($I37-$B$1)/365, $G37, $H37, $D37)) * $F37</f>
        <v>99.237629477834162</v>
      </c>
      <c r="AN37" s="78">
        <f t="shared" ref="AN37:AN68" si="107">(BSPrice($B37,$J37+0.01, $K37, $C37, ($I37-$B$1)/365, $G37, $H37, $D37) - BSPrice($B37,$J37, $K37, $C37, ($I37-$B$1)/365, $G37, $H37, $D37)) * $F37</f>
        <v>-99.293127468818057</v>
      </c>
      <c r="AO37" s="78">
        <f t="shared" ref="AO37:AO68" si="108">(BSPrice($B37,$J37+0.02, $K37, $C37, ($I37-$B$1)/365, $G37, $H37, $D37) - BSPrice($B37,$J37, $K37, $C37, ($I37-$B$1)/365, $G37, $H37, $D37)) * $F37</f>
        <v>-198.63600919770306</v>
      </c>
      <c r="AP37" s="78">
        <f t="shared" ref="AP37:AP68" si="109">(BSPrice($B37,$J37+0.05, $K37, $C37, ($I37-$B$1)/365, $G37, $H37, $D37) - BSPrice($B37,$J37, $K37, $C37, ($I37-$B$1)/365, $G37, $H37, $D37)) * $F37</f>
        <v>-496.91274701454859</v>
      </c>
      <c r="AQ37" s="78">
        <f t="shared" ref="AQ37:AQ68" si="110">(BSPrice($B37,$J37+0.1, $K37, $C37, ($I37-$B$1)/365, $G37, $H37, $D37) - BSPrice($B37,$J37, $K37, $C37, ($I37-$B$1)/365, $G37, $H37, $D37)) * $F37</f>
        <v>-994.61976477246026</v>
      </c>
      <c r="AR37" s="60">
        <f t="shared" ref="AR37:AR68" si="111">(BSPrice($B37*0.8,$J37+-0.05, $K37, $C37, ($I37-$B$1)/365, $G37, $H37, $D37) - BSPrice($B37,$J37, $K37, $C37, ($I37-$B$1)/365, $G37, $H37, $D37)) * $F37</f>
        <v>-8513.7103907284472</v>
      </c>
      <c r="AS37" s="60">
        <f t="shared" ref="AS37:AS68" si="112">(BSPrice($B37*0.8,$J37+-0.02, $K37, $C37, ($I37-$B$1)/365, $G37, $H37, $D37) - BSPrice($B37,$J37, $K37, $C37, ($I37-$B$1)/365, $G37, $H37, $D37)) * $F37</f>
        <v>-8587.1688552149772</v>
      </c>
      <c r="AT37" s="60">
        <f t="shared" ref="AT37:AT68" si="113">(BSPrice($B37*0.8,$J37+0, $K37, $C37, ($I37-$B$1)/365, $G37, $H37, $D37) - BSPrice($B37,$J37, $K37, $C37, ($I37-$B$1)/365, $G37, $H37, $D37)) * $F37</f>
        <v>-8644.7756488660889</v>
      </c>
      <c r="AU37" s="60">
        <f t="shared" ref="AU37:AU68" si="114">(BSPrice($B37*0.8,$J37+0.02, $K37, $C37, ($I37-$B$1)/365, $G37, $H37, $D37) - BSPrice($B37,$J37, $K37, $C37, ($I37-$B$1)/365, $G37, $H37, $D37)) * $F37</f>
        <v>-8709.0041206262504</v>
      </c>
      <c r="AV37" s="60">
        <f t="shared" ref="AV37:AV68" si="115">(BSPrice($B37*0.8,$J37+0.05, $K37, $C37, ($I37-$B$1)/365, $G37, $H37, $D37) - BSPrice($B37,$J37, $K37, $C37, ($I37-$B$1)/365, $G37, $H37, $D37)) * $F37</f>
        <v>-8817.0925523548158</v>
      </c>
      <c r="AW37" s="60">
        <f t="shared" ref="AW37:AW68" si="116">(BSPrice($B37*0.8,$J37+0.1, $K37, $C37, ($I37-$B$1)/365, $G37, $H37, $D37) - BSPrice($B37,$J37, $K37, $C37, ($I37-$B$1)/365, $G37, $H37, $D37)) * $F37</f>
        <v>-9025.7588691577766</v>
      </c>
      <c r="AX37" s="60">
        <f t="shared" ref="AX37:AX68" si="117">(BSPrice($B37*0.8,$J37+0.2, $K37, $C37, ($I37-$B$1)/365, $G37, $H37, $D37) - BSPrice($B37,$J37, $K37, $C37, ($I37-$B$1)/365, $G37, $H37, $D37)) * $F37</f>
        <v>-9531.4420900346122</v>
      </c>
      <c r="AY37" s="60">
        <f t="shared" ref="AY37:AY68" si="118">(BSPrice($B37*0.9,$J37+-0.05, $K37, $C37, ($I37-$B$1)/365, $G37, $H37, $D37) - BSPrice($B37,$J37, $K37, $C37, ($I37-$B$1)/365, $G37, $H37, $D37)) * $F37</f>
        <v>-3417.4451740673339</v>
      </c>
      <c r="AZ37" s="60">
        <f t="shared" ref="AZ37:AZ68" si="119">(BSPrice($B37*0.9,$J37+-0.02, $K37, $C37, ($I37-$B$1)/365, $G37, $H37, $D37) - BSPrice($B37,$J37, $K37, $C37, ($I37-$B$1)/365, $G37, $H37, $D37)) * $F37</f>
        <v>-3615.2530562413631</v>
      </c>
      <c r="BA37" s="60">
        <f t="shared" ref="BA37:BA68" si="120">(BSPrice($B37*0.9,$J37+0, $K37, $C37, ($I37-$B$1)/365, $G37, $H37, $D37) - BSPrice($B37,$J37, $K37, $C37, ($I37-$B$1)/365, $G37, $H37, $D37)) * $F37</f>
        <v>-3753.3658200594755</v>
      </c>
      <c r="BB37" s="60">
        <f t="shared" ref="BB37:BB68" si="121">(BSPrice($B37*0.9,$J37+0.02, $K37, $C37, ($I37-$B$1)/365, $G37, $H37, $D37) - BSPrice($B37,$J37, $K37, $C37, ($I37-$B$1)/365, $G37, $H37, $D37)) * $F37</f>
        <v>-3895.7945040658251</v>
      </c>
      <c r="BC37" s="60">
        <f t="shared" ref="BC37:BC68" si="122">(BSPrice($B37*0.9,$J37+0.05, $K37, $C37, ($I37-$B$1)/365, $G37, $H37, $D37) - BSPrice($B37,$J37, $K37, $C37, ($I37-$B$1)/365, $G37, $H37, $D37)) * $F37</f>
        <v>-4116.4685701437793</v>
      </c>
      <c r="BD37" s="60">
        <f t="shared" ref="BD37:BD68" si="123">(BSPrice($B37*0.9,$J37+0.1, $K37, $C37, ($I37-$B$1)/365, $G37, $H37, $D37) - BSPrice($B37,$J37, $K37, $C37, ($I37-$B$1)/365, $G37, $H37, $D37)) * $F37</f>
        <v>-4499.7222464301285</v>
      </c>
      <c r="BE37" s="60">
        <f t="shared" ref="BE37:BE68" si="124">(BSPrice($B37*0.9,$J37+0.2, $K37, $C37, ($I37-$B$1)/365, $G37, $H37, $D37) - BSPrice($B37,$J37, $K37, $C37, ($I37-$B$1)/365, $G37, $H37, $D37)) * $F37</f>
        <v>-5308.1790963806361</v>
      </c>
      <c r="BF37" s="60">
        <f t="shared" ref="BF37:BF68" si="125">(BSPrice($B37*0.95,$J37+-0.05, $K37, $C37, ($I37-$B$1)/365, $G37, $H37, $D37) - BSPrice($B37,$J37, $K37, $C37, ($I37-$B$1)/365, $G37, $H37, $D37)) * $F37</f>
        <v>-1280.8868094804529</v>
      </c>
      <c r="BG37" s="60">
        <f t="shared" ref="BG37:BG68" si="126">(BSPrice($B37*0.95,$J37+-0.02, $K37, $C37, ($I37-$B$1)/365, $G37, $H37, $D37) - BSPrice($B37,$J37, $K37, $C37, ($I37-$B$1)/365, $G37, $H37, $D37)) * $F37</f>
        <v>-1538.8121264695292</v>
      </c>
      <c r="BH37" s="60">
        <f t="shared" ref="BH37:BH68" si="127">(BSPrice($B37*0.95,$J37+0, $K37, $C37, ($I37-$B$1)/365, $G37, $H37, $D37) - BSPrice($B37,$J37, $K37, $C37, ($I37-$B$1)/365, $G37, $H37, $D37)) * $F37</f>
        <v>-1713.5956483743621</v>
      </c>
      <c r="BI37" s="60">
        <f t="shared" ref="BI37:BI68" si="128">(BSPrice($B37*0.95,$J37+0.02, $K37, $C37, ($I37-$B$1)/365, $G37, $H37, $D37) - BSPrice($B37,$J37, $K37, $C37, ($I37-$B$1)/365, $G37, $H37, $D37)) * $F37</f>
        <v>-1890.2788711783796</v>
      </c>
      <c r="BJ37" s="60">
        <f t="shared" ref="BJ37:BJ68" si="129">(BSPrice($B37*0.95,$J37+0.05, $K37, $C37, ($I37-$B$1)/365, $G37, $H37, $D37) - BSPrice($B37,$J37, $K37, $C37, ($I37-$B$1)/365, $G37, $H37, $D37)) * $F37</f>
        <v>-2158.3164630203828</v>
      </c>
      <c r="BK37" s="60">
        <f t="shared" ref="BK37:BK68" si="130">(BSPrice($B37*0.95,$J37+0.1, $K37, $C37, ($I37-$B$1)/365, $G37, $H37, $D37) - BSPrice($B37,$J37, $K37, $C37, ($I37-$B$1)/365, $G37, $H37, $D37)) * $F37</f>
        <v>-2611.4491652680636</v>
      </c>
      <c r="BL37" s="60">
        <f t="shared" ref="BL37:BL68" si="131">(BSPrice($B37*0.95,$J37+0.2, $K37, $C37, ($I37-$B$1)/365, $G37, $H37, $D37) - BSPrice($B37,$J37, $K37, $C37, ($I37-$B$1)/365, $G37, $H37, $D37)) * $F37</f>
        <v>-3534.1379616321001</v>
      </c>
      <c r="BM37" s="60">
        <f t="shared" ref="BM37:BM68" si="132">(BSPrice($B37*1,$J37+-0.05, $K37, $C37, ($I37-$B$1)/365, $G37, $H37, $D37) - BSPrice($B37,$J37, $K37, $C37, ($I37-$B$1)/365, $G37, $H37, $D37)) * $F37</f>
        <v>495.4973300766369</v>
      </c>
      <c r="BN37" s="60">
        <f t="shared" ref="BN37:BN68" si="133">(BSPrice($B37*1,$J37+-0.02, $K37, $C37, ($I37-$B$1)/365, $G37, $H37, $D37) - BSPrice($B37,$J37, $K37, $C37, ($I37-$B$1)/365, $G37, $H37, $D37)) * $F37</f>
        <v>198.41346509554114</v>
      </c>
      <c r="BO37" s="60">
        <f t="shared" ref="BO37:BO68" si="134">(BSPrice($B37*1,$J37+0, $K37, $C37, ($I37-$B$1)/365, $G37, $H37, $D37) - BSPrice($B37,$J37, $K37, $C37, ($I37-$B$1)/365, $G37, $H37, $D37)) * $F37</f>
        <v>0</v>
      </c>
      <c r="BP37" s="60">
        <f t="shared" ref="BP37:BP68" si="135">(BSPrice($B37*1,$J37+0.02, $K37, $C37, ($I37-$B$1)/365, $G37, $H37, $D37) - BSPrice($B37,$J37, $K37, $C37, ($I37-$B$1)/365, $G37, $H37, $D37)) * $F37</f>
        <v>-198.63600919770306</v>
      </c>
      <c r="BQ37" s="60">
        <f t="shared" ref="BQ37:BQ68" si="136">(BSPrice($B37*1,$J37+0.05, $K37, $C37, ($I37-$B$1)/365, $G37, $H37, $D37) - BSPrice($B37,$J37, $K37, $C37, ($I37-$B$1)/365, $G37, $H37, $D37)) * $F37</f>
        <v>-496.91274701454859</v>
      </c>
      <c r="BR37" s="60">
        <f t="shared" ref="BR37:BR68" si="137">(BSPrice($B37*1,$J37+0.1, $K37, $C37, ($I37-$B$1)/365, $G37, $H37, $D37) - BSPrice($B37,$J37, $K37, $C37, ($I37-$B$1)/365, $G37, $H37, $D37)) * $F37</f>
        <v>-994.61976477246026</v>
      </c>
      <c r="BS37" s="60">
        <f t="shared" ref="BS37:BS68" si="138">(BSPrice($B37*1,$J37+0.2, $K37, $C37, ($I37-$B$1)/365, $G37, $H37, $D37) - BSPrice($B37,$J37, $K37, $C37, ($I37-$B$1)/365, $G37, $H37, $D37)) * $F37</f>
        <v>-1990.8681444162858</v>
      </c>
      <c r="BT37" s="60">
        <f t="shared" ref="BT37:BT68" si="139">(BSPrice($B37*1.05,$J37+-0.05, $K37, $C37, ($I37-$B$1)/365, $G37, $H37, $D37) - BSPrice($B37,$J37, $K37, $C37, ($I37-$B$1)/365, $G37, $H37, $D37)) * $F37</f>
        <v>1893.5222637945071</v>
      </c>
      <c r="BU37" s="60">
        <f t="shared" ref="BU37:BU68" si="140">(BSPrice($B37*1.05,$J37+-0.02, $K37, $C37, ($I37-$B$1)/365, $G37, $H37, $D37) - BSPrice($B37,$J37, $K37, $C37, ($I37-$B$1)/365, $G37, $H37, $D37)) * $F37</f>
        <v>1585.9794871299982</v>
      </c>
      <c r="BV37" s="60">
        <f t="shared" ref="BV37:BV68" si="141">(BSPrice($B37*1.05,$J37+0, $K37, $C37, ($I37-$B$1)/365, $G37, $H37, $D37) - BSPrice($B37,$J37, $K37, $C37, ($I37-$B$1)/365, $G37, $H37, $D37)) * $F37</f>
        <v>1380.844234348383</v>
      </c>
      <c r="BW37" s="60">
        <f t="shared" ref="BW37:BW68" si="142">(BSPrice($B37*1.05,$J37+0.02, $K37, $C37, ($I37-$B$1)/365, $G37, $H37, $D37) - BSPrice($B37,$J37, $K37, $C37, ($I37-$B$1)/365, $G37, $H37, $D37)) * $F37</f>
        <v>1175.6543263993399</v>
      </c>
      <c r="BX37" s="60">
        <f t="shared" ref="BX37:BX68" si="143">(BSPrice($B37*1.05,$J37+0.05, $K37, $C37, ($I37-$B$1)/365, $G37, $H37, $D37) - BSPrice($B37,$J37, $K37, $C37, ($I37-$B$1)/365, $G37, $H37, $D37)) * $F37</f>
        <v>867.81364288471195</v>
      </c>
      <c r="BY37" s="60">
        <f t="shared" ref="BY37:BY68" si="144">(BSPrice($B37*1.05,$J37+0.1, $K37, $C37, ($I37-$B$1)/365, $G37, $H37, $D37) - BSPrice($B37,$J37, $K37, $C37, ($I37-$B$1)/365, $G37, $H37, $D37)) * $F37</f>
        <v>354.73960376739797</v>
      </c>
      <c r="BZ37" s="60">
        <f t="shared" ref="BZ37:BZ68" si="145">(BSPrice($B37*1.05,$J37+0.2, $K37, $C37, ($I37-$B$1)/365, $G37, $H37, $D37) - BSPrice($B37,$J37, $K37, $C37, ($I37-$B$1)/365, $G37, $H37, $D37)) * $F37</f>
        <v>-670.71959668572163</v>
      </c>
      <c r="CA37" s="60">
        <f t="shared" ref="CA37:CA68" si="146">(BSPrice($B37*1.1,$J37+-0.05, $K37, $C37, ($I37-$B$1)/365, $G37, $H37, $D37) - BSPrice($B37,$J37, $K37, $C37, ($I37-$B$1)/365, $G37, $H37, $D37)) * $F37</f>
        <v>2935.1617971867586</v>
      </c>
      <c r="CB37" s="60">
        <f t="shared" ref="CB37:CB68" si="147">(BSPrice($B37*1.1,$J37+-0.02, $K37, $C37, ($I37-$B$1)/365, $G37, $H37, $D37) - BSPrice($B37,$J37, $K37, $C37, ($I37-$B$1)/365, $G37, $H37, $D37)) * $F37</f>
        <v>2644.8558515451623</v>
      </c>
      <c r="CC37" s="60">
        <f t="shared" ref="CC37:CC68" si="148">(BSPrice($B37*1.1,$J37+0, $K37, $C37, ($I37-$B$1)/365, $G37, $H37, $D37) - BSPrice($B37,$J37, $K37, $C37, ($I37-$B$1)/365, $G37, $H37, $D37)) * $F37</f>
        <v>2449.2375968524811</v>
      </c>
      <c r="CD37" s="60">
        <f t="shared" ref="CD37:CD68" si="149">(BSPrice($B37*1.1,$J37+0.02, $K37, $C37, ($I37-$B$1)/365, $G37, $H37, $D37) - BSPrice($B37,$J37, $K37, $C37, ($I37-$B$1)/365, $G37, $H37, $D37)) * $F37</f>
        <v>2252.2364071042693</v>
      </c>
      <c r="CE37" s="60">
        <f t="shared" ref="CE37:CE68" si="150">(BSPrice($B37*1.1,$J37+0.05, $K37, $C37, ($I37-$B$1)/365, $G37, $H37, $D37) - BSPrice($B37,$J37, $K37, $C37, ($I37-$B$1)/365, $G37, $H37, $D37)) * $F37</f>
        <v>1954.5604339226793</v>
      </c>
      <c r="CF37" s="60">
        <f t="shared" ref="CF37:CF68" si="151">(BSPrice($B37*1.1,$J37+0.1, $K37, $C37, ($I37-$B$1)/365, $G37, $H37, $D37) - BSPrice($B37,$J37, $K37, $C37, ($I37-$B$1)/365, $G37, $H37, $D37)) * $F37</f>
        <v>1453.8722339593187</v>
      </c>
      <c r="CG37" s="60">
        <f t="shared" ref="CG37:CG68" si="152">(BSPrice($B37*1.1,$J37+0.2, $K37, $C37, ($I37-$B$1)/365, $G37, $H37, $D37) - BSPrice($B37,$J37, $K37, $C37, ($I37-$B$1)/365, $G37, $H37, $D37)) * $F37</f>
        <v>441.11229389910477</v>
      </c>
      <c r="CH37" s="60">
        <f t="shared" ref="CH37:CH68" si="153">(BSPrice($B37*1.2,$J37+-0.05, $K37, $C37, ($I37-$B$1)/365, $G37, $H37, $D37) - BSPrice($B37,$J37, $K37, $C37, ($I37-$B$1)/365, $G37, $H37, $D37)) * $F37</f>
        <v>4166.5710836994731</v>
      </c>
      <c r="CI37" s="60">
        <f t="shared" ref="CI37:CI68" si="154">(BSPrice($B37*1.2,$J37+-0.02, $K37, $C37, ($I37-$B$1)/365, $G37, $H37, $D37) - BSPrice($B37,$J37, $K37, $C37, ($I37-$B$1)/365, $G37, $H37, $D37)) * $F37</f>
        <v>3961.0254286436452</v>
      </c>
      <c r="CJ37" s="60">
        <f t="shared" ref="CJ37:CJ68" si="155">(BSPrice($B37*1.2,$J37+0, $K37, $C37, ($I37-$B$1)/365, $G37, $H37, $D37) - BSPrice($B37,$J37, $K37, $C37, ($I37-$B$1)/365, $G37, $H37, $D37)) * $F37</f>
        <v>3815.6022552293507</v>
      </c>
      <c r="CK37" s="60">
        <f t="shared" ref="CK37:CK68" si="156">(BSPrice($B37*1.2,$J37+0.02, $K37, $C37, ($I37-$B$1)/365, $G37, $H37, $D37) - BSPrice($B37,$J37, $K37, $C37, ($I37-$B$1)/365, $G37, $H37, $D37)) * $F37</f>
        <v>3664.3041605548137</v>
      </c>
      <c r="CL37" s="60">
        <f t="shared" ref="CL37:CL68" si="157">(BSPrice($B37*1.2,$J37+0.05, $K37, $C37, ($I37-$B$1)/365, $G37, $H37, $D37) - BSPrice($B37,$J37, $K37, $C37, ($I37-$B$1)/365, $G37, $H37, $D37)) * $F37</f>
        <v>3427.689470839166</v>
      </c>
      <c r="CM37" s="60">
        <f t="shared" ref="CM37:CM68" si="158">(BSPrice($B37*1.2,$J37+0.1, $K37, $C37, ($I37-$B$1)/365, $G37, $H37, $D37) - BSPrice($B37,$J37, $K37, $C37, ($I37-$B$1)/365, $G37, $H37, $D37)) * $F37</f>
        <v>3011.8147189472279</v>
      </c>
      <c r="CN37" s="60">
        <f t="shared" ref="CN37:CN68" si="159">(BSPrice($B37*1.2,$J37+0.2, $K37, $C37, ($I37-$B$1)/365, $G37, $H37, $D37) - BSPrice($B37,$J37, $K37, $C37, ($I37-$B$1)/365, $G37, $H37, $D37)) * $F37</f>
        <v>2120.7050482690011</v>
      </c>
    </row>
    <row r="38" spans="1:92" x14ac:dyDescent="0.35">
      <c r="A38" s="3" t="s">
        <v>1</v>
      </c>
      <c r="B38" s="4">
        <f>VLOOKUP(A38,PriceData!$K$4:$L$6,2,FALSE)</f>
        <v>2905</v>
      </c>
      <c r="C38" s="46">
        <f>VLOOKUP(A38,PriceData!$K$4:$M$6,3,FALSE)</f>
        <v>2.1999999999999999E-2</v>
      </c>
      <c r="D38" s="4" t="s">
        <v>108</v>
      </c>
      <c r="E38" s="4" t="s">
        <v>114</v>
      </c>
      <c r="F38" s="4">
        <v>-25</v>
      </c>
      <c r="G38" s="4">
        <v>2556</v>
      </c>
      <c r="H38" s="4" t="s">
        <v>109</v>
      </c>
      <c r="I38" s="5">
        <v>40256</v>
      </c>
      <c r="J38" s="46">
        <f t="shared" si="80"/>
        <v>0.50139327707893011</v>
      </c>
      <c r="K38" s="30">
        <f>VLOOKUP(I38,PriceData!$A$5:$D$7,MATCH($E38,PriceData!$A$4:$D$4,0),FALSE)</f>
        <v>2.1999999999999999E-2</v>
      </c>
      <c r="L38" s="2">
        <f t="shared" si="81"/>
        <v>100.13754085596645</v>
      </c>
      <c r="M38" s="2">
        <f t="shared" si="82"/>
        <v>-2503.4385213991613</v>
      </c>
      <c r="N38" s="4" t="s">
        <v>107</v>
      </c>
      <c r="P38" s="60">
        <f t="shared" si="83"/>
        <v>-700.37470971974722</v>
      </c>
      <c r="Q38" s="60">
        <f t="shared" si="84"/>
        <v>2087.7268891218614</v>
      </c>
      <c r="R38" s="58">
        <f t="shared" si="85"/>
        <v>3.9003019949379456</v>
      </c>
      <c r="S38" s="58">
        <f t="shared" si="86"/>
        <v>262.97250574999822</v>
      </c>
      <c r="T38" s="58">
        <f t="shared" si="87"/>
        <v>-1.4318946058702244</v>
      </c>
      <c r="U38" s="2">
        <f t="shared" si="88"/>
        <v>-1.4913652887437956</v>
      </c>
      <c r="V38" s="65">
        <f t="shared" si="89"/>
        <v>17509.36774299368</v>
      </c>
      <c r="W38" s="65">
        <f t="shared" si="90"/>
        <v>-52193.172228046533</v>
      </c>
      <c r="X38" s="78">
        <f t="shared" si="91"/>
        <v>-97.507549873448639</v>
      </c>
      <c r="Y38" s="78">
        <f t="shared" si="92"/>
        <v>-6574.3126437499559</v>
      </c>
      <c r="Z38" s="78">
        <f t="shared" si="93"/>
        <v>35.79736514675561</v>
      </c>
      <c r="AA38" s="78">
        <f t="shared" si="94"/>
        <v>37.284132218594891</v>
      </c>
      <c r="AB38" s="78">
        <f t="shared" si="95"/>
        <v>-6115.0864334906064</v>
      </c>
      <c r="AC38" s="78">
        <f t="shared" si="96"/>
        <v>-2344.89092809969</v>
      </c>
      <c r="AD38" s="78">
        <f t="shared" si="97"/>
        <v>-1015.1204631460388</v>
      </c>
      <c r="AE38" s="78">
        <f t="shared" si="98"/>
        <v>-371.65373752202697</v>
      </c>
      <c r="AF38" s="78">
        <f t="shared" si="99"/>
        <v>329.89812275912413</v>
      </c>
      <c r="AG38" s="78">
        <f t="shared" si="100"/>
        <v>754.11930016369411</v>
      </c>
      <c r="AH38" s="78">
        <f t="shared" si="101"/>
        <v>1300.840423119547</v>
      </c>
      <c r="AI38" s="78">
        <f t="shared" si="102"/>
        <v>1958.5909790047324</v>
      </c>
      <c r="AJ38" s="78">
        <f t="shared" si="103"/>
        <v>934.87556966086629</v>
      </c>
      <c r="AK38" s="78">
        <f t="shared" si="104"/>
        <v>478.48571924180021</v>
      </c>
      <c r="AL38" s="78">
        <f t="shared" si="105"/>
        <v>193.64959378565061</v>
      </c>
      <c r="AM38" s="78">
        <f t="shared" si="106"/>
        <v>97.172610709998253</v>
      </c>
      <c r="AN38" s="78">
        <f t="shared" si="107"/>
        <v>-97.830245716636455</v>
      </c>
      <c r="AO38" s="78">
        <f t="shared" si="108"/>
        <v>-196.28258101871552</v>
      </c>
      <c r="AP38" s="78">
        <f t="shared" si="109"/>
        <v>-495.0495600311541</v>
      </c>
      <c r="AQ38" s="78">
        <f t="shared" si="110"/>
        <v>-1002.7040410372791</v>
      </c>
      <c r="AR38" s="60">
        <f t="shared" si="111"/>
        <v>-5648.2889560838057</v>
      </c>
      <c r="AS38" s="60">
        <f t="shared" si="112"/>
        <v>-5927.1798173513016</v>
      </c>
      <c r="AT38" s="60">
        <f t="shared" si="113"/>
        <v>-6115.0864334906064</v>
      </c>
      <c r="AU38" s="60">
        <f t="shared" si="114"/>
        <v>-6304.3614595684548</v>
      </c>
      <c r="AV38" s="60">
        <f t="shared" si="115"/>
        <v>-6590.5026504666494</v>
      </c>
      <c r="AW38" s="60">
        <f t="shared" si="116"/>
        <v>-7072.2969546692948</v>
      </c>
      <c r="AX38" s="60">
        <f t="shared" si="117"/>
        <v>-8048.9981355944419</v>
      </c>
      <c r="AY38" s="60">
        <f t="shared" si="118"/>
        <v>-1797.0074700684704</v>
      </c>
      <c r="AZ38" s="60">
        <f t="shared" si="119"/>
        <v>-2125.7278051957401</v>
      </c>
      <c r="BA38" s="60">
        <f t="shared" si="120"/>
        <v>-2344.89092809969</v>
      </c>
      <c r="BB38" s="60">
        <f t="shared" si="121"/>
        <v>-2564.0474280270241</v>
      </c>
      <c r="BC38" s="60">
        <f t="shared" si="122"/>
        <v>-2892.7380441301098</v>
      </c>
      <c r="BD38" s="60">
        <f t="shared" si="123"/>
        <v>-3440.3346066599538</v>
      </c>
      <c r="BE38" s="60">
        <f t="shared" si="124"/>
        <v>-4534.1350220838849</v>
      </c>
      <c r="BF38" s="60">
        <f t="shared" si="125"/>
        <v>-486.94854769554752</v>
      </c>
      <c r="BG38" s="60">
        <f t="shared" si="126"/>
        <v>-803.00357550111698</v>
      </c>
      <c r="BH38" s="60">
        <f t="shared" si="127"/>
        <v>-1015.1204631460388</v>
      </c>
      <c r="BI38" s="60">
        <f t="shared" si="128"/>
        <v>-1228.204811744348</v>
      </c>
      <c r="BJ38" s="60">
        <f t="shared" si="129"/>
        <v>-1549.3902877474625</v>
      </c>
      <c r="BK38" s="60">
        <f t="shared" si="130"/>
        <v>-2088.0641625371309</v>
      </c>
      <c r="BL38" s="60">
        <f t="shared" si="131"/>
        <v>-3174.0909140282924</v>
      </c>
      <c r="BM38" s="60">
        <f t="shared" si="132"/>
        <v>478.48571924180021</v>
      </c>
      <c r="BN38" s="60">
        <f t="shared" si="133"/>
        <v>193.64959378565061</v>
      </c>
      <c r="BO38" s="60">
        <f t="shared" si="134"/>
        <v>0</v>
      </c>
      <c r="BP38" s="60">
        <f t="shared" si="135"/>
        <v>-196.28258101871552</v>
      </c>
      <c r="BQ38" s="60">
        <f t="shared" si="136"/>
        <v>-495.0495600311541</v>
      </c>
      <c r="BR38" s="60">
        <f t="shared" si="137"/>
        <v>-1002.7040410372791</v>
      </c>
      <c r="BS38" s="60">
        <f t="shared" si="138"/>
        <v>-2044.976744579435</v>
      </c>
      <c r="BT38" s="60">
        <f t="shared" si="139"/>
        <v>1165.2338243170832</v>
      </c>
      <c r="BU38" s="60">
        <f t="shared" si="140"/>
        <v>922.31503221238711</v>
      </c>
      <c r="BV38" s="60">
        <f t="shared" si="141"/>
        <v>754.11930016369411</v>
      </c>
      <c r="BW38" s="60">
        <f t="shared" si="142"/>
        <v>581.46128568019151</v>
      </c>
      <c r="BX38" s="60">
        <f t="shared" si="143"/>
        <v>314.98723948129168</v>
      </c>
      <c r="BY38" s="60">
        <f t="shared" si="144"/>
        <v>-146.24618408678316</v>
      </c>
      <c r="BZ38" s="60">
        <f t="shared" si="145"/>
        <v>-1117.9485791541906</v>
      </c>
      <c r="CA38" s="60">
        <f t="shared" si="146"/>
        <v>1638.4247201474764</v>
      </c>
      <c r="CB38" s="60">
        <f t="shared" si="147"/>
        <v>1440.8192016842108</v>
      </c>
      <c r="CC38" s="60">
        <f t="shared" si="148"/>
        <v>1300.840423119547</v>
      </c>
      <c r="CD38" s="60">
        <f t="shared" si="149"/>
        <v>1154.8500112968241</v>
      </c>
      <c r="CE38" s="60">
        <f t="shared" si="150"/>
        <v>925.58956808290986</v>
      </c>
      <c r="CF38" s="60">
        <f t="shared" si="151"/>
        <v>519.46809446326938</v>
      </c>
      <c r="CG38" s="60">
        <f t="shared" si="152"/>
        <v>-364.23633485183871</v>
      </c>
      <c r="CH38" s="60">
        <f t="shared" si="153"/>
        <v>2162.2565727005331</v>
      </c>
      <c r="CI38" s="60">
        <f t="shared" si="154"/>
        <v>2045.8566257144612</v>
      </c>
      <c r="CJ38" s="60">
        <f t="shared" si="155"/>
        <v>1958.5909790047324</v>
      </c>
      <c r="CK38" s="60">
        <f t="shared" si="156"/>
        <v>1863.9051131725664</v>
      </c>
      <c r="CL38" s="60">
        <f t="shared" si="157"/>
        <v>1708.6250423464903</v>
      </c>
      <c r="CM38" s="60">
        <f t="shared" si="158"/>
        <v>1417.1579405736381</v>
      </c>
      <c r="CN38" s="60">
        <f t="shared" si="159"/>
        <v>729.51465459916278</v>
      </c>
    </row>
    <row r="39" spans="1:92" x14ac:dyDescent="0.35">
      <c r="A39" s="3" t="s">
        <v>1</v>
      </c>
      <c r="B39" s="4">
        <f>VLOOKUP(A39,PriceData!$K$4:$L$6,2,FALSE)</f>
        <v>2905</v>
      </c>
      <c r="C39" s="46">
        <f>VLOOKUP(A39,PriceData!$K$4:$M$6,3,FALSE)</f>
        <v>2.1999999999999999E-2</v>
      </c>
      <c r="D39" s="4" t="s">
        <v>108</v>
      </c>
      <c r="E39" s="4" t="s">
        <v>114</v>
      </c>
      <c r="F39" s="4">
        <v>-50</v>
      </c>
      <c r="G39" s="4">
        <v>3079</v>
      </c>
      <c r="H39" s="4" t="s">
        <v>111</v>
      </c>
      <c r="I39" s="5">
        <v>40256</v>
      </c>
      <c r="J39" s="46">
        <f t="shared" si="80"/>
        <v>0.38870814783338209</v>
      </c>
      <c r="K39" s="30">
        <f>VLOOKUP(I39,PriceData!$A$5:$D$7,MATCH($E39,PriceData!$A$4:$D$4,0),FALSE)</f>
        <v>2.1999999999999999E-2</v>
      </c>
      <c r="L39" s="2">
        <f t="shared" si="81"/>
        <v>124.39082072260032</v>
      </c>
      <c r="M39" s="2">
        <f t="shared" si="82"/>
        <v>-6219.5410361300164</v>
      </c>
      <c r="N39" s="4" t="s">
        <v>110</v>
      </c>
      <c r="P39" s="60">
        <f t="shared" si="83"/>
        <v>1146.6592317215129</v>
      </c>
      <c r="Q39" s="60">
        <f t="shared" si="84"/>
        <v>3322.8744596476458</v>
      </c>
      <c r="R39" s="58">
        <f t="shared" si="85"/>
        <v>4.8126427186350194</v>
      </c>
      <c r="S39" s="58">
        <f t="shared" si="86"/>
        <v>140.12612368576524</v>
      </c>
      <c r="T39" s="58">
        <f t="shared" si="87"/>
        <v>-1.3680270573624032</v>
      </c>
      <c r="U39" s="2">
        <f t="shared" si="88"/>
        <v>1.9045000533678369</v>
      </c>
      <c r="V39" s="65">
        <f t="shared" si="89"/>
        <v>-57332.961586075646</v>
      </c>
      <c r="W39" s="65">
        <f t="shared" si="90"/>
        <v>-166143.72298238229</v>
      </c>
      <c r="X39" s="78">
        <f t="shared" si="91"/>
        <v>-240.63213593175098</v>
      </c>
      <c r="Y39" s="78">
        <f t="shared" si="92"/>
        <v>-7006.3061842882616</v>
      </c>
      <c r="Z39" s="78">
        <f t="shared" si="93"/>
        <v>68.401352868120156</v>
      </c>
      <c r="AA39" s="78">
        <f t="shared" si="94"/>
        <v>-95.225002668391852</v>
      </c>
      <c r="AB39" s="78">
        <f t="shared" si="95"/>
        <v>5788.216150180805</v>
      </c>
      <c r="AC39" s="78">
        <f t="shared" si="96"/>
        <v>4152.2203299065695</v>
      </c>
      <c r="AD39" s="78">
        <f t="shared" si="97"/>
        <v>2458.3186651695487</v>
      </c>
      <c r="AE39" s="78">
        <f t="shared" si="98"/>
        <v>1080.5322968184385</v>
      </c>
      <c r="AF39" s="78">
        <f t="shared" si="99"/>
        <v>-1213.2890104581691</v>
      </c>
      <c r="AG39" s="78">
        <f t="shared" si="100"/>
        <v>-3282.8994369081383</v>
      </c>
      <c r="AH39" s="78">
        <f t="shared" si="101"/>
        <v>-7379.3667934422101</v>
      </c>
      <c r="AI39" s="78">
        <f t="shared" si="102"/>
        <v>-17692.622076504638</v>
      </c>
      <c r="AJ39" s="78">
        <f t="shared" si="103"/>
        <v>2358.9068876758688</v>
      </c>
      <c r="AK39" s="78">
        <f t="shared" si="104"/>
        <v>1193.0653551317221</v>
      </c>
      <c r="AL39" s="78">
        <f t="shared" si="105"/>
        <v>479.78386915639248</v>
      </c>
      <c r="AM39" s="78">
        <f t="shared" si="106"/>
        <v>240.27217038625963</v>
      </c>
      <c r="AN39" s="78">
        <f t="shared" si="107"/>
        <v>-240.97325167210215</v>
      </c>
      <c r="AO39" s="78">
        <f t="shared" si="108"/>
        <v>-482.59361474369484</v>
      </c>
      <c r="AP39" s="78">
        <f t="shared" si="109"/>
        <v>-1210.8667181325529</v>
      </c>
      <c r="AQ39" s="78">
        <f t="shared" si="110"/>
        <v>-2433.7470305245515</v>
      </c>
      <c r="AR39" s="60">
        <f t="shared" si="111"/>
        <v>6017.8782033769749</v>
      </c>
      <c r="AS39" s="60">
        <f t="shared" si="112"/>
        <v>5892.195906679578</v>
      </c>
      <c r="AT39" s="60">
        <f t="shared" si="113"/>
        <v>5788.216150180805</v>
      </c>
      <c r="AU39" s="60">
        <f t="shared" si="114"/>
        <v>5668.0829734012887</v>
      </c>
      <c r="AV39" s="60">
        <f t="shared" si="115"/>
        <v>5458.2369355552246</v>
      </c>
      <c r="AW39" s="60">
        <f t="shared" si="116"/>
        <v>5033.7016942452483</v>
      </c>
      <c r="AX39" s="60">
        <f t="shared" si="117"/>
        <v>3941.4619639563712</v>
      </c>
      <c r="AY39" s="60">
        <f t="shared" si="118"/>
        <v>4855.9207355049039</v>
      </c>
      <c r="AZ39" s="60">
        <f t="shared" si="119"/>
        <v>4446.1526531617355</v>
      </c>
      <c r="BA39" s="60">
        <f t="shared" si="120"/>
        <v>4152.2203299065695</v>
      </c>
      <c r="BB39" s="60">
        <f t="shared" si="121"/>
        <v>3843.6442828136846</v>
      </c>
      <c r="BC39" s="60">
        <f t="shared" si="122"/>
        <v>3356.5343155635501</v>
      </c>
      <c r="BD39" s="60">
        <f t="shared" si="123"/>
        <v>2490.3555436720981</v>
      </c>
      <c r="BE39" s="60">
        <f t="shared" si="124"/>
        <v>606.83463880990871</v>
      </c>
      <c r="BF39" s="60">
        <f t="shared" si="125"/>
        <v>3434.3789989139168</v>
      </c>
      <c r="BG39" s="60">
        <f t="shared" si="126"/>
        <v>2856.4139987418057</v>
      </c>
      <c r="BH39" s="60">
        <f t="shared" si="127"/>
        <v>2458.3186651695487</v>
      </c>
      <c r="BI39" s="60">
        <f t="shared" si="128"/>
        <v>2051.5340641843577</v>
      </c>
      <c r="BJ39" s="60">
        <f t="shared" si="129"/>
        <v>1427.4101657450444</v>
      </c>
      <c r="BK39" s="60">
        <f t="shared" si="130"/>
        <v>357.08279213195624</v>
      </c>
      <c r="BL39" s="60">
        <f t="shared" si="131"/>
        <v>-1863.0955230332177</v>
      </c>
      <c r="BM39" s="60">
        <f t="shared" si="132"/>
        <v>1193.0653551317221</v>
      </c>
      <c r="BN39" s="60">
        <f t="shared" si="133"/>
        <v>479.78386915639248</v>
      </c>
      <c r="BO39" s="60">
        <f t="shared" si="134"/>
        <v>0</v>
      </c>
      <c r="BP39" s="60">
        <f t="shared" si="135"/>
        <v>-482.59361474369484</v>
      </c>
      <c r="BQ39" s="60">
        <f t="shared" si="136"/>
        <v>-1210.8667181325529</v>
      </c>
      <c r="BR39" s="60">
        <f t="shared" si="137"/>
        <v>-2433.7470305245515</v>
      </c>
      <c r="BS39" s="60">
        <f t="shared" si="138"/>
        <v>-4901.6891086045634</v>
      </c>
      <c r="BT39" s="60">
        <f t="shared" si="139"/>
        <v>-1975.4300638912866</v>
      </c>
      <c r="BU39" s="60">
        <f t="shared" si="140"/>
        <v>-2759.9688437154837</v>
      </c>
      <c r="BV39" s="60">
        <f t="shared" si="141"/>
        <v>-3282.8994369081383</v>
      </c>
      <c r="BW39" s="60">
        <f t="shared" si="142"/>
        <v>-3805.7250422995539</v>
      </c>
      <c r="BX39" s="60">
        <f t="shared" si="143"/>
        <v>-4589.7201227708647</v>
      </c>
      <c r="BY39" s="60">
        <f t="shared" si="144"/>
        <v>-5895.5764502974662</v>
      </c>
      <c r="BZ39" s="60">
        <f t="shared" si="145"/>
        <v>-8503.4149615821607</v>
      </c>
      <c r="CA39" s="60">
        <f t="shared" si="146"/>
        <v>-6075.89250941931</v>
      </c>
      <c r="CB39" s="60">
        <f t="shared" si="147"/>
        <v>-6856.9172312384526</v>
      </c>
      <c r="CC39" s="60">
        <f t="shared" si="148"/>
        <v>-7379.3667934422101</v>
      </c>
      <c r="CD39" s="60">
        <f t="shared" si="149"/>
        <v>-7902.9490353893434</v>
      </c>
      <c r="CE39" s="60">
        <f t="shared" si="150"/>
        <v>-8690.0331559888455</v>
      </c>
      <c r="CF39" s="60">
        <f t="shared" si="151"/>
        <v>-10005.189236555856</v>
      </c>
      <c r="CG39" s="60">
        <f t="shared" si="152"/>
        <v>-12642.438180163839</v>
      </c>
      <c r="CH39" s="60">
        <f t="shared" si="153"/>
        <v>-16669.596356394304</v>
      </c>
      <c r="CI39" s="60">
        <f t="shared" si="154"/>
        <v>-17273.035328134716</v>
      </c>
      <c r="CJ39" s="60">
        <f t="shared" si="155"/>
        <v>-17692.622076504638</v>
      </c>
      <c r="CK39" s="60">
        <f t="shared" si="156"/>
        <v>-18124.069663930783</v>
      </c>
      <c r="CL39" s="60">
        <f t="shared" si="157"/>
        <v>-18790.424717924867</v>
      </c>
      <c r="CM39" s="60">
        <f t="shared" si="158"/>
        <v>-19942.834029884678</v>
      </c>
      <c r="CN39" s="60">
        <f t="shared" si="159"/>
        <v>-22359.61623787379</v>
      </c>
    </row>
    <row r="40" spans="1:92" x14ac:dyDescent="0.35">
      <c r="A40" s="3" t="s">
        <v>1</v>
      </c>
      <c r="B40" s="4">
        <f>VLOOKUP(A40,PriceData!$K$4:$L$6,2,FALSE)</f>
        <v>2905</v>
      </c>
      <c r="C40" s="46">
        <f>VLOOKUP(A40,PriceData!$K$4:$M$6,3,FALSE)</f>
        <v>2.1999999999999999E-2</v>
      </c>
      <c r="D40" s="4" t="s">
        <v>108</v>
      </c>
      <c r="E40" s="4" t="s">
        <v>114</v>
      </c>
      <c r="F40" s="4">
        <v>25</v>
      </c>
      <c r="G40" s="4">
        <v>2469</v>
      </c>
      <c r="H40" s="4" t="s">
        <v>109</v>
      </c>
      <c r="I40" s="5">
        <v>40256</v>
      </c>
      <c r="J40" s="46">
        <f t="shared" si="80"/>
        <v>0.53427360882026176</v>
      </c>
      <c r="K40" s="30">
        <f>VLOOKUP(I40,PriceData!$A$5:$D$7,MATCH($E40,PriceData!$A$4:$D$4,0),FALSE)</f>
        <v>2.1999999999999999E-2</v>
      </c>
      <c r="L40" s="2">
        <f t="shared" si="81"/>
        <v>86.784698579854762</v>
      </c>
      <c r="M40" s="2">
        <f t="shared" si="82"/>
        <v>2169.6174644963689</v>
      </c>
      <c r="N40" s="4" t="s">
        <v>107</v>
      </c>
      <c r="P40" s="60">
        <f t="shared" si="83"/>
        <v>-595.89279390581737</v>
      </c>
      <c r="Q40" s="60">
        <f t="shared" si="84"/>
        <v>1787.2730758930818</v>
      </c>
      <c r="R40" s="58">
        <f t="shared" si="85"/>
        <v>3.5579568691462296</v>
      </c>
      <c r="S40" s="58">
        <f t="shared" si="86"/>
        <v>322.30979330273726</v>
      </c>
      <c r="T40" s="58">
        <f t="shared" si="87"/>
        <v>-1.392506241827222</v>
      </c>
      <c r="U40" s="2">
        <f t="shared" si="88"/>
        <v>-1.2718375202472794</v>
      </c>
      <c r="V40" s="65">
        <f t="shared" si="89"/>
        <v>-14897.319847645434</v>
      </c>
      <c r="W40" s="65">
        <f t="shared" si="90"/>
        <v>44681.826897327046</v>
      </c>
      <c r="X40" s="78">
        <f t="shared" si="91"/>
        <v>88.948921728655733</v>
      </c>
      <c r="Y40" s="78">
        <f t="shared" si="92"/>
        <v>8057.7448325684318</v>
      </c>
      <c r="Z40" s="78">
        <f t="shared" si="93"/>
        <v>-34.812656045680548</v>
      </c>
      <c r="AA40" s="78">
        <f t="shared" si="94"/>
        <v>-31.795938006181984</v>
      </c>
      <c r="AB40" s="78">
        <f t="shared" si="95"/>
        <v>5299.320915809787</v>
      </c>
      <c r="AC40" s="78">
        <f t="shared" si="96"/>
        <v>2005.5424289164052</v>
      </c>
      <c r="AD40" s="78">
        <f t="shared" si="97"/>
        <v>865.17041418761664</v>
      </c>
      <c r="AE40" s="78">
        <f t="shared" si="98"/>
        <v>316.36573890552881</v>
      </c>
      <c r="AF40" s="78">
        <f t="shared" si="99"/>
        <v>-280.61252664572578</v>
      </c>
      <c r="AG40" s="78">
        <f t="shared" si="100"/>
        <v>-641.46428343261027</v>
      </c>
      <c r="AH40" s="78">
        <f t="shared" si="101"/>
        <v>-1107.4791026280282</v>
      </c>
      <c r="AI40" s="78">
        <f t="shared" si="102"/>
        <v>-1673.6053580214716</v>
      </c>
      <c r="AJ40" s="78">
        <f t="shared" si="103"/>
        <v>-841.51680115733575</v>
      </c>
      <c r="AK40" s="78">
        <f t="shared" si="104"/>
        <v>-433.78414570350401</v>
      </c>
      <c r="AL40" s="78">
        <f t="shared" si="105"/>
        <v>-176.23193586175319</v>
      </c>
      <c r="AM40" s="78">
        <f t="shared" si="106"/>
        <v>-88.53933811197976</v>
      </c>
      <c r="AN40" s="78">
        <f t="shared" si="107"/>
        <v>89.345301949646228</v>
      </c>
      <c r="AO40" s="78">
        <f t="shared" si="108"/>
        <v>179.45806471068977</v>
      </c>
      <c r="AP40" s="78">
        <f t="shared" si="109"/>
        <v>454.04724229219937</v>
      </c>
      <c r="AQ40" s="78">
        <f t="shared" si="110"/>
        <v>924.01309077244491</v>
      </c>
      <c r="AR40" s="60">
        <f t="shared" si="111"/>
        <v>4807.9601573415885</v>
      </c>
      <c r="AS40" s="60">
        <f t="shared" si="112"/>
        <v>5102.4110679959986</v>
      </c>
      <c r="AT40" s="60">
        <f t="shared" si="113"/>
        <v>5299.320915809787</v>
      </c>
      <c r="AU40" s="60">
        <f t="shared" si="114"/>
        <v>5496.6416298167896</v>
      </c>
      <c r="AV40" s="60">
        <f t="shared" si="115"/>
        <v>5793.2721384804863</v>
      </c>
      <c r="AW40" s="60">
        <f t="shared" si="116"/>
        <v>6289.0068809665281</v>
      </c>
      <c r="AX40" s="60">
        <f t="shared" si="117"/>
        <v>7283.599897762585</v>
      </c>
      <c r="AY40" s="60">
        <f t="shared" si="118"/>
        <v>1482.2935777623711</v>
      </c>
      <c r="AZ40" s="60">
        <f t="shared" si="119"/>
        <v>1795.9023200482279</v>
      </c>
      <c r="BA40" s="60">
        <f t="shared" si="120"/>
        <v>2005.5424289164052</v>
      </c>
      <c r="BB40" s="60">
        <f t="shared" si="121"/>
        <v>2215.5630514061586</v>
      </c>
      <c r="BC40" s="60">
        <f t="shared" si="122"/>
        <v>2531.1911001805015</v>
      </c>
      <c r="BD40" s="60">
        <f t="shared" si="123"/>
        <v>3058.4629783353621</v>
      </c>
      <c r="BE40" s="60">
        <f t="shared" si="124"/>
        <v>4115.7274874638233</v>
      </c>
      <c r="BF40" s="60">
        <f t="shared" si="125"/>
        <v>376.07147203364377</v>
      </c>
      <c r="BG40" s="60">
        <f t="shared" si="126"/>
        <v>668.13262528027906</v>
      </c>
      <c r="BH40" s="60">
        <f t="shared" si="127"/>
        <v>865.17041418761664</v>
      </c>
      <c r="BI40" s="60">
        <f t="shared" si="128"/>
        <v>1063.8381088462752</v>
      </c>
      <c r="BJ40" s="60">
        <f t="shared" si="129"/>
        <v>1364.5231135762856</v>
      </c>
      <c r="BK40" s="60">
        <f t="shared" si="130"/>
        <v>1871.6421726712183</v>
      </c>
      <c r="BL40" s="60">
        <f t="shared" si="131"/>
        <v>2902.3081564335457</v>
      </c>
      <c r="BM40" s="60">
        <f t="shared" si="132"/>
        <v>-433.78414570350401</v>
      </c>
      <c r="BN40" s="60">
        <f t="shared" si="133"/>
        <v>-176.23193586175319</v>
      </c>
      <c r="BO40" s="60">
        <f t="shared" si="134"/>
        <v>0</v>
      </c>
      <c r="BP40" s="60">
        <f t="shared" si="135"/>
        <v>179.45806471068977</v>
      </c>
      <c r="BQ40" s="60">
        <f t="shared" si="136"/>
        <v>454.04724229219937</v>
      </c>
      <c r="BR40" s="60">
        <f t="shared" si="137"/>
        <v>924.01309077244491</v>
      </c>
      <c r="BS40" s="60">
        <f t="shared" si="138"/>
        <v>1899.2607376265737</v>
      </c>
      <c r="BT40" s="60">
        <f t="shared" si="139"/>
        <v>-1009.3853104859661</v>
      </c>
      <c r="BU40" s="60">
        <f t="shared" si="140"/>
        <v>-792.56900981033311</v>
      </c>
      <c r="BV40" s="60">
        <f t="shared" si="141"/>
        <v>-641.46428343261027</v>
      </c>
      <c r="BW40" s="60">
        <f t="shared" si="142"/>
        <v>-485.60218855888024</v>
      </c>
      <c r="BX40" s="60">
        <f t="shared" si="143"/>
        <v>-243.71384737290498</v>
      </c>
      <c r="BY40" s="60">
        <f t="shared" si="144"/>
        <v>178.27080976369984</v>
      </c>
      <c r="BZ40" s="60">
        <f t="shared" si="145"/>
        <v>1077.9789805533142</v>
      </c>
      <c r="CA40" s="60">
        <f t="shared" si="146"/>
        <v>-1407.8641486924951</v>
      </c>
      <c r="CB40" s="60">
        <f t="shared" si="147"/>
        <v>-1232.4425776927285</v>
      </c>
      <c r="CC40" s="60">
        <f t="shared" si="148"/>
        <v>-1107.4791026280282</v>
      </c>
      <c r="CD40" s="60">
        <f t="shared" si="149"/>
        <v>-976.58358269850396</v>
      </c>
      <c r="CE40" s="60">
        <f t="shared" si="150"/>
        <v>-769.96607893865848</v>
      </c>
      <c r="CF40" s="60">
        <f t="shared" si="151"/>
        <v>-401.16842639333896</v>
      </c>
      <c r="CG40" s="60">
        <f t="shared" si="152"/>
        <v>411.06624551527773</v>
      </c>
      <c r="CH40" s="60">
        <f t="shared" si="153"/>
        <v>-1855.9891376252067</v>
      </c>
      <c r="CI40" s="60">
        <f t="shared" si="154"/>
        <v>-1751.8127993567439</v>
      </c>
      <c r="CJ40" s="60">
        <f t="shared" si="155"/>
        <v>-1673.6053580214716</v>
      </c>
      <c r="CK40" s="60">
        <f t="shared" si="156"/>
        <v>-1588.6033670422962</v>
      </c>
      <c r="CL40" s="60">
        <f t="shared" si="157"/>
        <v>-1448.8392445976117</v>
      </c>
      <c r="CM40" s="60">
        <f t="shared" si="158"/>
        <v>-1185.2411641895628</v>
      </c>
      <c r="CN40" s="60">
        <f t="shared" si="159"/>
        <v>-557.49510796998857</v>
      </c>
    </row>
    <row r="41" spans="1:92" x14ac:dyDescent="0.35">
      <c r="A41" s="3" t="s">
        <v>1</v>
      </c>
      <c r="B41" s="4">
        <f>VLOOKUP(A41,PriceData!$K$4:$L$6,2,FALSE)</f>
        <v>2905</v>
      </c>
      <c r="C41" s="46">
        <f>VLOOKUP(A41,PriceData!$K$4:$M$6,3,FALSE)</f>
        <v>2.1999999999999999E-2</v>
      </c>
      <c r="D41" s="4" t="s">
        <v>108</v>
      </c>
      <c r="E41" s="4" t="s">
        <v>114</v>
      </c>
      <c r="F41" s="4">
        <v>-20</v>
      </c>
      <c r="G41" s="4">
        <v>2992</v>
      </c>
      <c r="H41" s="4" t="s">
        <v>109</v>
      </c>
      <c r="I41" s="5">
        <v>40256</v>
      </c>
      <c r="J41" s="46">
        <f t="shared" si="80"/>
        <v>0.39756798563679596</v>
      </c>
      <c r="K41" s="30">
        <f>VLOOKUP(I41,PriceData!$A$5:$D$7,MATCH($E41,PriceData!$A$4:$D$4,0),FALSE)</f>
        <v>2.1999999999999999E-2</v>
      </c>
      <c r="L41" s="2">
        <f t="shared" si="81"/>
        <v>247.05470680207645</v>
      </c>
      <c r="M41" s="2">
        <f t="shared" si="82"/>
        <v>-4941.0941360415291</v>
      </c>
      <c r="N41" s="4" t="s">
        <v>107</v>
      </c>
      <c r="P41" s="60">
        <f t="shared" si="83"/>
        <v>-1545.8815481712434</v>
      </c>
      <c r="Q41" s="60">
        <f t="shared" si="84"/>
        <v>3350.5394623296156</v>
      </c>
      <c r="R41" s="58">
        <f t="shared" si="85"/>
        <v>4.963318974727593</v>
      </c>
      <c r="S41" s="58">
        <f t="shared" si="86"/>
        <v>27.726046042558011</v>
      </c>
      <c r="T41" s="58">
        <f t="shared" si="87"/>
        <v>-1.4360330952350513</v>
      </c>
      <c r="U41" s="2">
        <f t="shared" si="88"/>
        <v>-3.3402648037859111</v>
      </c>
      <c r="V41" s="65">
        <f t="shared" si="89"/>
        <v>30917.630963424868</v>
      </c>
      <c r="W41" s="65">
        <f t="shared" si="90"/>
        <v>-67010.789246592307</v>
      </c>
      <c r="X41" s="78">
        <f t="shared" si="91"/>
        <v>-99.266379494551856</v>
      </c>
      <c r="Y41" s="78">
        <f t="shared" si="92"/>
        <v>-554.52092085116021</v>
      </c>
      <c r="Z41" s="78">
        <f t="shared" si="93"/>
        <v>28.720661904701025</v>
      </c>
      <c r="AA41" s="78">
        <f t="shared" si="94"/>
        <v>66.805296075718218</v>
      </c>
      <c r="AB41" s="78">
        <f t="shared" si="95"/>
        <v>-8644.7756488660889</v>
      </c>
      <c r="AC41" s="78">
        <f t="shared" si="96"/>
        <v>-3753.3658200594755</v>
      </c>
      <c r="AD41" s="78">
        <f t="shared" si="97"/>
        <v>-1713.5956483743621</v>
      </c>
      <c r="AE41" s="78">
        <f t="shared" si="98"/>
        <v>-645.21572707630185</v>
      </c>
      <c r="AF41" s="78">
        <f t="shared" si="99"/>
        <v>591.66638181327016</v>
      </c>
      <c r="AG41" s="78">
        <f t="shared" si="100"/>
        <v>1380.844234348383</v>
      </c>
      <c r="AH41" s="78">
        <f t="shared" si="101"/>
        <v>2449.2375968524811</v>
      </c>
      <c r="AI41" s="78">
        <f t="shared" si="102"/>
        <v>3815.6022552293507</v>
      </c>
      <c r="AJ41" s="78">
        <f t="shared" si="103"/>
        <v>988.58596597710402</v>
      </c>
      <c r="AK41" s="78">
        <f t="shared" si="104"/>
        <v>495.4973300766369</v>
      </c>
      <c r="AL41" s="78">
        <f t="shared" si="105"/>
        <v>198.41346509554114</v>
      </c>
      <c r="AM41" s="78">
        <f t="shared" si="106"/>
        <v>99.237629477834162</v>
      </c>
      <c r="AN41" s="78">
        <f t="shared" si="107"/>
        <v>-99.293127468818057</v>
      </c>
      <c r="AO41" s="78">
        <f t="shared" si="108"/>
        <v>-198.63600919770306</v>
      </c>
      <c r="AP41" s="78">
        <f t="shared" si="109"/>
        <v>-496.91274701454859</v>
      </c>
      <c r="AQ41" s="78">
        <f t="shared" si="110"/>
        <v>-994.61976477246026</v>
      </c>
      <c r="AR41" s="60">
        <f t="shared" si="111"/>
        <v>-8513.7103907284472</v>
      </c>
      <c r="AS41" s="60">
        <f t="shared" si="112"/>
        <v>-8587.1688552149772</v>
      </c>
      <c r="AT41" s="60">
        <f t="shared" si="113"/>
        <v>-8644.7756488660889</v>
      </c>
      <c r="AU41" s="60">
        <f t="shared" si="114"/>
        <v>-8709.0041206262504</v>
      </c>
      <c r="AV41" s="60">
        <f t="shared" si="115"/>
        <v>-8817.0925523548158</v>
      </c>
      <c r="AW41" s="60">
        <f t="shared" si="116"/>
        <v>-9025.7588691577766</v>
      </c>
      <c r="AX41" s="60">
        <f t="shared" si="117"/>
        <v>-9531.4420900346122</v>
      </c>
      <c r="AY41" s="60">
        <f t="shared" si="118"/>
        <v>-3417.4451740673339</v>
      </c>
      <c r="AZ41" s="60">
        <f t="shared" si="119"/>
        <v>-3615.2530562413631</v>
      </c>
      <c r="BA41" s="60">
        <f t="shared" si="120"/>
        <v>-3753.3658200594755</v>
      </c>
      <c r="BB41" s="60">
        <f t="shared" si="121"/>
        <v>-3895.7945040658251</v>
      </c>
      <c r="BC41" s="60">
        <f t="shared" si="122"/>
        <v>-4116.4685701437793</v>
      </c>
      <c r="BD41" s="60">
        <f t="shared" si="123"/>
        <v>-4499.7222464301285</v>
      </c>
      <c r="BE41" s="60">
        <f t="shared" si="124"/>
        <v>-5308.1790963806361</v>
      </c>
      <c r="BF41" s="60">
        <f t="shared" si="125"/>
        <v>-1280.8868094804529</v>
      </c>
      <c r="BG41" s="60">
        <f t="shared" si="126"/>
        <v>-1538.8121264695292</v>
      </c>
      <c r="BH41" s="60">
        <f t="shared" si="127"/>
        <v>-1713.5956483743621</v>
      </c>
      <c r="BI41" s="60">
        <f t="shared" si="128"/>
        <v>-1890.2788711783796</v>
      </c>
      <c r="BJ41" s="60">
        <f t="shared" si="129"/>
        <v>-2158.3164630203828</v>
      </c>
      <c r="BK41" s="60">
        <f t="shared" si="130"/>
        <v>-2611.4491652680636</v>
      </c>
      <c r="BL41" s="60">
        <f t="shared" si="131"/>
        <v>-3534.1379616321001</v>
      </c>
      <c r="BM41" s="60">
        <f t="shared" si="132"/>
        <v>495.4973300766369</v>
      </c>
      <c r="BN41" s="60">
        <f t="shared" si="133"/>
        <v>198.41346509554114</v>
      </c>
      <c r="BO41" s="60">
        <f t="shared" si="134"/>
        <v>0</v>
      </c>
      <c r="BP41" s="60">
        <f t="shared" si="135"/>
        <v>-198.63600919770306</v>
      </c>
      <c r="BQ41" s="60">
        <f t="shared" si="136"/>
        <v>-496.91274701454859</v>
      </c>
      <c r="BR41" s="60">
        <f t="shared" si="137"/>
        <v>-994.61976477246026</v>
      </c>
      <c r="BS41" s="60">
        <f t="shared" si="138"/>
        <v>-1990.8681444162858</v>
      </c>
      <c r="BT41" s="60">
        <f t="shared" si="139"/>
        <v>1893.5222637945071</v>
      </c>
      <c r="BU41" s="60">
        <f t="shared" si="140"/>
        <v>1585.9794871299982</v>
      </c>
      <c r="BV41" s="60">
        <f t="shared" si="141"/>
        <v>1380.844234348383</v>
      </c>
      <c r="BW41" s="60">
        <f t="shared" si="142"/>
        <v>1175.6543263993399</v>
      </c>
      <c r="BX41" s="60">
        <f t="shared" si="143"/>
        <v>867.81364288471195</v>
      </c>
      <c r="BY41" s="60">
        <f t="shared" si="144"/>
        <v>354.73960376739797</v>
      </c>
      <c r="BZ41" s="60">
        <f t="shared" si="145"/>
        <v>-670.71959668572163</v>
      </c>
      <c r="CA41" s="60">
        <f t="shared" si="146"/>
        <v>2935.1617971867586</v>
      </c>
      <c r="CB41" s="60">
        <f t="shared" si="147"/>
        <v>2644.8558515451623</v>
      </c>
      <c r="CC41" s="60">
        <f t="shared" si="148"/>
        <v>2449.2375968524811</v>
      </c>
      <c r="CD41" s="60">
        <f t="shared" si="149"/>
        <v>2252.2364071042693</v>
      </c>
      <c r="CE41" s="60">
        <f t="shared" si="150"/>
        <v>1954.5604339226793</v>
      </c>
      <c r="CF41" s="60">
        <f t="shared" si="151"/>
        <v>1453.8722339593187</v>
      </c>
      <c r="CG41" s="60">
        <f t="shared" si="152"/>
        <v>441.11229389910477</v>
      </c>
      <c r="CH41" s="60">
        <f t="shared" si="153"/>
        <v>4166.5710836994731</v>
      </c>
      <c r="CI41" s="60">
        <f t="shared" si="154"/>
        <v>3961.0254286436452</v>
      </c>
      <c r="CJ41" s="60">
        <f t="shared" si="155"/>
        <v>3815.6022552293507</v>
      </c>
      <c r="CK41" s="60">
        <f t="shared" si="156"/>
        <v>3664.3041605548137</v>
      </c>
      <c r="CL41" s="60">
        <f t="shared" si="157"/>
        <v>3427.689470839166</v>
      </c>
      <c r="CM41" s="60">
        <f t="shared" si="158"/>
        <v>3011.8147189472279</v>
      </c>
      <c r="CN41" s="60">
        <f t="shared" si="159"/>
        <v>2120.7050482690011</v>
      </c>
    </row>
    <row r="42" spans="1:92" x14ac:dyDescent="0.35">
      <c r="A42" s="3" t="s">
        <v>1</v>
      </c>
      <c r="B42" s="4">
        <f>VLOOKUP(A42,PriceData!$K$4:$L$6,2,FALSE)</f>
        <v>2905</v>
      </c>
      <c r="C42" s="46">
        <f>VLOOKUP(A42,PriceData!$K$4:$M$6,3,FALSE)</f>
        <v>2.1999999999999999E-2</v>
      </c>
      <c r="D42" s="4" t="s">
        <v>108</v>
      </c>
      <c r="E42" s="4" t="s">
        <v>114</v>
      </c>
      <c r="F42" s="4">
        <v>-10</v>
      </c>
      <c r="G42" s="4">
        <v>2556</v>
      </c>
      <c r="H42" s="4" t="s">
        <v>109</v>
      </c>
      <c r="I42" s="5">
        <v>40256</v>
      </c>
      <c r="J42" s="46">
        <f t="shared" si="80"/>
        <v>0.50139327707893011</v>
      </c>
      <c r="K42" s="30">
        <f>VLOOKUP(I42,PriceData!$A$5:$D$7,MATCH($E42,PriceData!$A$4:$D$4,0),FALSE)</f>
        <v>2.1999999999999999E-2</v>
      </c>
      <c r="L42" s="2">
        <f t="shared" si="81"/>
        <v>100.13754085596645</v>
      </c>
      <c r="M42" s="2">
        <f t="shared" si="82"/>
        <v>-1001.3754085596645</v>
      </c>
      <c r="N42" s="4" t="s">
        <v>115</v>
      </c>
      <c r="P42" s="60">
        <f t="shared" si="83"/>
        <v>-700.37470971974722</v>
      </c>
      <c r="Q42" s="60">
        <f t="shared" si="84"/>
        <v>2087.7268891218614</v>
      </c>
      <c r="R42" s="58">
        <f t="shared" si="85"/>
        <v>3.9003019949379456</v>
      </c>
      <c r="S42" s="58">
        <f t="shared" si="86"/>
        <v>262.97250574999822</v>
      </c>
      <c r="T42" s="58">
        <f t="shared" si="87"/>
        <v>-1.4318946058702244</v>
      </c>
      <c r="U42" s="2">
        <f t="shared" si="88"/>
        <v>-1.4913652887437956</v>
      </c>
      <c r="V42" s="65">
        <f t="shared" si="89"/>
        <v>7003.7470971974726</v>
      </c>
      <c r="W42" s="65">
        <f t="shared" si="90"/>
        <v>-20877.268891218613</v>
      </c>
      <c r="X42" s="78">
        <f t="shared" si="91"/>
        <v>-39.003019949379457</v>
      </c>
      <c r="Y42" s="78">
        <f t="shared" si="92"/>
        <v>-2629.7250574999821</v>
      </c>
      <c r="Z42" s="78">
        <f t="shared" si="93"/>
        <v>14.318946058702245</v>
      </c>
      <c r="AA42" s="78">
        <f t="shared" si="94"/>
        <v>14.913652887437955</v>
      </c>
      <c r="AB42" s="78">
        <f t="shared" si="95"/>
        <v>-2446.0345733962422</v>
      </c>
      <c r="AC42" s="78">
        <f t="shared" si="96"/>
        <v>-937.95637123987603</v>
      </c>
      <c r="AD42" s="78">
        <f t="shared" si="97"/>
        <v>-406.04818525841551</v>
      </c>
      <c r="AE42" s="78">
        <f t="shared" si="98"/>
        <v>-148.66149500881079</v>
      </c>
      <c r="AF42" s="78">
        <f t="shared" si="99"/>
        <v>131.95924910364965</v>
      </c>
      <c r="AG42" s="78">
        <f t="shared" si="100"/>
        <v>301.64772006547764</v>
      </c>
      <c r="AH42" s="78">
        <f t="shared" si="101"/>
        <v>520.33616924781882</v>
      </c>
      <c r="AI42" s="78">
        <f t="shared" si="102"/>
        <v>783.43639160189298</v>
      </c>
      <c r="AJ42" s="78">
        <f t="shared" si="103"/>
        <v>373.95022786434652</v>
      </c>
      <c r="AK42" s="78">
        <f t="shared" si="104"/>
        <v>191.39428769672008</v>
      </c>
      <c r="AL42" s="78">
        <f t="shared" si="105"/>
        <v>77.459837514260244</v>
      </c>
      <c r="AM42" s="78">
        <f t="shared" si="106"/>
        <v>38.869044283999301</v>
      </c>
      <c r="AN42" s="78">
        <f t="shared" si="107"/>
        <v>-39.132098286654582</v>
      </c>
      <c r="AO42" s="78">
        <f t="shared" si="108"/>
        <v>-78.513032407486207</v>
      </c>
      <c r="AP42" s="78">
        <f t="shared" si="109"/>
        <v>-198.01982401246164</v>
      </c>
      <c r="AQ42" s="78">
        <f t="shared" si="110"/>
        <v>-401.08161641491165</v>
      </c>
      <c r="AR42" s="60">
        <f t="shared" si="111"/>
        <v>-2259.3155824335226</v>
      </c>
      <c r="AS42" s="60">
        <f t="shared" si="112"/>
        <v>-2370.871926940521</v>
      </c>
      <c r="AT42" s="60">
        <f t="shared" si="113"/>
        <v>-2446.0345733962422</v>
      </c>
      <c r="AU42" s="60">
        <f t="shared" si="114"/>
        <v>-2521.7445838273816</v>
      </c>
      <c r="AV42" s="60">
        <f t="shared" si="115"/>
        <v>-2636.2010601866596</v>
      </c>
      <c r="AW42" s="60">
        <f t="shared" si="116"/>
        <v>-2828.9187818677183</v>
      </c>
      <c r="AX42" s="60">
        <f t="shared" si="117"/>
        <v>-3219.5992542377771</v>
      </c>
      <c r="AY42" s="60">
        <f t="shared" si="118"/>
        <v>-718.80298802738821</v>
      </c>
      <c r="AZ42" s="60">
        <f t="shared" si="119"/>
        <v>-850.29112207829598</v>
      </c>
      <c r="BA42" s="60">
        <f t="shared" si="120"/>
        <v>-937.95637123987603</v>
      </c>
      <c r="BB42" s="60">
        <f t="shared" si="121"/>
        <v>-1025.6189712108096</v>
      </c>
      <c r="BC42" s="60">
        <f t="shared" si="122"/>
        <v>-1157.0952176520439</v>
      </c>
      <c r="BD42" s="60">
        <f t="shared" si="123"/>
        <v>-1376.1338426639816</v>
      </c>
      <c r="BE42" s="60">
        <f t="shared" si="124"/>
        <v>-1813.6540088335539</v>
      </c>
      <c r="BF42" s="60">
        <f t="shared" si="125"/>
        <v>-194.77941907821901</v>
      </c>
      <c r="BG42" s="60">
        <f t="shared" si="126"/>
        <v>-321.20143020044679</v>
      </c>
      <c r="BH42" s="60">
        <f t="shared" si="127"/>
        <v>-406.04818525841551</v>
      </c>
      <c r="BI42" s="60">
        <f t="shared" si="128"/>
        <v>-491.28192469773921</v>
      </c>
      <c r="BJ42" s="60">
        <f t="shared" si="129"/>
        <v>-619.75611509898499</v>
      </c>
      <c r="BK42" s="60">
        <f t="shared" si="130"/>
        <v>-835.22566501485244</v>
      </c>
      <c r="BL42" s="60">
        <f t="shared" si="131"/>
        <v>-1269.6363656113169</v>
      </c>
      <c r="BM42" s="60">
        <f t="shared" si="132"/>
        <v>191.39428769672008</v>
      </c>
      <c r="BN42" s="60">
        <f t="shared" si="133"/>
        <v>77.459837514260244</v>
      </c>
      <c r="BO42" s="60">
        <f t="shared" si="134"/>
        <v>0</v>
      </c>
      <c r="BP42" s="60">
        <f t="shared" si="135"/>
        <v>-78.513032407486207</v>
      </c>
      <c r="BQ42" s="60">
        <f t="shared" si="136"/>
        <v>-198.01982401246164</v>
      </c>
      <c r="BR42" s="60">
        <f t="shared" si="137"/>
        <v>-401.08161641491165</v>
      </c>
      <c r="BS42" s="60">
        <f t="shared" si="138"/>
        <v>-817.99069783177401</v>
      </c>
      <c r="BT42" s="60">
        <f t="shared" si="139"/>
        <v>466.09352972683325</v>
      </c>
      <c r="BU42" s="60">
        <f t="shared" si="140"/>
        <v>368.92601288495484</v>
      </c>
      <c r="BV42" s="60">
        <f t="shared" si="141"/>
        <v>301.64772006547764</v>
      </c>
      <c r="BW42" s="60">
        <f t="shared" si="142"/>
        <v>232.5845142720766</v>
      </c>
      <c r="BX42" s="60">
        <f t="shared" si="143"/>
        <v>125.99489579251667</v>
      </c>
      <c r="BY42" s="60">
        <f t="shared" si="144"/>
        <v>-58.498473634713264</v>
      </c>
      <c r="BZ42" s="60">
        <f t="shared" si="145"/>
        <v>-447.17943166167629</v>
      </c>
      <c r="CA42" s="60">
        <f t="shared" si="146"/>
        <v>655.36988805899057</v>
      </c>
      <c r="CB42" s="60">
        <f t="shared" si="147"/>
        <v>576.32768067368431</v>
      </c>
      <c r="CC42" s="60">
        <f t="shared" si="148"/>
        <v>520.33616924781882</v>
      </c>
      <c r="CD42" s="60">
        <f t="shared" si="149"/>
        <v>461.94000451872967</v>
      </c>
      <c r="CE42" s="60">
        <f t="shared" si="150"/>
        <v>370.23582723316395</v>
      </c>
      <c r="CF42" s="60">
        <f t="shared" si="151"/>
        <v>207.78723778530775</v>
      </c>
      <c r="CG42" s="60">
        <f t="shared" si="152"/>
        <v>-145.69453394073548</v>
      </c>
      <c r="CH42" s="60">
        <f t="shared" si="153"/>
        <v>864.90262908021327</v>
      </c>
      <c r="CI42" s="60">
        <f t="shared" si="154"/>
        <v>818.34265028578443</v>
      </c>
      <c r="CJ42" s="60">
        <f t="shared" si="155"/>
        <v>783.43639160189298</v>
      </c>
      <c r="CK42" s="60">
        <f t="shared" si="156"/>
        <v>745.56204526902661</v>
      </c>
      <c r="CL42" s="60">
        <f t="shared" si="157"/>
        <v>683.45001693859615</v>
      </c>
      <c r="CM42" s="60">
        <f t="shared" si="158"/>
        <v>566.86317622945523</v>
      </c>
      <c r="CN42" s="60">
        <f t="shared" si="159"/>
        <v>291.80586183966511</v>
      </c>
    </row>
    <row r="43" spans="1:92" x14ac:dyDescent="0.35">
      <c r="A43" s="3" t="s">
        <v>1</v>
      </c>
      <c r="B43" s="4">
        <f>VLOOKUP(A43,PriceData!$K$4:$L$6,2,FALSE)</f>
        <v>2905</v>
      </c>
      <c r="C43" s="46">
        <f>VLOOKUP(A43,PriceData!$K$4:$M$6,3,FALSE)</f>
        <v>2.1999999999999999E-2</v>
      </c>
      <c r="D43" s="4" t="s">
        <v>108</v>
      </c>
      <c r="E43" s="4" t="s">
        <v>114</v>
      </c>
      <c r="F43" s="4">
        <v>-10</v>
      </c>
      <c r="G43" s="4">
        <v>3079</v>
      </c>
      <c r="H43" s="4" t="s">
        <v>111</v>
      </c>
      <c r="I43" s="5">
        <v>40256</v>
      </c>
      <c r="J43" s="46">
        <f t="shared" si="80"/>
        <v>0.38870814783338209</v>
      </c>
      <c r="K43" s="30">
        <f>VLOOKUP(I43,PriceData!$A$5:$D$7,MATCH($E43,PriceData!$A$4:$D$4,0),FALSE)</f>
        <v>2.1999999999999999E-2</v>
      </c>
      <c r="L43" s="2">
        <f t="shared" si="81"/>
        <v>124.39082072260032</v>
      </c>
      <c r="M43" s="2">
        <f t="shared" si="82"/>
        <v>-1243.9082072260032</v>
      </c>
      <c r="N43" s="4" t="s">
        <v>107</v>
      </c>
      <c r="P43" s="60">
        <f t="shared" si="83"/>
        <v>1146.6592317215129</v>
      </c>
      <c r="Q43" s="60">
        <f t="shared" si="84"/>
        <v>3322.8744596476458</v>
      </c>
      <c r="R43" s="58">
        <f t="shared" si="85"/>
        <v>4.8126427186350194</v>
      </c>
      <c r="S43" s="58">
        <f t="shared" si="86"/>
        <v>140.12612368576524</v>
      </c>
      <c r="T43" s="58">
        <f t="shared" si="87"/>
        <v>-1.3680270573624032</v>
      </c>
      <c r="U43" s="2">
        <f t="shared" si="88"/>
        <v>1.9045000533678369</v>
      </c>
      <c r="V43" s="65">
        <f t="shared" si="89"/>
        <v>-11466.592317215129</v>
      </c>
      <c r="W43" s="65">
        <f t="shared" si="90"/>
        <v>-33228.744596476456</v>
      </c>
      <c r="X43" s="78">
        <f t="shared" si="91"/>
        <v>-48.126427186350192</v>
      </c>
      <c r="Y43" s="78">
        <f t="shared" si="92"/>
        <v>-1401.2612368576524</v>
      </c>
      <c r="Z43" s="78">
        <f t="shared" si="93"/>
        <v>13.680270573624032</v>
      </c>
      <c r="AA43" s="78">
        <f t="shared" si="94"/>
        <v>-19.045000533678369</v>
      </c>
      <c r="AB43" s="78">
        <f t="shared" si="95"/>
        <v>1157.643230036161</v>
      </c>
      <c r="AC43" s="78">
        <f t="shared" si="96"/>
        <v>830.44406598131388</v>
      </c>
      <c r="AD43" s="78">
        <f t="shared" si="97"/>
        <v>491.66373303390969</v>
      </c>
      <c r="AE43" s="78">
        <f t="shared" si="98"/>
        <v>216.10645936368769</v>
      </c>
      <c r="AF43" s="78">
        <f t="shared" si="99"/>
        <v>-242.65780209163381</v>
      </c>
      <c r="AG43" s="78">
        <f t="shared" si="100"/>
        <v>-656.57988738162771</v>
      </c>
      <c r="AH43" s="78">
        <f t="shared" si="101"/>
        <v>-1475.8733586884421</v>
      </c>
      <c r="AI43" s="78">
        <f t="shared" si="102"/>
        <v>-3538.5244153009271</v>
      </c>
      <c r="AJ43" s="78">
        <f t="shared" si="103"/>
        <v>471.78137753517376</v>
      </c>
      <c r="AK43" s="78">
        <f t="shared" si="104"/>
        <v>238.61307102634441</v>
      </c>
      <c r="AL43" s="78">
        <f t="shared" si="105"/>
        <v>95.956773831278497</v>
      </c>
      <c r="AM43" s="78">
        <f t="shared" si="106"/>
        <v>48.054434077251926</v>
      </c>
      <c r="AN43" s="78">
        <f t="shared" si="107"/>
        <v>-48.19465033442043</v>
      </c>
      <c r="AO43" s="78">
        <f t="shared" si="108"/>
        <v>-96.518722948738969</v>
      </c>
      <c r="AP43" s="78">
        <f t="shared" si="109"/>
        <v>-242.17334362651059</v>
      </c>
      <c r="AQ43" s="78">
        <f t="shared" si="110"/>
        <v>-486.74940610491035</v>
      </c>
      <c r="AR43" s="60">
        <f t="shared" si="111"/>
        <v>1203.5756406753949</v>
      </c>
      <c r="AS43" s="60">
        <f t="shared" si="112"/>
        <v>1178.4391813359157</v>
      </c>
      <c r="AT43" s="60">
        <f t="shared" si="113"/>
        <v>1157.643230036161</v>
      </c>
      <c r="AU43" s="60">
        <f t="shared" si="114"/>
        <v>1133.6165946802578</v>
      </c>
      <c r="AV43" s="60">
        <f t="shared" si="115"/>
        <v>1091.647387111045</v>
      </c>
      <c r="AW43" s="60">
        <f t="shared" si="116"/>
        <v>1006.7403388490495</v>
      </c>
      <c r="AX43" s="60">
        <f t="shared" si="117"/>
        <v>788.29239279127421</v>
      </c>
      <c r="AY43" s="60">
        <f t="shared" si="118"/>
        <v>971.18414710098079</v>
      </c>
      <c r="AZ43" s="60">
        <f t="shared" si="119"/>
        <v>889.23053063234704</v>
      </c>
      <c r="BA43" s="60">
        <f t="shared" si="120"/>
        <v>830.44406598131388</v>
      </c>
      <c r="BB43" s="60">
        <f t="shared" si="121"/>
        <v>768.72885656273695</v>
      </c>
      <c r="BC43" s="60">
        <f t="shared" si="122"/>
        <v>671.30686311271006</v>
      </c>
      <c r="BD43" s="60">
        <f t="shared" si="123"/>
        <v>498.07110873441957</v>
      </c>
      <c r="BE43" s="60">
        <f t="shared" si="124"/>
        <v>121.36692776198174</v>
      </c>
      <c r="BF43" s="60">
        <f t="shared" si="125"/>
        <v>686.87579978278336</v>
      </c>
      <c r="BG43" s="60">
        <f t="shared" si="126"/>
        <v>571.28279974836119</v>
      </c>
      <c r="BH43" s="60">
        <f t="shared" si="127"/>
        <v>491.66373303390969</v>
      </c>
      <c r="BI43" s="60">
        <f t="shared" si="128"/>
        <v>410.30681283687159</v>
      </c>
      <c r="BJ43" s="60">
        <f t="shared" si="129"/>
        <v>285.48203314900888</v>
      </c>
      <c r="BK43" s="60">
        <f t="shared" si="130"/>
        <v>71.416558426391248</v>
      </c>
      <c r="BL43" s="60">
        <f t="shared" si="131"/>
        <v>-372.61910460664353</v>
      </c>
      <c r="BM43" s="60">
        <f t="shared" si="132"/>
        <v>238.61307102634441</v>
      </c>
      <c r="BN43" s="60">
        <f t="shared" si="133"/>
        <v>95.956773831278497</v>
      </c>
      <c r="BO43" s="60">
        <f t="shared" si="134"/>
        <v>0</v>
      </c>
      <c r="BP43" s="60">
        <f t="shared" si="135"/>
        <v>-96.518722948738969</v>
      </c>
      <c r="BQ43" s="60">
        <f t="shared" si="136"/>
        <v>-242.17334362651059</v>
      </c>
      <c r="BR43" s="60">
        <f t="shared" si="137"/>
        <v>-486.74940610491035</v>
      </c>
      <c r="BS43" s="60">
        <f t="shared" si="138"/>
        <v>-980.33782172091264</v>
      </c>
      <c r="BT43" s="60">
        <f t="shared" si="139"/>
        <v>-395.08601277825733</v>
      </c>
      <c r="BU43" s="60">
        <f t="shared" si="140"/>
        <v>-551.99376874309678</v>
      </c>
      <c r="BV43" s="60">
        <f t="shared" si="141"/>
        <v>-656.57988738162771</v>
      </c>
      <c r="BW43" s="60">
        <f t="shared" si="142"/>
        <v>-761.14500845991074</v>
      </c>
      <c r="BX43" s="60">
        <f t="shared" si="143"/>
        <v>-917.94402455417298</v>
      </c>
      <c r="BY43" s="60">
        <f t="shared" si="144"/>
        <v>-1179.1152900594932</v>
      </c>
      <c r="BZ43" s="60">
        <f t="shared" si="145"/>
        <v>-1700.6829923164321</v>
      </c>
      <c r="CA43" s="60">
        <f t="shared" si="146"/>
        <v>-1215.1785018838621</v>
      </c>
      <c r="CB43" s="60">
        <f t="shared" si="147"/>
        <v>-1371.3834462476905</v>
      </c>
      <c r="CC43" s="60">
        <f t="shared" si="148"/>
        <v>-1475.8733586884421</v>
      </c>
      <c r="CD43" s="60">
        <f t="shared" si="149"/>
        <v>-1580.5898070778687</v>
      </c>
      <c r="CE43" s="60">
        <f t="shared" si="150"/>
        <v>-1738.0066311977691</v>
      </c>
      <c r="CF43" s="60">
        <f t="shared" si="151"/>
        <v>-2001.0378473111712</v>
      </c>
      <c r="CG43" s="60">
        <f t="shared" si="152"/>
        <v>-2528.487636032768</v>
      </c>
      <c r="CH43" s="60">
        <f t="shared" si="153"/>
        <v>-3333.9192712788608</v>
      </c>
      <c r="CI43" s="60">
        <f t="shared" si="154"/>
        <v>-3454.607065626943</v>
      </c>
      <c r="CJ43" s="60">
        <f t="shared" si="155"/>
        <v>-3538.5244153009271</v>
      </c>
      <c r="CK43" s="60">
        <f t="shared" si="156"/>
        <v>-3624.8139327861563</v>
      </c>
      <c r="CL43" s="60">
        <f t="shared" si="157"/>
        <v>-3758.0849435849732</v>
      </c>
      <c r="CM43" s="60">
        <f t="shared" si="158"/>
        <v>-3988.566805976935</v>
      </c>
      <c r="CN43" s="60">
        <f t="shared" si="159"/>
        <v>-4471.9232475747585</v>
      </c>
    </row>
    <row r="44" spans="1:92" x14ac:dyDescent="0.35">
      <c r="A44" s="3" t="s">
        <v>1</v>
      </c>
      <c r="B44" s="4">
        <f>VLOOKUP(A44,PriceData!$K$4:$L$6,2,FALSE)</f>
        <v>2905</v>
      </c>
      <c r="C44" s="46">
        <f>VLOOKUP(A44,PriceData!$K$4:$M$6,3,FALSE)</f>
        <v>2.1999999999999999E-2</v>
      </c>
      <c r="D44" s="4" t="s">
        <v>108</v>
      </c>
      <c r="E44" s="4" t="s">
        <v>114</v>
      </c>
      <c r="F44" s="4">
        <v>-25</v>
      </c>
      <c r="G44" s="4">
        <v>3166</v>
      </c>
      <c r="H44" s="4" t="s">
        <v>111</v>
      </c>
      <c r="I44" s="5">
        <v>40256</v>
      </c>
      <c r="J44" s="46">
        <f t="shared" si="80"/>
        <v>0.38287914834035391</v>
      </c>
      <c r="K44" s="30">
        <f>VLOOKUP(I44,PriceData!$A$5:$D$7,MATCH($E44,PriceData!$A$4:$D$4,0),FALSE)</f>
        <v>2.1999999999999999E-2</v>
      </c>
      <c r="L44" s="2">
        <f t="shared" si="81"/>
        <v>95.422994441474202</v>
      </c>
      <c r="M44" s="2">
        <f t="shared" si="82"/>
        <v>-2385.5748610368551</v>
      </c>
      <c r="N44" s="4" t="s">
        <v>107</v>
      </c>
      <c r="P44" s="60">
        <f t="shared" si="83"/>
        <v>956.76087808973671</v>
      </c>
      <c r="Q44" s="60">
        <f t="shared" si="84"/>
        <v>3172.6553278263582</v>
      </c>
      <c r="R44" s="58">
        <f t="shared" si="85"/>
        <v>4.5261678220769141</v>
      </c>
      <c r="S44" s="58">
        <f t="shared" si="86"/>
        <v>312.32347630840945</v>
      </c>
      <c r="T44" s="58">
        <f t="shared" si="87"/>
        <v>-1.2684950071667187</v>
      </c>
      <c r="U44" s="2">
        <f t="shared" si="88"/>
        <v>1.604684276385804</v>
      </c>
      <c r="V44" s="65">
        <f t="shared" si="89"/>
        <v>-23919.021952243416</v>
      </c>
      <c r="W44" s="65">
        <f t="shared" si="90"/>
        <v>-79316.383195658957</v>
      </c>
      <c r="X44" s="78">
        <f t="shared" si="91"/>
        <v>-113.15419555192285</v>
      </c>
      <c r="Y44" s="78">
        <f t="shared" si="92"/>
        <v>-7808.0869077102361</v>
      </c>
      <c r="Z44" s="78">
        <f t="shared" si="93"/>
        <v>31.712375179167967</v>
      </c>
      <c r="AA44" s="78">
        <f t="shared" si="94"/>
        <v>-40.117106909645102</v>
      </c>
      <c r="AB44" s="78">
        <f t="shared" si="95"/>
        <v>2252.889754884714</v>
      </c>
      <c r="AC44" s="78">
        <f t="shared" si="96"/>
        <v>1664.0138565287898</v>
      </c>
      <c r="AD44" s="78">
        <f t="shared" si="97"/>
        <v>1004.5382151197998</v>
      </c>
      <c r="AE44" s="78">
        <f t="shared" si="98"/>
        <v>447.04014662855229</v>
      </c>
      <c r="AF44" s="78">
        <f t="shared" si="99"/>
        <v>-510.4181935768338</v>
      </c>
      <c r="AG44" s="78">
        <f t="shared" si="100"/>
        <v>-1398.2116632781242</v>
      </c>
      <c r="AH44" s="78">
        <f t="shared" si="101"/>
        <v>-3205.1115067577884</v>
      </c>
      <c r="AI44" s="78">
        <f t="shared" si="102"/>
        <v>-7948.8441052768285</v>
      </c>
      <c r="AJ44" s="78">
        <f t="shared" si="103"/>
        <v>1080.0329491628959</v>
      </c>
      <c r="AK44" s="78">
        <f t="shared" si="104"/>
        <v>554.64995760584941</v>
      </c>
      <c r="AL44" s="78">
        <f t="shared" si="105"/>
        <v>224.66588857804766</v>
      </c>
      <c r="AM44" s="78">
        <f t="shared" si="106"/>
        <v>112.75391614762498</v>
      </c>
      <c r="AN44" s="78">
        <f t="shared" si="107"/>
        <v>-113.535165356069</v>
      </c>
      <c r="AO44" s="78">
        <f t="shared" si="108"/>
        <v>-227.79618158045594</v>
      </c>
      <c r="AP44" s="78">
        <f t="shared" si="109"/>
        <v>-574.44863249359628</v>
      </c>
      <c r="AQ44" s="78">
        <f t="shared" si="110"/>
        <v>-1162.7311836047143</v>
      </c>
      <c r="AR44" s="60">
        <f t="shared" si="111"/>
        <v>2331.3593272566145</v>
      </c>
      <c r="AS44" s="60">
        <f t="shared" si="112"/>
        <v>2289.5297208085299</v>
      </c>
      <c r="AT44" s="60">
        <f t="shared" si="113"/>
        <v>2252.889754884714</v>
      </c>
      <c r="AU44" s="60">
        <f t="shared" si="114"/>
        <v>2208.9123975450475</v>
      </c>
      <c r="AV44" s="60">
        <f t="shared" si="115"/>
        <v>2128.9599853170403</v>
      </c>
      <c r="AW44" s="60">
        <f t="shared" si="116"/>
        <v>1958.8788663406901</v>
      </c>
      <c r="AX44" s="60">
        <f t="shared" si="117"/>
        <v>1492.3250867671413</v>
      </c>
      <c r="AY44" s="60">
        <f t="shared" si="118"/>
        <v>1948.8710701222253</v>
      </c>
      <c r="AZ44" s="60">
        <f t="shared" si="119"/>
        <v>1785.2248107668033</v>
      </c>
      <c r="BA44" s="60">
        <f t="shared" si="120"/>
        <v>1664.0138565287898</v>
      </c>
      <c r="BB44" s="60">
        <f t="shared" si="121"/>
        <v>1534.0356150562741</v>
      </c>
      <c r="BC44" s="60">
        <f t="shared" si="122"/>
        <v>1324.2526722216071</v>
      </c>
      <c r="BD44" s="60">
        <f t="shared" si="123"/>
        <v>940.63797385730231</v>
      </c>
      <c r="BE44" s="60">
        <f t="shared" si="124"/>
        <v>75.97228037510888</v>
      </c>
      <c r="BF44" s="60">
        <f t="shared" si="125"/>
        <v>1429.4425495227329</v>
      </c>
      <c r="BG44" s="60">
        <f t="shared" si="126"/>
        <v>1180.0504822810153</v>
      </c>
      <c r="BH44" s="60">
        <f t="shared" si="127"/>
        <v>1004.5382151197998</v>
      </c>
      <c r="BI44" s="60">
        <f t="shared" si="128"/>
        <v>822.62959522407755</v>
      </c>
      <c r="BJ44" s="60">
        <f t="shared" si="129"/>
        <v>539.35352029735384</v>
      </c>
      <c r="BK44" s="60">
        <f t="shared" si="130"/>
        <v>44.355870716776735</v>
      </c>
      <c r="BL44" s="60">
        <f t="shared" si="131"/>
        <v>-1007.5243704783958</v>
      </c>
      <c r="BM44" s="60">
        <f t="shared" si="132"/>
        <v>554.64995760584941</v>
      </c>
      <c r="BN44" s="60">
        <f t="shared" si="133"/>
        <v>224.66588857804766</v>
      </c>
      <c r="BO44" s="60">
        <f t="shared" si="134"/>
        <v>0</v>
      </c>
      <c r="BP44" s="60">
        <f t="shared" si="135"/>
        <v>-227.79618158045594</v>
      </c>
      <c r="BQ44" s="60">
        <f t="shared" si="136"/>
        <v>-574.44863249359628</v>
      </c>
      <c r="BR44" s="60">
        <f t="shared" si="137"/>
        <v>-1162.7311836047143</v>
      </c>
      <c r="BS44" s="60">
        <f t="shared" si="138"/>
        <v>-2366.3348967766892</v>
      </c>
      <c r="BT44" s="60">
        <f t="shared" si="139"/>
        <v>-753.16893508917246</v>
      </c>
      <c r="BU44" s="60">
        <f t="shared" si="140"/>
        <v>-1139.636190514841</v>
      </c>
      <c r="BV44" s="60">
        <f t="shared" si="141"/>
        <v>-1398.2116632781242</v>
      </c>
      <c r="BW44" s="60">
        <f t="shared" si="142"/>
        <v>-1657.3835151685444</v>
      </c>
      <c r="BX44" s="60">
        <f t="shared" si="143"/>
        <v>-2047.0422775110933</v>
      </c>
      <c r="BY44" s="60">
        <f t="shared" si="144"/>
        <v>-2698.2410960493835</v>
      </c>
      <c r="BZ44" s="60">
        <f t="shared" si="145"/>
        <v>-4004.3409012783914</v>
      </c>
      <c r="CA44" s="60">
        <f t="shared" si="146"/>
        <v>-2526.5505550889543</v>
      </c>
      <c r="CB44" s="60">
        <f t="shared" si="147"/>
        <v>-2933.71465976947</v>
      </c>
      <c r="CC44" s="60">
        <f t="shared" si="148"/>
        <v>-3205.1115067577884</v>
      </c>
      <c r="CD44" s="60">
        <f t="shared" si="149"/>
        <v>-3476.456336511018</v>
      </c>
      <c r="CE44" s="60">
        <f t="shared" si="150"/>
        <v>-3883.3514472359752</v>
      </c>
      <c r="CF44" s="60">
        <f t="shared" si="151"/>
        <v>-4561.1034973164633</v>
      </c>
      <c r="CG44" s="60">
        <f t="shared" si="152"/>
        <v>-5914.6291916202808</v>
      </c>
      <c r="CH44" s="60">
        <f t="shared" si="153"/>
        <v>-7364.6760615942185</v>
      </c>
      <c r="CI44" s="60">
        <f t="shared" si="154"/>
        <v>-7711.4597932064844</v>
      </c>
      <c r="CJ44" s="60">
        <f t="shared" si="155"/>
        <v>-7948.8441052768285</v>
      </c>
      <c r="CK44" s="60">
        <f t="shared" si="156"/>
        <v>-8190.399798094415</v>
      </c>
      <c r="CL44" s="60">
        <f t="shared" si="157"/>
        <v>-8559.3749917564091</v>
      </c>
      <c r="CM44" s="60">
        <f t="shared" si="158"/>
        <v>-9188.5330397958169</v>
      </c>
      <c r="CN44" s="60">
        <f t="shared" si="159"/>
        <v>-10483.747063735615</v>
      </c>
    </row>
    <row r="45" spans="1:92" x14ac:dyDescent="0.35">
      <c r="A45" s="3" t="s">
        <v>1</v>
      </c>
      <c r="B45" s="4">
        <f>VLOOKUP(A45,PriceData!$K$4:$L$6,2,FALSE)</f>
        <v>2905</v>
      </c>
      <c r="C45" s="46">
        <f>VLOOKUP(A45,PriceData!$K$4:$M$6,3,FALSE)</f>
        <v>2.1999999999999999E-2</v>
      </c>
      <c r="D45" s="4" t="s">
        <v>108</v>
      </c>
      <c r="E45" s="4" t="s">
        <v>114</v>
      </c>
      <c r="F45" s="4">
        <v>50</v>
      </c>
      <c r="G45" s="4">
        <v>3254</v>
      </c>
      <c r="H45" s="4" t="s">
        <v>111</v>
      </c>
      <c r="I45" s="5">
        <v>40256</v>
      </c>
      <c r="J45" s="46">
        <f t="shared" si="80"/>
        <v>0.37949325066550765</v>
      </c>
      <c r="K45" s="30">
        <f>VLOOKUP(I45,PriceData!$A$5:$D$7,MATCH($E45,PriceData!$A$4:$D$4,0),FALSE)</f>
        <v>2.1999999999999999E-2</v>
      </c>
      <c r="L45" s="2">
        <f t="shared" si="81"/>
        <v>72.423370820039963</v>
      </c>
      <c r="M45" s="2">
        <f t="shared" si="82"/>
        <v>3621.1685410019982</v>
      </c>
      <c r="N45" s="4" t="s">
        <v>112</v>
      </c>
      <c r="P45" s="60">
        <f t="shared" si="83"/>
        <v>783.13944121492943</v>
      </c>
      <c r="Q45" s="60">
        <f t="shared" si="84"/>
        <v>2923.756245762359</v>
      </c>
      <c r="R45" s="58">
        <f t="shared" si="85"/>
        <v>4.1341979071967021</v>
      </c>
      <c r="S45" s="58">
        <f t="shared" si="86"/>
        <v>515.31088231063961</v>
      </c>
      <c r="T45" s="58">
        <f t="shared" si="87"/>
        <v>-1.1492378459494941</v>
      </c>
      <c r="U45" s="2">
        <f t="shared" si="88"/>
        <v>1.32407377498226</v>
      </c>
      <c r="V45" s="65">
        <f t="shared" si="89"/>
        <v>39156.97206074647</v>
      </c>
      <c r="W45" s="65">
        <f t="shared" si="90"/>
        <v>146187.81228811794</v>
      </c>
      <c r="X45" s="78">
        <f t="shared" si="91"/>
        <v>206.70989535983512</v>
      </c>
      <c r="Y45" s="78">
        <f t="shared" si="92"/>
        <v>25765.544115531982</v>
      </c>
      <c r="Z45" s="78">
        <f t="shared" si="93"/>
        <v>-57.461892297474705</v>
      </c>
      <c r="AA45" s="78">
        <f t="shared" si="94"/>
        <v>66.203688749112999</v>
      </c>
      <c r="AB45" s="78">
        <f t="shared" si="95"/>
        <v>-3457.4236377011002</v>
      </c>
      <c r="AC45" s="78">
        <f t="shared" si="96"/>
        <v>-2620.3665788104217</v>
      </c>
      <c r="AD45" s="78">
        <f t="shared" si="97"/>
        <v>-1611.309050841166</v>
      </c>
      <c r="AE45" s="78">
        <f t="shared" si="98"/>
        <v>-725.78985448629965</v>
      </c>
      <c r="AF45" s="78">
        <f t="shared" si="99"/>
        <v>842.61339662945716</v>
      </c>
      <c r="AG45" s="78">
        <f t="shared" si="100"/>
        <v>2337.3399581105673</v>
      </c>
      <c r="AH45" s="78">
        <f t="shared" si="101"/>
        <v>5467.8744725270235</v>
      </c>
      <c r="AI45" s="78">
        <f t="shared" si="102"/>
        <v>14060.28208993614</v>
      </c>
      <c r="AJ45" s="78">
        <f t="shared" si="103"/>
        <v>-1901.7258437810483</v>
      </c>
      <c r="AK45" s="78">
        <f t="shared" si="104"/>
        <v>-997.27475883839816</v>
      </c>
      <c r="AL45" s="78">
        <f t="shared" si="105"/>
        <v>-408.02281048275972</v>
      </c>
      <c r="AM45" s="78">
        <f t="shared" si="106"/>
        <v>-205.39176968031825</v>
      </c>
      <c r="AN45" s="78">
        <f t="shared" si="107"/>
        <v>207.9695255443653</v>
      </c>
      <c r="AO45" s="78">
        <f t="shared" si="108"/>
        <v>418.34826801959366</v>
      </c>
      <c r="AP45" s="78">
        <f t="shared" si="109"/>
        <v>1062.444706886879</v>
      </c>
      <c r="AQ45" s="78">
        <f t="shared" si="110"/>
        <v>2171.7305711542053</v>
      </c>
      <c r="AR45" s="60">
        <f t="shared" si="111"/>
        <v>-3562.7551452199968</v>
      </c>
      <c r="AS45" s="60">
        <f t="shared" si="112"/>
        <v>-3508.1541357155288</v>
      </c>
      <c r="AT45" s="60">
        <f t="shared" si="113"/>
        <v>-3457.4236377011002</v>
      </c>
      <c r="AU45" s="60">
        <f t="shared" si="114"/>
        <v>-3394.0731643412632</v>
      </c>
      <c r="AV45" s="60">
        <f t="shared" si="115"/>
        <v>-3273.9958608477345</v>
      </c>
      <c r="AW45" s="60">
        <f t="shared" si="116"/>
        <v>-3004.7950451857973</v>
      </c>
      <c r="AX45" s="60">
        <f t="shared" si="117"/>
        <v>-2215.0368919204184</v>
      </c>
      <c r="AY45" s="60">
        <f t="shared" si="118"/>
        <v>-3068.0972266497788</v>
      </c>
      <c r="AZ45" s="60">
        <f t="shared" si="119"/>
        <v>-2814.8522679153857</v>
      </c>
      <c r="BA45" s="60">
        <f t="shared" si="120"/>
        <v>-2620.3665788104217</v>
      </c>
      <c r="BB45" s="60">
        <f t="shared" si="121"/>
        <v>-2406.7470065663115</v>
      </c>
      <c r="BC45" s="60">
        <f t="shared" si="122"/>
        <v>-2053.19272264137</v>
      </c>
      <c r="BD45" s="60">
        <f t="shared" si="123"/>
        <v>-1385.858911273499</v>
      </c>
      <c r="BE45" s="60">
        <f t="shared" si="124"/>
        <v>180.77286836894473</v>
      </c>
      <c r="BF45" s="60">
        <f t="shared" si="125"/>
        <v>-2327.51641470507</v>
      </c>
      <c r="BG45" s="60">
        <f t="shared" si="126"/>
        <v>-1911.6939716147726</v>
      </c>
      <c r="BH45" s="60">
        <f t="shared" si="127"/>
        <v>-1611.309050841166</v>
      </c>
      <c r="BI45" s="60">
        <f t="shared" si="128"/>
        <v>-1294.5522787078403</v>
      </c>
      <c r="BJ45" s="60">
        <f t="shared" si="129"/>
        <v>-792.29168815832054</v>
      </c>
      <c r="BK45" s="60">
        <f t="shared" si="130"/>
        <v>105.60416296008839</v>
      </c>
      <c r="BL45" s="60">
        <f t="shared" si="131"/>
        <v>2070.4485820491582</v>
      </c>
      <c r="BM45" s="60">
        <f t="shared" si="132"/>
        <v>-997.27475883839816</v>
      </c>
      <c r="BN45" s="60">
        <f t="shared" si="133"/>
        <v>-408.02281048275972</v>
      </c>
      <c r="BO45" s="60">
        <f t="shared" si="134"/>
        <v>0</v>
      </c>
      <c r="BP45" s="60">
        <f t="shared" si="135"/>
        <v>418.34826801959366</v>
      </c>
      <c r="BQ45" s="60">
        <f t="shared" si="136"/>
        <v>1062.444706886879</v>
      </c>
      <c r="BR45" s="60">
        <f t="shared" si="137"/>
        <v>2171.7305711542053</v>
      </c>
      <c r="BS45" s="60">
        <f t="shared" si="138"/>
        <v>4484.8082212574072</v>
      </c>
      <c r="BT45" s="60">
        <f t="shared" si="139"/>
        <v>1106.1697225078262</v>
      </c>
      <c r="BU45" s="60">
        <f t="shared" si="140"/>
        <v>1841.3043028798484</v>
      </c>
      <c r="BV45" s="60">
        <f t="shared" si="141"/>
        <v>2337.3399581105673</v>
      </c>
      <c r="BW45" s="60">
        <f t="shared" si="142"/>
        <v>2837.3004807833581</v>
      </c>
      <c r="BX45" s="60">
        <f t="shared" si="143"/>
        <v>3593.3773851871365</v>
      </c>
      <c r="BY45" s="60">
        <f t="shared" si="144"/>
        <v>4866.2982107291209</v>
      </c>
      <c r="BZ45" s="60">
        <f t="shared" si="145"/>
        <v>7443.8351294933682</v>
      </c>
      <c r="CA45" s="60">
        <f t="shared" si="146"/>
        <v>4099.1519403264756</v>
      </c>
      <c r="CB45" s="60">
        <f t="shared" si="147"/>
        <v>4920.1989449735038</v>
      </c>
      <c r="CC45" s="60">
        <f t="shared" si="148"/>
        <v>5467.8744725270235</v>
      </c>
      <c r="CD45" s="60">
        <f t="shared" si="149"/>
        <v>6015.7114579774088</v>
      </c>
      <c r="CE45" s="60">
        <f t="shared" si="150"/>
        <v>6837.6388788037502</v>
      </c>
      <c r="CF45" s="60">
        <f t="shared" si="151"/>
        <v>8207.5813687028585</v>
      </c>
      <c r="CG45" s="60">
        <f t="shared" si="152"/>
        <v>10945.760221856359</v>
      </c>
      <c r="CH45" s="60">
        <f t="shared" si="153"/>
        <v>12759.876151349317</v>
      </c>
      <c r="CI45" s="60">
        <f t="shared" si="154"/>
        <v>13535.827325487708</v>
      </c>
      <c r="CJ45" s="60">
        <f t="shared" si="155"/>
        <v>14060.28208993614</v>
      </c>
      <c r="CK45" s="60">
        <f t="shared" si="156"/>
        <v>14589.471903109439</v>
      </c>
      <c r="CL45" s="60">
        <f t="shared" si="157"/>
        <v>15390.679138901271</v>
      </c>
      <c r="CM45" s="60">
        <f t="shared" si="158"/>
        <v>16741.561266773864</v>
      </c>
      <c r="CN45" s="60">
        <f t="shared" si="159"/>
        <v>19482.154585998422</v>
      </c>
    </row>
    <row r="46" spans="1:92" x14ac:dyDescent="0.35">
      <c r="A46" s="3" t="s">
        <v>1</v>
      </c>
      <c r="B46" s="4">
        <f>VLOOKUP(A46,PriceData!$K$4:$L$6,2,FALSE)</f>
        <v>2905</v>
      </c>
      <c r="C46" s="46">
        <f>VLOOKUP(A46,PriceData!$K$4:$M$6,3,FALSE)</f>
        <v>2.1999999999999999E-2</v>
      </c>
      <c r="D46" s="4" t="s">
        <v>108</v>
      </c>
      <c r="E46" s="4" t="s">
        <v>114</v>
      </c>
      <c r="F46" s="4">
        <v>-20</v>
      </c>
      <c r="G46" s="4">
        <v>3079</v>
      </c>
      <c r="H46" s="4" t="s">
        <v>109</v>
      </c>
      <c r="I46" s="5">
        <v>40256</v>
      </c>
      <c r="J46" s="46">
        <f t="shared" si="80"/>
        <v>0.38870814783338209</v>
      </c>
      <c r="K46" s="30">
        <f>VLOOKUP(I46,PriceData!$A$5:$D$7,MATCH($E46,PriceData!$A$4:$D$4,0),FALSE)</f>
        <v>2.1999999999999999E-2</v>
      </c>
      <c r="L46" s="2">
        <f t="shared" si="81"/>
        <v>297.67911857700619</v>
      </c>
      <c r="M46" s="2">
        <f t="shared" si="82"/>
        <v>-5953.5823715401239</v>
      </c>
      <c r="N46" s="4" t="s">
        <v>107</v>
      </c>
      <c r="P46" s="60">
        <f t="shared" si="83"/>
        <v>-1746.4586146408292</v>
      </c>
      <c r="Q46" s="60">
        <f t="shared" si="84"/>
        <v>3322.8744596476458</v>
      </c>
      <c r="R46" s="58">
        <f t="shared" si="85"/>
        <v>4.8126427186350194</v>
      </c>
      <c r="S46" s="58">
        <f t="shared" si="86"/>
        <v>140.12612368576524</v>
      </c>
      <c r="T46" s="58">
        <f t="shared" si="87"/>
        <v>-1.3575822832451512</v>
      </c>
      <c r="U46" s="2">
        <f t="shared" si="88"/>
        <v>-3.808256598871584</v>
      </c>
      <c r="V46" s="65">
        <f t="shared" si="89"/>
        <v>34929.172292816584</v>
      </c>
      <c r="W46" s="65">
        <f t="shared" si="90"/>
        <v>-66457.489192952911</v>
      </c>
      <c r="X46" s="78">
        <f t="shared" si="91"/>
        <v>-96.252854372700384</v>
      </c>
      <c r="Y46" s="78">
        <f t="shared" si="92"/>
        <v>-2802.5224737153048</v>
      </c>
      <c r="Z46" s="78">
        <f t="shared" si="93"/>
        <v>27.151645664903022</v>
      </c>
      <c r="AA46" s="78">
        <f t="shared" si="94"/>
        <v>76.165131977431685</v>
      </c>
      <c r="AB46" s="78">
        <f t="shared" si="95"/>
        <v>-9257.1849253770415</v>
      </c>
      <c r="AC46" s="78">
        <f t="shared" si="96"/>
        <v>-4125.3475607620385</v>
      </c>
      <c r="AD46" s="78">
        <f t="shared" si="97"/>
        <v>-1909.790380294512</v>
      </c>
      <c r="AE46" s="78">
        <f t="shared" si="98"/>
        <v>-725.03421981756219</v>
      </c>
      <c r="AF46" s="78">
        <f t="shared" si="99"/>
        <v>671.93153436166995</v>
      </c>
      <c r="AG46" s="78">
        <f t="shared" si="100"/>
        <v>1579.9580715990942</v>
      </c>
      <c r="AH46" s="78">
        <f t="shared" si="101"/>
        <v>2834.4889753478083</v>
      </c>
      <c r="AI46" s="78">
        <f t="shared" si="102"/>
        <v>4495.4225548475097</v>
      </c>
      <c r="AJ46" s="78">
        <f t="shared" si="103"/>
        <v>943.56275507034752</v>
      </c>
      <c r="AK46" s="78">
        <f t="shared" si="104"/>
        <v>477.2261420526911</v>
      </c>
      <c r="AL46" s="78">
        <f t="shared" si="105"/>
        <v>191.91354766255699</v>
      </c>
      <c r="AM46" s="78">
        <f t="shared" si="106"/>
        <v>96.108868154510674</v>
      </c>
      <c r="AN46" s="78">
        <f t="shared" si="107"/>
        <v>-96.389300668838587</v>
      </c>
      <c r="AO46" s="78">
        <f t="shared" si="108"/>
        <v>-193.03744589747566</v>
      </c>
      <c r="AP46" s="78">
        <f t="shared" si="109"/>
        <v>-484.34668725301435</v>
      </c>
      <c r="AQ46" s="78">
        <f t="shared" si="110"/>
        <v>-973.49881220982297</v>
      </c>
      <c r="AR46" s="60">
        <f t="shared" si="111"/>
        <v>-9165.3201040985732</v>
      </c>
      <c r="AS46" s="60">
        <f t="shared" si="112"/>
        <v>-9215.5930227775298</v>
      </c>
      <c r="AT46" s="60">
        <f t="shared" si="113"/>
        <v>-9257.1849253770415</v>
      </c>
      <c r="AU46" s="60">
        <f t="shared" si="114"/>
        <v>-9305.2381960888397</v>
      </c>
      <c r="AV46" s="60">
        <f t="shared" si="115"/>
        <v>-9389.1766112272671</v>
      </c>
      <c r="AW46" s="60">
        <f t="shared" si="116"/>
        <v>-9558.9907077512635</v>
      </c>
      <c r="AX46" s="60">
        <f t="shared" si="117"/>
        <v>-9995.8865998668116</v>
      </c>
      <c r="AY46" s="60">
        <f t="shared" si="118"/>
        <v>-3843.8673985227069</v>
      </c>
      <c r="AZ46" s="60">
        <f t="shared" si="119"/>
        <v>-4007.774631459979</v>
      </c>
      <c r="BA46" s="60">
        <f t="shared" si="120"/>
        <v>-4125.3475607620385</v>
      </c>
      <c r="BB46" s="60">
        <f t="shared" si="121"/>
        <v>-4248.7779795991992</v>
      </c>
      <c r="BC46" s="60">
        <f t="shared" si="122"/>
        <v>-4443.6219664992541</v>
      </c>
      <c r="BD46" s="60">
        <f t="shared" si="123"/>
        <v>-4790.0934752558305</v>
      </c>
      <c r="BE46" s="60">
        <f t="shared" si="124"/>
        <v>-5543.5018372007107</v>
      </c>
      <c r="BF46" s="60">
        <f t="shared" si="125"/>
        <v>-1519.3662467967715</v>
      </c>
      <c r="BG46" s="60">
        <f t="shared" si="126"/>
        <v>-1750.5522468656181</v>
      </c>
      <c r="BH46" s="60">
        <f t="shared" si="127"/>
        <v>-1909.790380294512</v>
      </c>
      <c r="BI46" s="60">
        <f t="shared" si="128"/>
        <v>-2072.5042206885928</v>
      </c>
      <c r="BJ46" s="60">
        <f t="shared" si="129"/>
        <v>-2322.1537800643137</v>
      </c>
      <c r="BK46" s="60">
        <f t="shared" si="130"/>
        <v>-2750.2847295095626</v>
      </c>
      <c r="BL46" s="60">
        <f t="shared" si="131"/>
        <v>-3638.356055575623</v>
      </c>
      <c r="BM46" s="60">
        <f t="shared" si="132"/>
        <v>477.2261420526911</v>
      </c>
      <c r="BN46" s="60">
        <f t="shared" si="133"/>
        <v>191.91354766255699</v>
      </c>
      <c r="BO46" s="60">
        <f t="shared" si="134"/>
        <v>0</v>
      </c>
      <c r="BP46" s="60">
        <f t="shared" si="135"/>
        <v>-193.03744589747566</v>
      </c>
      <c r="BQ46" s="60">
        <f t="shared" si="136"/>
        <v>-484.34668725301435</v>
      </c>
      <c r="BR46" s="60">
        <f t="shared" si="137"/>
        <v>-973.49881220982297</v>
      </c>
      <c r="BS46" s="60">
        <f t="shared" si="138"/>
        <v>-1960.675643441823</v>
      </c>
      <c r="BT46" s="60">
        <f t="shared" si="139"/>
        <v>2102.945820805835</v>
      </c>
      <c r="BU46" s="60">
        <f t="shared" si="140"/>
        <v>1789.1303088761561</v>
      </c>
      <c r="BV46" s="60">
        <f t="shared" si="141"/>
        <v>1579.9580715990942</v>
      </c>
      <c r="BW46" s="60">
        <f t="shared" si="142"/>
        <v>1370.8278294425281</v>
      </c>
      <c r="BX46" s="60">
        <f t="shared" si="143"/>
        <v>1057.2297972540036</v>
      </c>
      <c r="BY46" s="60">
        <f t="shared" si="144"/>
        <v>534.88726624336323</v>
      </c>
      <c r="BZ46" s="60">
        <f t="shared" si="145"/>
        <v>-508.24813827051912</v>
      </c>
      <c r="CA46" s="60">
        <f t="shared" si="146"/>
        <v>3355.8786889569774</v>
      </c>
      <c r="CB46" s="60">
        <f t="shared" si="147"/>
        <v>3043.468800229316</v>
      </c>
      <c r="CC46" s="60">
        <f t="shared" si="148"/>
        <v>2834.4889753478083</v>
      </c>
      <c r="CD46" s="60">
        <f t="shared" si="149"/>
        <v>2625.0560785689595</v>
      </c>
      <c r="CE46" s="60">
        <f t="shared" si="150"/>
        <v>2310.2224303291587</v>
      </c>
      <c r="CF46" s="60">
        <f t="shared" si="151"/>
        <v>1784.1599981023546</v>
      </c>
      <c r="CG46" s="60">
        <f t="shared" si="152"/>
        <v>729.26042065916135</v>
      </c>
      <c r="CH46" s="60">
        <f t="shared" si="153"/>
        <v>4904.6328428916468</v>
      </c>
      <c r="CI46" s="60">
        <f t="shared" si="154"/>
        <v>4663.2572541954851</v>
      </c>
      <c r="CJ46" s="60">
        <f t="shared" si="155"/>
        <v>4495.4225548475097</v>
      </c>
      <c r="CK46" s="60">
        <f t="shared" si="156"/>
        <v>4322.8435198770621</v>
      </c>
      <c r="CL46" s="60">
        <f t="shared" si="157"/>
        <v>4056.3014982794311</v>
      </c>
      <c r="CM46" s="60">
        <f t="shared" si="158"/>
        <v>3595.3377734954961</v>
      </c>
      <c r="CN46" s="60">
        <f t="shared" si="159"/>
        <v>2628.6248902998523</v>
      </c>
    </row>
    <row r="47" spans="1:92" x14ac:dyDescent="0.35">
      <c r="A47" s="3" t="s">
        <v>1</v>
      </c>
      <c r="B47" s="4">
        <f>VLOOKUP(A47,PriceData!$K$4:$L$6,2,FALSE)</f>
        <v>2905</v>
      </c>
      <c r="C47" s="46">
        <f>VLOOKUP(A47,PriceData!$K$4:$M$6,3,FALSE)</f>
        <v>2.1999999999999999E-2</v>
      </c>
      <c r="D47" s="4" t="s">
        <v>108</v>
      </c>
      <c r="E47" s="4" t="s">
        <v>114</v>
      </c>
      <c r="F47" s="4">
        <v>50</v>
      </c>
      <c r="G47" s="4">
        <v>2469</v>
      </c>
      <c r="H47" s="4" t="s">
        <v>109</v>
      </c>
      <c r="I47" s="5">
        <v>40256</v>
      </c>
      <c r="J47" s="46">
        <f t="shared" si="80"/>
        <v>0.53427360882026176</v>
      </c>
      <c r="K47" s="30">
        <f>VLOOKUP(I47,PriceData!$A$5:$D$7,MATCH($E47,PriceData!$A$4:$D$4,0),FALSE)</f>
        <v>2.1999999999999999E-2</v>
      </c>
      <c r="L47" s="2">
        <f t="shared" si="81"/>
        <v>86.784698579854762</v>
      </c>
      <c r="M47" s="2">
        <f t="shared" si="82"/>
        <v>4339.2349289927379</v>
      </c>
      <c r="N47" s="4" t="s">
        <v>107</v>
      </c>
      <c r="P47" s="60">
        <f t="shared" si="83"/>
        <v>-595.89279390581737</v>
      </c>
      <c r="Q47" s="60">
        <f t="shared" si="84"/>
        <v>1787.2730758930818</v>
      </c>
      <c r="R47" s="58">
        <f t="shared" si="85"/>
        <v>3.5579568691462296</v>
      </c>
      <c r="S47" s="58">
        <f t="shared" si="86"/>
        <v>322.30979330273726</v>
      </c>
      <c r="T47" s="58">
        <f t="shared" si="87"/>
        <v>-1.392506241827222</v>
      </c>
      <c r="U47" s="2">
        <f t="shared" si="88"/>
        <v>-1.2718375202472794</v>
      </c>
      <c r="V47" s="65">
        <f t="shared" si="89"/>
        <v>-29794.639695290869</v>
      </c>
      <c r="W47" s="65">
        <f t="shared" si="90"/>
        <v>89363.653794654092</v>
      </c>
      <c r="X47" s="78">
        <f t="shared" si="91"/>
        <v>177.89784345731147</v>
      </c>
      <c r="Y47" s="78">
        <f t="shared" si="92"/>
        <v>16115.489665136864</v>
      </c>
      <c r="Z47" s="78">
        <f t="shared" si="93"/>
        <v>-69.625312091361096</v>
      </c>
      <c r="AA47" s="78">
        <f t="shared" si="94"/>
        <v>-63.591876012363969</v>
      </c>
      <c r="AB47" s="78">
        <f t="shared" si="95"/>
        <v>10598.641831619574</v>
      </c>
      <c r="AC47" s="78">
        <f t="shared" si="96"/>
        <v>4011.0848578328105</v>
      </c>
      <c r="AD47" s="78">
        <f t="shared" si="97"/>
        <v>1730.3408283752333</v>
      </c>
      <c r="AE47" s="78">
        <f t="shared" si="98"/>
        <v>632.73147781105763</v>
      </c>
      <c r="AF47" s="78">
        <f t="shared" si="99"/>
        <v>-561.22505329145156</v>
      </c>
      <c r="AG47" s="78">
        <f t="shared" si="100"/>
        <v>-1282.9285668652205</v>
      </c>
      <c r="AH47" s="78">
        <f t="shared" si="101"/>
        <v>-2214.9582052560563</v>
      </c>
      <c r="AI47" s="78">
        <f t="shared" si="102"/>
        <v>-3347.2107160429432</v>
      </c>
      <c r="AJ47" s="78">
        <f t="shared" si="103"/>
        <v>-1683.0336023146715</v>
      </c>
      <c r="AK47" s="78">
        <f t="shared" si="104"/>
        <v>-867.56829140700802</v>
      </c>
      <c r="AL47" s="78">
        <f t="shared" si="105"/>
        <v>-352.46387172350637</v>
      </c>
      <c r="AM47" s="78">
        <f t="shared" si="106"/>
        <v>-177.07867622395952</v>
      </c>
      <c r="AN47" s="78">
        <f t="shared" si="107"/>
        <v>178.69060389929246</v>
      </c>
      <c r="AO47" s="78">
        <f t="shared" si="108"/>
        <v>358.91612942137954</v>
      </c>
      <c r="AP47" s="78">
        <f t="shared" si="109"/>
        <v>908.09448458439874</v>
      </c>
      <c r="AQ47" s="78">
        <f t="shared" si="110"/>
        <v>1848.0261815448898</v>
      </c>
      <c r="AR47" s="60">
        <f t="shared" si="111"/>
        <v>9615.9203146831769</v>
      </c>
      <c r="AS47" s="60">
        <f t="shared" si="112"/>
        <v>10204.822135991997</v>
      </c>
      <c r="AT47" s="60">
        <f t="shared" si="113"/>
        <v>10598.641831619574</v>
      </c>
      <c r="AU47" s="60">
        <f t="shared" si="114"/>
        <v>10993.283259633579</v>
      </c>
      <c r="AV47" s="60">
        <f t="shared" si="115"/>
        <v>11586.544276960973</v>
      </c>
      <c r="AW47" s="60">
        <f t="shared" si="116"/>
        <v>12578.013761933056</v>
      </c>
      <c r="AX47" s="60">
        <f t="shared" si="117"/>
        <v>14567.19979552517</v>
      </c>
      <c r="AY47" s="60">
        <f t="shared" si="118"/>
        <v>2964.5871555247422</v>
      </c>
      <c r="AZ47" s="60">
        <f t="shared" si="119"/>
        <v>3591.8046400964558</v>
      </c>
      <c r="BA47" s="60">
        <f t="shared" si="120"/>
        <v>4011.0848578328105</v>
      </c>
      <c r="BB47" s="60">
        <f t="shared" si="121"/>
        <v>4431.1261028123172</v>
      </c>
      <c r="BC47" s="60">
        <f t="shared" si="122"/>
        <v>5062.382200361003</v>
      </c>
      <c r="BD47" s="60">
        <f t="shared" si="123"/>
        <v>6116.9259566707242</v>
      </c>
      <c r="BE47" s="60">
        <f t="shared" si="124"/>
        <v>8231.4549749276466</v>
      </c>
      <c r="BF47" s="60">
        <f t="shared" si="125"/>
        <v>752.14294406728754</v>
      </c>
      <c r="BG47" s="60">
        <f t="shared" si="126"/>
        <v>1336.2652505605581</v>
      </c>
      <c r="BH47" s="60">
        <f t="shared" si="127"/>
        <v>1730.3408283752333</v>
      </c>
      <c r="BI47" s="60">
        <f t="shared" si="128"/>
        <v>2127.6762176925504</v>
      </c>
      <c r="BJ47" s="60">
        <f t="shared" si="129"/>
        <v>2729.0462271525712</v>
      </c>
      <c r="BK47" s="60">
        <f t="shared" si="130"/>
        <v>3743.2843453424366</v>
      </c>
      <c r="BL47" s="60">
        <f t="shared" si="131"/>
        <v>5804.6163128670914</v>
      </c>
      <c r="BM47" s="60">
        <f t="shared" si="132"/>
        <v>-867.56829140700802</v>
      </c>
      <c r="BN47" s="60">
        <f t="shared" si="133"/>
        <v>-352.46387172350637</v>
      </c>
      <c r="BO47" s="60">
        <f t="shared" si="134"/>
        <v>0</v>
      </c>
      <c r="BP47" s="60">
        <f t="shared" si="135"/>
        <v>358.91612942137954</v>
      </c>
      <c r="BQ47" s="60">
        <f t="shared" si="136"/>
        <v>908.09448458439874</v>
      </c>
      <c r="BR47" s="60">
        <f t="shared" si="137"/>
        <v>1848.0261815448898</v>
      </c>
      <c r="BS47" s="60">
        <f t="shared" si="138"/>
        <v>3798.5214752531474</v>
      </c>
      <c r="BT47" s="60">
        <f t="shared" si="139"/>
        <v>-2018.7706209719322</v>
      </c>
      <c r="BU47" s="60">
        <f t="shared" si="140"/>
        <v>-1585.1380196206662</v>
      </c>
      <c r="BV47" s="60">
        <f t="shared" si="141"/>
        <v>-1282.9285668652205</v>
      </c>
      <c r="BW47" s="60">
        <f t="shared" si="142"/>
        <v>-971.20437711776049</v>
      </c>
      <c r="BX47" s="60">
        <f t="shared" si="143"/>
        <v>-487.42769474580996</v>
      </c>
      <c r="BY47" s="60">
        <f t="shared" si="144"/>
        <v>356.54161952739969</v>
      </c>
      <c r="BZ47" s="60">
        <f t="shared" si="145"/>
        <v>2155.9579611066283</v>
      </c>
      <c r="CA47" s="60">
        <f t="shared" si="146"/>
        <v>-2815.7282973849901</v>
      </c>
      <c r="CB47" s="60">
        <f t="shared" si="147"/>
        <v>-2464.885155385457</v>
      </c>
      <c r="CC47" s="60">
        <f t="shared" si="148"/>
        <v>-2214.9582052560563</v>
      </c>
      <c r="CD47" s="60">
        <f t="shared" si="149"/>
        <v>-1953.1671653970079</v>
      </c>
      <c r="CE47" s="60">
        <f t="shared" si="150"/>
        <v>-1539.932157877317</v>
      </c>
      <c r="CF47" s="60">
        <f t="shared" si="151"/>
        <v>-802.33685278667792</v>
      </c>
      <c r="CG47" s="60">
        <f t="shared" si="152"/>
        <v>822.13249103055546</v>
      </c>
      <c r="CH47" s="60">
        <f t="shared" si="153"/>
        <v>-3711.9782752504134</v>
      </c>
      <c r="CI47" s="60">
        <f t="shared" si="154"/>
        <v>-3503.6255987134878</v>
      </c>
      <c r="CJ47" s="60">
        <f t="shared" si="155"/>
        <v>-3347.2107160429432</v>
      </c>
      <c r="CK47" s="60">
        <f t="shared" si="156"/>
        <v>-3177.2067340845924</v>
      </c>
      <c r="CL47" s="60">
        <f t="shared" si="157"/>
        <v>-2897.6784891952234</v>
      </c>
      <c r="CM47" s="60">
        <f t="shared" si="158"/>
        <v>-2370.4823283791256</v>
      </c>
      <c r="CN47" s="60">
        <f t="shared" si="159"/>
        <v>-1114.9902159399771</v>
      </c>
    </row>
    <row r="48" spans="1:92" x14ac:dyDescent="0.35">
      <c r="A48" s="3" t="s">
        <v>1</v>
      </c>
      <c r="B48" s="4">
        <f>VLOOKUP(A48,PriceData!$K$4:$L$6,2,FALSE)</f>
        <v>2905</v>
      </c>
      <c r="C48" s="46">
        <f>VLOOKUP(A48,PriceData!$K$4:$M$6,3,FALSE)</f>
        <v>2.1999999999999999E-2</v>
      </c>
      <c r="D48" s="4" t="s">
        <v>108</v>
      </c>
      <c r="E48" s="4" t="s">
        <v>114</v>
      </c>
      <c r="F48" s="4">
        <v>10</v>
      </c>
      <c r="G48" s="4">
        <v>2469</v>
      </c>
      <c r="H48" s="4" t="s">
        <v>109</v>
      </c>
      <c r="I48" s="5">
        <v>40347</v>
      </c>
      <c r="J48" s="46">
        <f t="shared" si="80"/>
        <v>0.48470273685574106</v>
      </c>
      <c r="K48" s="30">
        <f>VLOOKUP(I48,PriceData!$A$5:$D$7,MATCH($E48,PriceData!$A$4:$D$4,0),FALSE)</f>
        <v>2.3E-2</v>
      </c>
      <c r="L48" s="2">
        <f t="shared" si="81"/>
        <v>164.20892157424362</v>
      </c>
      <c r="M48" s="2">
        <f t="shared" si="82"/>
        <v>1642.0892157424362</v>
      </c>
      <c r="N48" s="4" t="s">
        <v>110</v>
      </c>
      <c r="P48" s="60">
        <f t="shared" si="83"/>
        <v>-723.75749353754077</v>
      </c>
      <c r="Q48" s="60">
        <f t="shared" si="84"/>
        <v>1433.710779532194</v>
      </c>
      <c r="R48" s="58">
        <f t="shared" si="85"/>
        <v>6.0544023371569509</v>
      </c>
      <c r="S48" s="58">
        <f t="shared" si="86"/>
        <v>292.53995246291123</v>
      </c>
      <c r="T48" s="58">
        <f t="shared" si="87"/>
        <v>-0.91049528335083674</v>
      </c>
      <c r="U48" s="2">
        <f t="shared" si="88"/>
        <v>-3.8681276713088697</v>
      </c>
      <c r="V48" s="65">
        <f t="shared" si="89"/>
        <v>-7237.5749353754072</v>
      </c>
      <c r="W48" s="65">
        <f t="shared" si="90"/>
        <v>14337.107795321939</v>
      </c>
      <c r="X48" s="78">
        <f t="shared" si="91"/>
        <v>60.544023371569509</v>
      </c>
      <c r="Y48" s="78">
        <f t="shared" si="92"/>
        <v>2925.3995246291124</v>
      </c>
      <c r="Z48" s="78">
        <f t="shared" si="93"/>
        <v>-9.1049528335083671</v>
      </c>
      <c r="AA48" s="78">
        <f t="shared" si="94"/>
        <v>-38.6812767130887</v>
      </c>
      <c r="AB48" s="78">
        <f t="shared" si="95"/>
        <v>2139.0714587839002</v>
      </c>
      <c r="AC48" s="78">
        <f t="shared" si="96"/>
        <v>882.10167584187047</v>
      </c>
      <c r="AD48" s="78">
        <f t="shared" si="97"/>
        <v>399.58645130739569</v>
      </c>
      <c r="AE48" s="78">
        <f t="shared" si="98"/>
        <v>150.60511213484574</v>
      </c>
      <c r="AF48" s="78">
        <f t="shared" si="99"/>
        <v>-139.134323611122</v>
      </c>
      <c r="AG48" s="78">
        <f t="shared" si="100"/>
        <v>-327.85841084234335</v>
      </c>
      <c r="AH48" s="78">
        <f t="shared" si="101"/>
        <v>-594.71116567265085</v>
      </c>
      <c r="AI48" s="78">
        <f t="shared" si="102"/>
        <v>-983.71813531940461</v>
      </c>
      <c r="AJ48" s="78">
        <f t="shared" si="103"/>
        <v>-586.90282670534884</v>
      </c>
      <c r="AK48" s="78">
        <f t="shared" si="104"/>
        <v>-298.62171771081648</v>
      </c>
      <c r="AL48" s="78">
        <f t="shared" si="105"/>
        <v>-120.47625086579956</v>
      </c>
      <c r="AM48" s="78">
        <f t="shared" si="106"/>
        <v>-60.394473850855093</v>
      </c>
      <c r="AN48" s="78">
        <f t="shared" si="107"/>
        <v>60.687127470541782</v>
      </c>
      <c r="AO48" s="78">
        <f t="shared" si="108"/>
        <v>121.64823098427178</v>
      </c>
      <c r="AP48" s="78">
        <f t="shared" si="109"/>
        <v>306.0067713183912</v>
      </c>
      <c r="AQ48" s="78">
        <f t="shared" si="110"/>
        <v>617.32791722561842</v>
      </c>
      <c r="AR48" s="60">
        <f t="shared" si="111"/>
        <v>1836.3732408854992</v>
      </c>
      <c r="AS48" s="60">
        <f t="shared" si="112"/>
        <v>2017.9296852156506</v>
      </c>
      <c r="AT48" s="60">
        <f t="shared" si="113"/>
        <v>2139.0714587839002</v>
      </c>
      <c r="AU48" s="60">
        <f t="shared" si="114"/>
        <v>2260.261995753136</v>
      </c>
      <c r="AV48" s="60">
        <f t="shared" si="115"/>
        <v>2442.0843296611847</v>
      </c>
      <c r="AW48" s="60">
        <f t="shared" si="116"/>
        <v>2745.0436260834576</v>
      </c>
      <c r="AX48" s="60">
        <f t="shared" si="117"/>
        <v>3349.7470899512691</v>
      </c>
      <c r="AY48" s="60">
        <f t="shared" si="118"/>
        <v>560.54851890258306</v>
      </c>
      <c r="AZ48" s="60">
        <f t="shared" si="119"/>
        <v>753.42678151782707</v>
      </c>
      <c r="BA48" s="60">
        <f t="shared" si="120"/>
        <v>882.10167584187047</v>
      </c>
      <c r="BB48" s="60">
        <f t="shared" si="121"/>
        <v>1010.813717026158</v>
      </c>
      <c r="BC48" s="60">
        <f t="shared" si="122"/>
        <v>1203.8967014010495</v>
      </c>
      <c r="BD48" s="60">
        <f t="shared" si="123"/>
        <v>1525.566173155695</v>
      </c>
      <c r="BE48" s="60">
        <f t="shared" si="124"/>
        <v>2167.4694895489097</v>
      </c>
      <c r="BF48" s="60">
        <f t="shared" si="125"/>
        <v>85.304020421446012</v>
      </c>
      <c r="BG48" s="60">
        <f t="shared" si="126"/>
        <v>273.41586692169017</v>
      </c>
      <c r="BH48" s="60">
        <f t="shared" si="127"/>
        <v>399.58645130739569</v>
      </c>
      <c r="BI48" s="60">
        <f t="shared" si="128"/>
        <v>526.2612987672162</v>
      </c>
      <c r="BJ48" s="60">
        <f t="shared" si="129"/>
        <v>717.05372022175197</v>
      </c>
      <c r="BK48" s="60">
        <f t="shared" si="130"/>
        <v>1036.6065111643422</v>
      </c>
      <c r="BL48" s="60">
        <f t="shared" si="131"/>
        <v>1679.0016990342269</v>
      </c>
      <c r="BM48" s="60">
        <f t="shared" si="132"/>
        <v>-298.62171771081648</v>
      </c>
      <c r="BN48" s="60">
        <f t="shared" si="133"/>
        <v>-120.47625086579956</v>
      </c>
      <c r="BO48" s="60">
        <f t="shared" si="134"/>
        <v>0</v>
      </c>
      <c r="BP48" s="60">
        <f t="shared" si="135"/>
        <v>121.64823098427178</v>
      </c>
      <c r="BQ48" s="60">
        <f t="shared" si="136"/>
        <v>306.0067713183912</v>
      </c>
      <c r="BR48" s="60">
        <f t="shared" si="137"/>
        <v>617.32791722561842</v>
      </c>
      <c r="BS48" s="60">
        <f t="shared" si="138"/>
        <v>1250.3134413610655</v>
      </c>
      <c r="BT48" s="60">
        <f t="shared" si="139"/>
        <v>-604.85401520731443</v>
      </c>
      <c r="BU48" s="60">
        <f t="shared" si="140"/>
        <v>-440.323921790648</v>
      </c>
      <c r="BV48" s="60">
        <f t="shared" si="141"/>
        <v>-327.85841084234335</v>
      </c>
      <c r="BW48" s="60">
        <f t="shared" si="142"/>
        <v>-213.45708201483603</v>
      </c>
      <c r="BX48" s="60">
        <f t="shared" si="143"/>
        <v>-38.683453933301735</v>
      </c>
      <c r="BY48" s="60">
        <f t="shared" si="144"/>
        <v>259.61279566295389</v>
      </c>
      <c r="BZ48" s="60">
        <f t="shared" si="145"/>
        <v>875.11340415796326</v>
      </c>
      <c r="CA48" s="60">
        <f t="shared" si="146"/>
        <v>-846.41147389006562</v>
      </c>
      <c r="CB48" s="60">
        <f t="shared" si="147"/>
        <v>-697.68315426448737</v>
      </c>
      <c r="CC48" s="60">
        <f t="shared" si="148"/>
        <v>-594.71116567265085</v>
      </c>
      <c r="CD48" s="60">
        <f t="shared" si="149"/>
        <v>-489.03775071348377</v>
      </c>
      <c r="CE48" s="60">
        <f t="shared" si="150"/>
        <v>-326.039643969591</v>
      </c>
      <c r="CF48" s="60">
        <f t="shared" si="151"/>
        <v>-44.272601934968634</v>
      </c>
      <c r="CG48" s="60">
        <f t="shared" si="152"/>
        <v>547.45972474292216</v>
      </c>
      <c r="CH48" s="60">
        <f t="shared" si="153"/>
        <v>-1181.2960002919904</v>
      </c>
      <c r="CI48" s="60">
        <f t="shared" si="154"/>
        <v>-1066.0154830073373</v>
      </c>
      <c r="CJ48" s="60">
        <f t="shared" si="155"/>
        <v>-983.71813531940461</v>
      </c>
      <c r="CK48" s="60">
        <f t="shared" si="156"/>
        <v>-897.45217215546802</v>
      </c>
      <c r="CL48" s="60">
        <f t="shared" si="157"/>
        <v>-761.28184682275844</v>
      </c>
      <c r="CM48" s="60">
        <f t="shared" si="158"/>
        <v>-518.5660961461565</v>
      </c>
      <c r="CN48" s="60">
        <f t="shared" si="159"/>
        <v>13.227488160069925</v>
      </c>
    </row>
    <row r="49" spans="1:92" x14ac:dyDescent="0.35">
      <c r="A49" s="3" t="s">
        <v>1</v>
      </c>
      <c r="B49" s="4">
        <f>VLOOKUP(A49,PriceData!$K$4:$L$6,2,FALSE)</f>
        <v>2905</v>
      </c>
      <c r="C49" s="46">
        <f>VLOOKUP(A49,PriceData!$K$4:$M$6,3,FALSE)</f>
        <v>2.1999999999999999E-2</v>
      </c>
      <c r="D49" s="4" t="s">
        <v>108</v>
      </c>
      <c r="E49" s="4" t="s">
        <v>114</v>
      </c>
      <c r="F49" s="4">
        <v>-20</v>
      </c>
      <c r="G49" s="4">
        <v>3254</v>
      </c>
      <c r="H49" s="4" t="s">
        <v>111</v>
      </c>
      <c r="I49" s="5">
        <v>40347</v>
      </c>
      <c r="J49" s="46">
        <f t="shared" si="80"/>
        <v>0.32953064934971316</v>
      </c>
      <c r="K49" s="30">
        <f>VLOOKUP(I49,PriceData!$A$5:$D$7,MATCH($E49,PriceData!$A$4:$D$4,0),FALSE)</f>
        <v>2.3E-2</v>
      </c>
      <c r="L49" s="2">
        <f t="shared" si="81"/>
        <v>126.62422408051043</v>
      </c>
      <c r="M49" s="2">
        <f t="shared" si="82"/>
        <v>-2532.4844816102086</v>
      </c>
      <c r="N49" s="4" t="s">
        <v>107</v>
      </c>
      <c r="P49" s="60">
        <f t="shared" si="83"/>
        <v>979.94893212571617</v>
      </c>
      <c r="Q49" s="60">
        <f t="shared" si="84"/>
        <v>2425.2517712914055</v>
      </c>
      <c r="R49" s="58">
        <f t="shared" si="85"/>
        <v>6.9628477684274861</v>
      </c>
      <c r="S49" s="58">
        <f t="shared" si="86"/>
        <v>545.53778294329254</v>
      </c>
      <c r="T49" s="58">
        <f t="shared" si="87"/>
        <v>-0.71623772663935259</v>
      </c>
      <c r="U49" s="2">
        <f t="shared" si="88"/>
        <v>3.7172227007996632</v>
      </c>
      <c r="V49" s="65">
        <f t="shared" si="89"/>
        <v>-19598.978642514325</v>
      </c>
      <c r="W49" s="65">
        <f t="shared" si="90"/>
        <v>-48505.035425828108</v>
      </c>
      <c r="X49" s="78">
        <f t="shared" si="91"/>
        <v>-139.25695536854971</v>
      </c>
      <c r="Y49" s="78">
        <f t="shared" si="92"/>
        <v>-10910.755658865852</v>
      </c>
      <c r="Z49" s="78">
        <f t="shared" si="93"/>
        <v>14.324754532787052</v>
      </c>
      <c r="AA49" s="78">
        <f t="shared" si="94"/>
        <v>-74.344454015993264</v>
      </c>
      <c r="AB49" s="78">
        <f t="shared" si="95"/>
        <v>2221.2088265258753</v>
      </c>
      <c r="AC49" s="78">
        <f t="shared" si="96"/>
        <v>1497.6732690213635</v>
      </c>
      <c r="AD49" s="78">
        <f t="shared" si="97"/>
        <v>861.01877813934152</v>
      </c>
      <c r="AE49" s="78">
        <f t="shared" si="98"/>
        <v>372.70631015515619</v>
      </c>
      <c r="AF49" s="78">
        <f t="shared" si="99"/>
        <v>-411.48289036250617</v>
      </c>
      <c r="AG49" s="78">
        <f t="shared" si="100"/>
        <v>-1102.4765045911545</v>
      </c>
      <c r="AH49" s="78">
        <f t="shared" si="101"/>
        <v>-2450.9622401116485</v>
      </c>
      <c r="AI49" s="78">
        <f t="shared" si="102"/>
        <v>-5848.8681708587046</v>
      </c>
      <c r="AJ49" s="78">
        <f t="shared" si="103"/>
        <v>1316.1803916777626</v>
      </c>
      <c r="AK49" s="78">
        <f t="shared" si="104"/>
        <v>680.32401236912619</v>
      </c>
      <c r="AL49" s="78">
        <f t="shared" si="105"/>
        <v>276.19546067435522</v>
      </c>
      <c r="AM49" s="78">
        <f t="shared" si="106"/>
        <v>138.69484009502457</v>
      </c>
      <c r="AN49" s="78">
        <f t="shared" si="107"/>
        <v>-139.78676612280424</v>
      </c>
      <c r="AO49" s="78">
        <f t="shared" si="108"/>
        <v>-280.57339633380934</v>
      </c>
      <c r="AP49" s="78">
        <f t="shared" si="109"/>
        <v>-708.14064728987432</v>
      </c>
      <c r="AQ49" s="78">
        <f t="shared" si="110"/>
        <v>-1434.3531170379151</v>
      </c>
      <c r="AR49" s="60">
        <f t="shared" si="111"/>
        <v>2397.2597913265208</v>
      </c>
      <c r="AS49" s="60">
        <f t="shared" si="112"/>
        <v>2301.2611932861446</v>
      </c>
      <c r="AT49" s="60">
        <f t="shared" si="113"/>
        <v>2221.2088265258753</v>
      </c>
      <c r="AU49" s="60">
        <f t="shared" si="114"/>
        <v>2128.7128544495436</v>
      </c>
      <c r="AV49" s="60">
        <f t="shared" si="115"/>
        <v>1967.8806558825017</v>
      </c>
      <c r="AW49" s="60">
        <f t="shared" si="116"/>
        <v>1646.6615165708095</v>
      </c>
      <c r="AX49" s="60">
        <f t="shared" si="117"/>
        <v>844.18962953038999</v>
      </c>
      <c r="AY49" s="60">
        <f t="shared" si="118"/>
        <v>1916.0048688060647</v>
      </c>
      <c r="AZ49" s="60">
        <f t="shared" si="119"/>
        <v>1674.5929693486391</v>
      </c>
      <c r="BA49" s="60">
        <f t="shared" si="120"/>
        <v>1497.6732690213635</v>
      </c>
      <c r="BB49" s="60">
        <f t="shared" si="121"/>
        <v>1309.6937259568256</v>
      </c>
      <c r="BC49" s="60">
        <f t="shared" si="122"/>
        <v>1009.7776896752748</v>
      </c>
      <c r="BD49" s="60">
        <f t="shared" si="123"/>
        <v>470.84941299320462</v>
      </c>
      <c r="BE49" s="60">
        <f t="shared" si="124"/>
        <v>-710.37367964674104</v>
      </c>
      <c r="BF49" s="60">
        <f t="shared" si="125"/>
        <v>1416.6246509990401</v>
      </c>
      <c r="BG49" s="60">
        <f t="shared" si="126"/>
        <v>1090.41149215921</v>
      </c>
      <c r="BH49" s="60">
        <f t="shared" si="127"/>
        <v>861.01877813934152</v>
      </c>
      <c r="BI49" s="60">
        <f t="shared" si="128"/>
        <v>623.68526659012559</v>
      </c>
      <c r="BJ49" s="60">
        <f t="shared" si="129"/>
        <v>255.18852376245832</v>
      </c>
      <c r="BK49" s="60">
        <f t="shared" si="130"/>
        <v>-385.22081927879299</v>
      </c>
      <c r="BL49" s="60">
        <f t="shared" si="131"/>
        <v>-1732.0174238406321</v>
      </c>
      <c r="BM49" s="60">
        <f t="shared" si="132"/>
        <v>680.32401236912619</v>
      </c>
      <c r="BN49" s="60">
        <f t="shared" si="133"/>
        <v>276.19546067435522</v>
      </c>
      <c r="BO49" s="60">
        <f t="shared" si="134"/>
        <v>0</v>
      </c>
      <c r="BP49" s="60">
        <f t="shared" si="135"/>
        <v>-280.57339633380934</v>
      </c>
      <c r="BQ49" s="60">
        <f t="shared" si="136"/>
        <v>-708.14064728987432</v>
      </c>
      <c r="BR49" s="60">
        <f t="shared" si="137"/>
        <v>-1434.3531170379151</v>
      </c>
      <c r="BS49" s="60">
        <f t="shared" si="138"/>
        <v>-2918.837664786015</v>
      </c>
      <c r="BT49" s="60">
        <f t="shared" si="139"/>
        <v>-326.11209828025494</v>
      </c>
      <c r="BU49" s="60">
        <f t="shared" si="140"/>
        <v>-790.53860005789375</v>
      </c>
      <c r="BV49" s="60">
        <f t="shared" si="141"/>
        <v>-1102.4765045911545</v>
      </c>
      <c r="BW49" s="60">
        <f t="shared" si="142"/>
        <v>-1415.8507161855732</v>
      </c>
      <c r="BX49" s="60">
        <f t="shared" si="143"/>
        <v>-1888.0107651328217</v>
      </c>
      <c r="BY49" s="60">
        <f t="shared" si="144"/>
        <v>-2678.8611322247925</v>
      </c>
      <c r="BZ49" s="60">
        <f t="shared" si="145"/>
        <v>-4267.8260000250157</v>
      </c>
      <c r="CA49" s="60">
        <f t="shared" si="146"/>
        <v>-1617.6857037913987</v>
      </c>
      <c r="CB49" s="60">
        <f t="shared" si="147"/>
        <v>-2117.6921495027591</v>
      </c>
      <c r="CC49" s="60">
        <f t="shared" si="148"/>
        <v>-2450.9622401116485</v>
      </c>
      <c r="CD49" s="60">
        <f t="shared" si="149"/>
        <v>-2784.1276908928012</v>
      </c>
      <c r="CE49" s="60">
        <f t="shared" si="150"/>
        <v>-3283.6015183866766</v>
      </c>
      <c r="CF49" s="60">
        <f t="shared" si="151"/>
        <v>-4115.0786315672622</v>
      </c>
      <c r="CG49" s="60">
        <f t="shared" si="152"/>
        <v>-5773.0208893342433</v>
      </c>
      <c r="CH49" s="60">
        <f t="shared" si="153"/>
        <v>-5025.8819200413882</v>
      </c>
      <c r="CI49" s="60">
        <f t="shared" si="154"/>
        <v>-5517.9280704397524</v>
      </c>
      <c r="CJ49" s="60">
        <f t="shared" si="155"/>
        <v>-5848.8681708587046</v>
      </c>
      <c r="CK49" s="60">
        <f t="shared" si="156"/>
        <v>-6181.6225591784087</v>
      </c>
      <c r="CL49" s="60">
        <f t="shared" si="157"/>
        <v>-6683.4293820323091</v>
      </c>
      <c r="CM49" s="60">
        <f t="shared" si="158"/>
        <v>-7524.856340884885</v>
      </c>
      <c r="CN49" s="60">
        <f t="shared" si="159"/>
        <v>-9217.727520899738</v>
      </c>
    </row>
    <row r="50" spans="1:92" x14ac:dyDescent="0.35">
      <c r="A50" s="3" t="s">
        <v>1</v>
      </c>
      <c r="B50" s="4">
        <f>VLOOKUP(A50,PriceData!$K$4:$L$6,2,FALSE)</f>
        <v>2905</v>
      </c>
      <c r="C50" s="46">
        <f>VLOOKUP(A50,PriceData!$K$4:$M$6,3,FALSE)</f>
        <v>2.1999999999999999E-2</v>
      </c>
      <c r="D50" s="4" t="s">
        <v>108</v>
      </c>
      <c r="E50" s="4" t="s">
        <v>114</v>
      </c>
      <c r="F50" s="4">
        <v>-40</v>
      </c>
      <c r="G50" s="4">
        <v>2818</v>
      </c>
      <c r="H50" s="4" t="s">
        <v>109</v>
      </c>
      <c r="I50" s="5">
        <v>40347</v>
      </c>
      <c r="J50" s="46">
        <f t="shared" si="80"/>
        <v>0.37669519516657596</v>
      </c>
      <c r="K50" s="30">
        <f>VLOOKUP(I50,PriceData!$A$5:$D$7,MATCH($E50,PriceData!$A$4:$D$4,0),FALSE)</f>
        <v>2.3E-2</v>
      </c>
      <c r="L50" s="2">
        <f t="shared" si="81"/>
        <v>238.78242357083286</v>
      </c>
      <c r="M50" s="2">
        <f t="shared" si="82"/>
        <v>-9551.2969428333145</v>
      </c>
      <c r="N50" s="4" t="s">
        <v>107</v>
      </c>
      <c r="P50" s="60">
        <f t="shared" si="83"/>
        <v>-1156.4630723736047</v>
      </c>
      <c r="Q50" s="60">
        <f t="shared" si="84"/>
        <v>2238.3477505150181</v>
      </c>
      <c r="R50" s="58">
        <f t="shared" si="85"/>
        <v>7.346016438039257</v>
      </c>
      <c r="S50" s="58">
        <f t="shared" si="86"/>
        <v>-0.12708011031559752</v>
      </c>
      <c r="T50" s="58">
        <f t="shared" si="87"/>
        <v>-0.85197658391114661</v>
      </c>
      <c r="U50" s="2">
        <f t="shared" si="88"/>
        <v>-6.0779187357579616</v>
      </c>
      <c r="V50" s="65">
        <f t="shared" si="89"/>
        <v>46258.522894944188</v>
      </c>
      <c r="W50" s="65">
        <f t="shared" si="90"/>
        <v>-89533.910020600728</v>
      </c>
      <c r="X50" s="78">
        <f t="shared" si="91"/>
        <v>-293.84065752157028</v>
      </c>
      <c r="Y50" s="78">
        <f t="shared" si="92"/>
        <v>5.0832044126239007</v>
      </c>
      <c r="Z50" s="78">
        <f t="shared" si="93"/>
        <v>34.079063356445864</v>
      </c>
      <c r="AA50" s="78">
        <f t="shared" si="94"/>
        <v>243.11674943031846</v>
      </c>
      <c r="AB50" s="78">
        <f t="shared" si="95"/>
        <v>-13131.051570060927</v>
      </c>
      <c r="AC50" s="78">
        <f t="shared" si="96"/>
        <v>-5571.4060014892766</v>
      </c>
      <c r="AD50" s="78">
        <f t="shared" si="97"/>
        <v>-2543.6858631993164</v>
      </c>
      <c r="AE50" s="78">
        <f t="shared" si="98"/>
        <v>-961.44854381630466</v>
      </c>
      <c r="AF50" s="78">
        <f t="shared" si="99"/>
        <v>889.84573598194402</v>
      </c>
      <c r="AG50" s="78">
        <f t="shared" si="100"/>
        <v>2096.9678755342511</v>
      </c>
      <c r="AH50" s="78">
        <f t="shared" si="101"/>
        <v>3796.0359796620878</v>
      </c>
      <c r="AI50" s="78">
        <f t="shared" si="102"/>
        <v>6217.2430768222875</v>
      </c>
      <c r="AJ50" s="78">
        <f t="shared" si="103"/>
        <v>2935.7318900475184</v>
      </c>
      <c r="AK50" s="78">
        <f t="shared" si="104"/>
        <v>1468.9133868638874</v>
      </c>
      <c r="AL50" s="78">
        <f t="shared" si="105"/>
        <v>587.66460450898194</v>
      </c>
      <c r="AM50" s="78">
        <f t="shared" si="106"/>
        <v>293.83874162744178</v>
      </c>
      <c r="AN50" s="78">
        <f t="shared" si="107"/>
        <v>-293.83831796323648</v>
      </c>
      <c r="AO50" s="78">
        <f t="shared" si="108"/>
        <v>-587.66392853978687</v>
      </c>
      <c r="AP50" s="78">
        <f t="shared" si="109"/>
        <v>-1468.9544808762093</v>
      </c>
      <c r="AQ50" s="78">
        <f t="shared" si="110"/>
        <v>-2936.5897497635615</v>
      </c>
      <c r="AR50" s="60">
        <f t="shared" si="111"/>
        <v>-12191.822740110656</v>
      </c>
      <c r="AS50" s="60">
        <f t="shared" si="112"/>
        <v>-12744.656574423962</v>
      </c>
      <c r="AT50" s="60">
        <f t="shared" si="113"/>
        <v>-13131.051570060927</v>
      </c>
      <c r="AU50" s="60">
        <f t="shared" si="114"/>
        <v>-13529.620034988475</v>
      </c>
      <c r="AV50" s="60">
        <f t="shared" si="115"/>
        <v>-14147.044804898378</v>
      </c>
      <c r="AW50" s="60">
        <f t="shared" si="116"/>
        <v>-15218.32152254804</v>
      </c>
      <c r="AX50" s="60">
        <f t="shared" si="117"/>
        <v>-17471.369339990808</v>
      </c>
      <c r="AY50" s="60">
        <f t="shared" si="118"/>
        <v>-4236.4092806703411</v>
      </c>
      <c r="AZ50" s="60">
        <f t="shared" si="119"/>
        <v>-5035.3888919391557</v>
      </c>
      <c r="BA50" s="60">
        <f t="shared" si="120"/>
        <v>-5571.4060014892766</v>
      </c>
      <c r="BB50" s="60">
        <f t="shared" si="121"/>
        <v>-6109.5512474493171</v>
      </c>
      <c r="BC50" s="60">
        <f t="shared" si="122"/>
        <v>-6919.9308334624675</v>
      </c>
      <c r="BD50" s="60">
        <f t="shared" si="123"/>
        <v>-8276.5623497433262</v>
      </c>
      <c r="BE50" s="60">
        <f t="shared" si="124"/>
        <v>-11001.028216019158</v>
      </c>
      <c r="BF50" s="60">
        <f t="shared" si="125"/>
        <v>-1104.8320272290221</v>
      </c>
      <c r="BG50" s="60">
        <f t="shared" si="126"/>
        <v>-1968.2877080182971</v>
      </c>
      <c r="BH50" s="60">
        <f t="shared" si="127"/>
        <v>-2543.6858631993164</v>
      </c>
      <c r="BI50" s="60">
        <f t="shared" si="128"/>
        <v>-3118.8192873474327</v>
      </c>
      <c r="BJ50" s="60">
        <f t="shared" si="129"/>
        <v>-3980.9048618572251</v>
      </c>
      <c r="BK50" s="60">
        <f t="shared" si="130"/>
        <v>-5415.6872632559134</v>
      </c>
      <c r="BL50" s="60">
        <f t="shared" si="131"/>
        <v>-8275.4696466027053</v>
      </c>
      <c r="BM50" s="60">
        <f t="shared" si="132"/>
        <v>1468.9133868638874</v>
      </c>
      <c r="BN50" s="60">
        <f t="shared" si="133"/>
        <v>587.66460450898194</v>
      </c>
      <c r="BO50" s="60">
        <f t="shared" si="134"/>
        <v>0</v>
      </c>
      <c r="BP50" s="60">
        <f t="shared" si="135"/>
        <v>-587.66392853978687</v>
      </c>
      <c r="BQ50" s="60">
        <f t="shared" si="136"/>
        <v>-1468.9544808762093</v>
      </c>
      <c r="BR50" s="60">
        <f t="shared" si="137"/>
        <v>-2936.5897497635615</v>
      </c>
      <c r="BS50" s="60">
        <f t="shared" si="138"/>
        <v>-5864.1422473340026</v>
      </c>
      <c r="BT50" s="60">
        <f t="shared" si="139"/>
        <v>3528.3717718967</v>
      </c>
      <c r="BU50" s="60">
        <f t="shared" si="140"/>
        <v>2672.0478218006974</v>
      </c>
      <c r="BV50" s="60">
        <f t="shared" si="141"/>
        <v>2096.9678755342511</v>
      </c>
      <c r="BW50" s="60">
        <f t="shared" si="142"/>
        <v>1519.2126637882075</v>
      </c>
      <c r="BX50" s="60">
        <f t="shared" si="143"/>
        <v>648.56793434196788</v>
      </c>
      <c r="BY50" s="60">
        <f t="shared" si="144"/>
        <v>-810.25961706027374</v>
      </c>
      <c r="BZ50" s="60">
        <f t="shared" si="145"/>
        <v>-3743.3524720808055</v>
      </c>
      <c r="CA50" s="60">
        <f t="shared" si="146"/>
        <v>5136.0611139234015</v>
      </c>
      <c r="CB50" s="60">
        <f t="shared" si="147"/>
        <v>4338.4337517689482</v>
      </c>
      <c r="CC50" s="60">
        <f t="shared" si="148"/>
        <v>3796.0359796620878</v>
      </c>
      <c r="CD50" s="60">
        <f t="shared" si="149"/>
        <v>3246.6042263151758</v>
      </c>
      <c r="CE50" s="60">
        <f t="shared" si="150"/>
        <v>2411.4744254016523</v>
      </c>
      <c r="CF50" s="60">
        <f t="shared" si="151"/>
        <v>996.82162370456808</v>
      </c>
      <c r="CG50" s="60">
        <f t="shared" si="152"/>
        <v>-1887.7118352339812</v>
      </c>
      <c r="CH50" s="60">
        <f t="shared" si="153"/>
        <v>7280.5108854292412</v>
      </c>
      <c r="CI50" s="60">
        <f t="shared" si="154"/>
        <v>6657.5015068907669</v>
      </c>
      <c r="CJ50" s="60">
        <f t="shared" si="155"/>
        <v>6217.2430768222875</v>
      </c>
      <c r="CK50" s="60">
        <f t="shared" si="156"/>
        <v>5759.7965729469433</v>
      </c>
      <c r="CL50" s="60">
        <f t="shared" si="157"/>
        <v>5045.7411324059603</v>
      </c>
      <c r="CM50" s="60">
        <f t="shared" si="158"/>
        <v>3794.8001771361169</v>
      </c>
      <c r="CN50" s="60">
        <f t="shared" si="159"/>
        <v>1130.963085945682</v>
      </c>
    </row>
    <row r="51" spans="1:92" x14ac:dyDescent="0.35">
      <c r="A51" s="3" t="s">
        <v>1</v>
      </c>
      <c r="B51" s="4">
        <f>VLOOKUP(A51,PriceData!$K$4:$L$6,2,FALSE)</f>
        <v>2905</v>
      </c>
      <c r="C51" s="46">
        <f>VLOOKUP(A51,PriceData!$K$4:$M$6,3,FALSE)</f>
        <v>2.1999999999999999E-2</v>
      </c>
      <c r="D51" s="4" t="s">
        <v>108</v>
      </c>
      <c r="E51" s="4" t="s">
        <v>114</v>
      </c>
      <c r="F51" s="4">
        <v>-50</v>
      </c>
      <c r="G51" s="4">
        <v>3079</v>
      </c>
      <c r="H51" s="4" t="s">
        <v>111</v>
      </c>
      <c r="I51" s="5">
        <v>40347</v>
      </c>
      <c r="J51" s="46">
        <f t="shared" si="80"/>
        <v>0.33882025143471611</v>
      </c>
      <c r="K51" s="30">
        <f>VLOOKUP(I51,PriceData!$A$5:$D$7,MATCH($E51,PriceData!$A$4:$D$4,0),FALSE)</f>
        <v>2.3E-2</v>
      </c>
      <c r="L51" s="2">
        <f t="shared" si="81"/>
        <v>186.9696877524691</v>
      </c>
      <c r="M51" s="2">
        <f t="shared" si="82"/>
        <v>-9348.4843876234554</v>
      </c>
      <c r="N51" s="4" t="s">
        <v>107</v>
      </c>
      <c r="P51" s="60">
        <f t="shared" si="83"/>
        <v>1271.2322064624832</v>
      </c>
      <c r="Q51" s="60">
        <f t="shared" si="84"/>
        <v>2539.162794790027</v>
      </c>
      <c r="R51" s="58">
        <f t="shared" si="85"/>
        <v>7.495388738287394</v>
      </c>
      <c r="S51" s="58">
        <f t="shared" si="86"/>
        <v>119.80245414147275</v>
      </c>
      <c r="T51" s="58">
        <f t="shared" si="87"/>
        <v>-0.79031422574787924</v>
      </c>
      <c r="U51" s="2">
        <f t="shared" si="88"/>
        <v>4.7232257664354034</v>
      </c>
      <c r="V51" s="65">
        <f t="shared" si="89"/>
        <v>-63561.610323124158</v>
      </c>
      <c r="W51" s="65">
        <f t="shared" si="90"/>
        <v>-126958.13973950135</v>
      </c>
      <c r="X51" s="78">
        <f t="shared" si="91"/>
        <v>-374.76943691436969</v>
      </c>
      <c r="Y51" s="78">
        <f t="shared" si="92"/>
        <v>-5990.1227070736377</v>
      </c>
      <c r="Z51" s="78">
        <f t="shared" si="93"/>
        <v>39.515711287393962</v>
      </c>
      <c r="AA51" s="78">
        <f t="shared" si="94"/>
        <v>-236.16128832177017</v>
      </c>
      <c r="AB51" s="78">
        <f t="shared" si="95"/>
        <v>7875.2611561139956</v>
      </c>
      <c r="AC51" s="78">
        <f t="shared" si="96"/>
        <v>5093.9500911810119</v>
      </c>
      <c r="AD51" s="78">
        <f t="shared" si="97"/>
        <v>2860.1966613022228</v>
      </c>
      <c r="AE51" s="78">
        <f t="shared" si="98"/>
        <v>1220.3655699229387</v>
      </c>
      <c r="AF51" s="78">
        <f t="shared" si="99"/>
        <v>-1321.8659939196641</v>
      </c>
      <c r="AG51" s="78">
        <f t="shared" si="100"/>
        <v>-3492.4136259804527</v>
      </c>
      <c r="AH51" s="78">
        <f t="shared" si="101"/>
        <v>-7592.3801451035961</v>
      </c>
      <c r="AI51" s="78">
        <f t="shared" si="102"/>
        <v>-17408.665308119238</v>
      </c>
      <c r="AJ51" s="78">
        <f t="shared" si="103"/>
        <v>3702.0493094780818</v>
      </c>
      <c r="AK51" s="78">
        <f t="shared" si="104"/>
        <v>1864.7104530641627</v>
      </c>
      <c r="AL51" s="78">
        <f t="shared" si="105"/>
        <v>748.24442675391083</v>
      </c>
      <c r="AM51" s="78">
        <f t="shared" si="106"/>
        <v>374.45821340490966</v>
      </c>
      <c r="AN51" s="78">
        <f t="shared" si="107"/>
        <v>-375.05784083313074</v>
      </c>
      <c r="AO51" s="78">
        <f t="shared" si="108"/>
        <v>-750.65034225781346</v>
      </c>
      <c r="AP51" s="78">
        <f t="shared" si="109"/>
        <v>-1880.0778277200266</v>
      </c>
      <c r="AQ51" s="78">
        <f t="shared" si="110"/>
        <v>-3768.6352391516721</v>
      </c>
      <c r="AR51" s="60">
        <f t="shared" si="111"/>
        <v>8565.2062652983441</v>
      </c>
      <c r="AS51" s="60">
        <f t="shared" si="112"/>
        <v>8175.2429652373266</v>
      </c>
      <c r="AT51" s="60">
        <f t="shared" si="113"/>
        <v>7875.2611561139956</v>
      </c>
      <c r="AU51" s="60">
        <f t="shared" si="114"/>
        <v>7546.1801545459848</v>
      </c>
      <c r="AV51" s="60">
        <f t="shared" si="115"/>
        <v>7003.3982644515017</v>
      </c>
      <c r="AW51" s="60">
        <f t="shared" si="116"/>
        <v>5986.6569040556096</v>
      </c>
      <c r="AX51" s="60">
        <f t="shared" si="117"/>
        <v>3637.4552946280801</v>
      </c>
      <c r="AY51" s="60">
        <f t="shared" si="118"/>
        <v>6440.9999981570818</v>
      </c>
      <c r="AZ51" s="60">
        <f t="shared" si="119"/>
        <v>5648.3421025206044</v>
      </c>
      <c r="BA51" s="60">
        <f t="shared" si="120"/>
        <v>5093.9500911810119</v>
      </c>
      <c r="BB51" s="60">
        <f t="shared" si="121"/>
        <v>4522.2424902052007</v>
      </c>
      <c r="BC51" s="60">
        <f t="shared" si="122"/>
        <v>3637.3939298606329</v>
      </c>
      <c r="BD51" s="60">
        <f t="shared" si="123"/>
        <v>2105.2277008548062</v>
      </c>
      <c r="BE51" s="60">
        <f t="shared" si="124"/>
        <v>-1103.7423647388493</v>
      </c>
      <c r="BF51" s="60">
        <f t="shared" si="125"/>
        <v>4504.3079611454741</v>
      </c>
      <c r="BG51" s="60">
        <f t="shared" si="126"/>
        <v>3526.1379268622759</v>
      </c>
      <c r="BH51" s="60">
        <f t="shared" si="127"/>
        <v>2860.1966613022228</v>
      </c>
      <c r="BI51" s="60">
        <f t="shared" si="128"/>
        <v>2185.31241519986</v>
      </c>
      <c r="BJ51" s="60">
        <f t="shared" si="129"/>
        <v>1159.279705585385</v>
      </c>
      <c r="BK51" s="60">
        <f t="shared" si="130"/>
        <v>-578.54638542345356</v>
      </c>
      <c r="BL51" s="60">
        <f t="shared" si="131"/>
        <v>-4119.2508847643294</v>
      </c>
      <c r="BM51" s="60">
        <f t="shared" si="132"/>
        <v>1864.7104530641627</v>
      </c>
      <c r="BN51" s="60">
        <f t="shared" si="133"/>
        <v>748.24442675391083</v>
      </c>
      <c r="BO51" s="60">
        <f t="shared" si="134"/>
        <v>0</v>
      </c>
      <c r="BP51" s="60">
        <f t="shared" si="135"/>
        <v>-750.65034225781346</v>
      </c>
      <c r="BQ51" s="60">
        <f t="shared" si="136"/>
        <v>-1880.0778277200266</v>
      </c>
      <c r="BR51" s="60">
        <f t="shared" si="137"/>
        <v>-3768.6352391516721</v>
      </c>
      <c r="BS51" s="60">
        <f t="shared" si="138"/>
        <v>-7555.2879174461959</v>
      </c>
      <c r="BT51" s="60">
        <f t="shared" si="139"/>
        <v>-1507.3400932815616</v>
      </c>
      <c r="BU51" s="60">
        <f t="shared" si="140"/>
        <v>-2698.7232798288915</v>
      </c>
      <c r="BV51" s="60">
        <f t="shared" si="141"/>
        <v>-3492.4136259804527</v>
      </c>
      <c r="BW51" s="60">
        <f t="shared" si="142"/>
        <v>-4285.5936463534927</v>
      </c>
      <c r="BX51" s="60">
        <f t="shared" si="143"/>
        <v>-5474.3066654547765</v>
      </c>
      <c r="BY51" s="60">
        <f t="shared" si="144"/>
        <v>-7452.3224319449473</v>
      </c>
      <c r="BZ51" s="60">
        <f t="shared" si="145"/>
        <v>-11394.25793098925</v>
      </c>
      <c r="CA51" s="60">
        <f t="shared" si="146"/>
        <v>-5592.0836556029935</v>
      </c>
      <c r="CB51" s="60">
        <f t="shared" si="147"/>
        <v>-6791.4271050282878</v>
      </c>
      <c r="CC51" s="60">
        <f t="shared" si="148"/>
        <v>-7592.3801451035961</v>
      </c>
      <c r="CD51" s="60">
        <f t="shared" si="149"/>
        <v>-8394.08186605425</v>
      </c>
      <c r="CE51" s="60">
        <f t="shared" si="150"/>
        <v>-9597.5102721470303</v>
      </c>
      <c r="CF51" s="60">
        <f t="shared" si="151"/>
        <v>-11604.016068476743</v>
      </c>
      <c r="CG51" s="60">
        <f t="shared" si="152"/>
        <v>-15612.711693074971</v>
      </c>
      <c r="CH51" s="60">
        <f t="shared" si="153"/>
        <v>-15637.855392880158</v>
      </c>
      <c r="CI51" s="60">
        <f t="shared" si="154"/>
        <v>-16688.558270850204</v>
      </c>
      <c r="CJ51" s="60">
        <f t="shared" si="155"/>
        <v>-17408.665308119238</v>
      </c>
      <c r="CK51" s="60">
        <f t="shared" si="156"/>
        <v>-18141.589500675662</v>
      </c>
      <c r="CL51" s="60">
        <f t="shared" si="157"/>
        <v>-19260.79050426864</v>
      </c>
      <c r="CM51" s="60">
        <f t="shared" si="158"/>
        <v>-21166.785661262769</v>
      </c>
      <c r="CN51" s="60">
        <f t="shared" si="159"/>
        <v>-25076.656914906958</v>
      </c>
    </row>
    <row r="52" spans="1:92" x14ac:dyDescent="0.35">
      <c r="A52" s="3" t="s">
        <v>1</v>
      </c>
      <c r="B52" s="4">
        <f>VLOOKUP(A52,PriceData!$K$4:$L$6,2,FALSE)</f>
        <v>2905</v>
      </c>
      <c r="C52" s="46">
        <f>VLOOKUP(A52,PriceData!$K$4:$M$6,3,FALSE)</f>
        <v>2.1999999999999999E-2</v>
      </c>
      <c r="D52" s="4" t="s">
        <v>108</v>
      </c>
      <c r="E52" s="4" t="s">
        <v>114</v>
      </c>
      <c r="F52" s="4">
        <v>-25</v>
      </c>
      <c r="G52" s="4">
        <v>2905</v>
      </c>
      <c r="H52" s="4" t="s">
        <v>109</v>
      </c>
      <c r="I52" s="5">
        <v>40347</v>
      </c>
      <c r="J52" s="46">
        <f t="shared" si="80"/>
        <v>0.36020947541332365</v>
      </c>
      <c r="K52" s="30">
        <f>VLOOKUP(I52,PriceData!$A$5:$D$7,MATCH($E52,PriceData!$A$4:$D$4,0),FALSE)</f>
        <v>2.3E-2</v>
      </c>
      <c r="L52" s="2">
        <f t="shared" si="81"/>
        <v>271.57191542452347</v>
      </c>
      <c r="M52" s="2">
        <f t="shared" si="82"/>
        <v>-6789.2978856130867</v>
      </c>
      <c r="N52" s="4" t="s">
        <v>107</v>
      </c>
      <c r="P52" s="60">
        <f t="shared" si="83"/>
        <v>-1300.4294968291229</v>
      </c>
      <c r="Q52" s="60">
        <f t="shared" si="84"/>
        <v>2396.5867630387206</v>
      </c>
      <c r="R52" s="58">
        <f t="shared" si="85"/>
        <v>7.5211204630561204</v>
      </c>
      <c r="S52" s="58">
        <f t="shared" si="86"/>
        <v>-29.497061053967954</v>
      </c>
      <c r="T52" s="58">
        <f t="shared" si="87"/>
        <v>-0.83126746526660822</v>
      </c>
      <c r="U52" s="2">
        <f t="shared" si="88"/>
        <v>-6.8478965629679376</v>
      </c>
      <c r="V52" s="65">
        <f t="shared" si="89"/>
        <v>32510.73742072807</v>
      </c>
      <c r="W52" s="65">
        <f t="shared" si="90"/>
        <v>-59914.669075968013</v>
      </c>
      <c r="X52" s="78">
        <f t="shared" si="91"/>
        <v>-188.028011576403</v>
      </c>
      <c r="Y52" s="78">
        <f t="shared" si="92"/>
        <v>737.42652634919887</v>
      </c>
      <c r="Z52" s="78">
        <f t="shared" si="93"/>
        <v>20.781686631665206</v>
      </c>
      <c r="AA52" s="78">
        <f t="shared" si="94"/>
        <v>171.19741407419843</v>
      </c>
      <c r="AB52" s="78">
        <f t="shared" si="95"/>
        <v>-8994.6566580580675</v>
      </c>
      <c r="AC52" s="78">
        <f t="shared" si="96"/>
        <v>-3872.2292296399191</v>
      </c>
      <c r="AD52" s="78">
        <f t="shared" si="97"/>
        <v>-1778.6163515118744</v>
      </c>
      <c r="AE52" s="78">
        <f t="shared" si="98"/>
        <v>-674.41001101364009</v>
      </c>
      <c r="AF52" s="78">
        <f t="shared" si="99"/>
        <v>626.50050065811342</v>
      </c>
      <c r="AG52" s="78">
        <f t="shared" si="100"/>
        <v>1479.9107861642028</v>
      </c>
      <c r="AH52" s="78">
        <f t="shared" si="101"/>
        <v>2687.7951343791719</v>
      </c>
      <c r="AI52" s="78">
        <f t="shared" si="102"/>
        <v>4420.8310632043349</v>
      </c>
      <c r="AJ52" s="78">
        <f t="shared" si="103"/>
        <v>1883.6295024301194</v>
      </c>
      <c r="AK52" s="78">
        <f t="shared" si="104"/>
        <v>941.01968698951737</v>
      </c>
      <c r="AL52" s="78">
        <f t="shared" si="105"/>
        <v>376.20081310683418</v>
      </c>
      <c r="AM52" s="78">
        <f t="shared" si="106"/>
        <v>188.06454608953231</v>
      </c>
      <c r="AN52" s="78">
        <f t="shared" si="107"/>
        <v>-187.99080365037639</v>
      </c>
      <c r="AO52" s="78">
        <f t="shared" si="108"/>
        <v>-375.9058459125697</v>
      </c>
      <c r="AP52" s="78">
        <f t="shared" si="109"/>
        <v>-939.17625425789311</v>
      </c>
      <c r="AQ52" s="78">
        <f t="shared" si="110"/>
        <v>-1876.2573829305609</v>
      </c>
      <c r="AR52" s="60">
        <f t="shared" si="111"/>
        <v>-8488.494582022111</v>
      </c>
      <c r="AS52" s="60">
        <f t="shared" si="112"/>
        <v>-8783.1801897291716</v>
      </c>
      <c r="AT52" s="60">
        <f t="shared" si="113"/>
        <v>-8994.6566580580675</v>
      </c>
      <c r="AU52" s="60">
        <f t="shared" si="114"/>
        <v>-9216.5439717725458</v>
      </c>
      <c r="AV52" s="60">
        <f t="shared" si="115"/>
        <v>-9566.3218819541034</v>
      </c>
      <c r="AW52" s="60">
        <f t="shared" si="116"/>
        <v>-10186.38707449395</v>
      </c>
      <c r="AX52" s="60">
        <f t="shared" si="117"/>
        <v>-11525.698342133819</v>
      </c>
      <c r="AY52" s="60">
        <f t="shared" si="118"/>
        <v>-3074.9210423571812</v>
      </c>
      <c r="AZ52" s="60">
        <f t="shared" si="119"/>
        <v>-3550.2990282678979</v>
      </c>
      <c r="BA52" s="60">
        <f t="shared" si="120"/>
        <v>-3872.2292296399191</v>
      </c>
      <c r="BB52" s="60">
        <f t="shared" si="121"/>
        <v>-4197.4150745021125</v>
      </c>
      <c r="BC52" s="60">
        <f t="shared" si="122"/>
        <v>-4690.1964242624954</v>
      </c>
      <c r="BD52" s="60">
        <f t="shared" si="123"/>
        <v>-5521.638239573349</v>
      </c>
      <c r="BE52" s="60">
        <f t="shared" si="124"/>
        <v>-7208.0139588490738</v>
      </c>
      <c r="BF52" s="60">
        <f t="shared" si="125"/>
        <v>-885.4684475413876</v>
      </c>
      <c r="BG52" s="60">
        <f t="shared" si="126"/>
        <v>-1420.7167157292361</v>
      </c>
      <c r="BH52" s="60">
        <f t="shared" si="127"/>
        <v>-1778.6163515118744</v>
      </c>
      <c r="BI52" s="60">
        <f t="shared" si="128"/>
        <v>-2137.1478934482866</v>
      </c>
      <c r="BJ52" s="60">
        <f t="shared" si="129"/>
        <v>-2675.805277294995</v>
      </c>
      <c r="BK52" s="60">
        <f t="shared" si="130"/>
        <v>-3574.9088410834984</v>
      </c>
      <c r="BL52" s="60">
        <f t="shared" si="131"/>
        <v>-5373.6837424955011</v>
      </c>
      <c r="BM52" s="60">
        <f t="shared" si="132"/>
        <v>941.01968698951737</v>
      </c>
      <c r="BN52" s="60">
        <f t="shared" si="133"/>
        <v>376.20081310683418</v>
      </c>
      <c r="BO52" s="60">
        <f t="shared" si="134"/>
        <v>0</v>
      </c>
      <c r="BP52" s="60">
        <f t="shared" si="135"/>
        <v>-375.9058459125697</v>
      </c>
      <c r="BQ52" s="60">
        <f t="shared" si="136"/>
        <v>-939.17625425789311</v>
      </c>
      <c r="BR52" s="60">
        <f t="shared" si="137"/>
        <v>-1876.2573829305609</v>
      </c>
      <c r="BS52" s="60">
        <f t="shared" si="138"/>
        <v>-3743.13645754562</v>
      </c>
      <c r="BT52" s="60">
        <f t="shared" si="139"/>
        <v>2420.4669487968258</v>
      </c>
      <c r="BU52" s="60">
        <f t="shared" si="140"/>
        <v>1856.7520498413955</v>
      </c>
      <c r="BV52" s="60">
        <f t="shared" si="141"/>
        <v>1479.9107861642028</v>
      </c>
      <c r="BW52" s="60">
        <f t="shared" si="142"/>
        <v>1102.4649192962045</v>
      </c>
      <c r="BX52" s="60">
        <f t="shared" si="143"/>
        <v>535.48528211868529</v>
      </c>
      <c r="BY52" s="60">
        <f t="shared" si="144"/>
        <v>-410.69484302341834</v>
      </c>
      <c r="BZ52" s="60">
        <f t="shared" si="145"/>
        <v>-2303.1494380515769</v>
      </c>
      <c r="CA52" s="60">
        <f t="shared" si="146"/>
        <v>3586.0768134602495</v>
      </c>
      <c r="CB52" s="60">
        <f t="shared" si="147"/>
        <v>3049.8952772548164</v>
      </c>
      <c r="CC52" s="60">
        <f t="shared" si="148"/>
        <v>2687.7951343791719</v>
      </c>
      <c r="CD52" s="60">
        <f t="shared" si="149"/>
        <v>2322.696204625413</v>
      </c>
      <c r="CE52" s="60">
        <f t="shared" si="150"/>
        <v>1770.4715867579948</v>
      </c>
      <c r="CF52" s="60">
        <f t="shared" si="151"/>
        <v>840.92828824975072</v>
      </c>
      <c r="CG52" s="60">
        <f t="shared" si="152"/>
        <v>-1038.7757258848694</v>
      </c>
      <c r="CH52" s="60">
        <f t="shared" si="153"/>
        <v>5152.5981909526536</v>
      </c>
      <c r="CI52" s="60">
        <f t="shared" si="154"/>
        <v>4722.2506358278079</v>
      </c>
      <c r="CJ52" s="60">
        <f t="shared" si="155"/>
        <v>4420.8310632043349</v>
      </c>
      <c r="CK52" s="60">
        <f t="shared" si="156"/>
        <v>4109.5751356141245</v>
      </c>
      <c r="CL52" s="60">
        <f t="shared" si="157"/>
        <v>3626.9820917814172</v>
      </c>
      <c r="CM52" s="60">
        <f t="shared" si="158"/>
        <v>2789.047536630474</v>
      </c>
      <c r="CN52" s="60">
        <f t="shared" si="159"/>
        <v>1026.3482208483224</v>
      </c>
    </row>
    <row r="53" spans="1:92" x14ac:dyDescent="0.35">
      <c r="A53" s="3" t="s">
        <v>1</v>
      </c>
      <c r="B53" s="4">
        <f>VLOOKUP(A53,PriceData!$K$4:$L$6,2,FALSE)</f>
        <v>2905</v>
      </c>
      <c r="C53" s="46">
        <f>VLOOKUP(A53,PriceData!$K$4:$M$6,3,FALSE)</f>
        <v>2.1999999999999999E-2</v>
      </c>
      <c r="D53" s="4" t="s">
        <v>108</v>
      </c>
      <c r="E53" s="4" t="s">
        <v>114</v>
      </c>
      <c r="F53" s="4">
        <v>-20</v>
      </c>
      <c r="G53" s="4">
        <v>3341</v>
      </c>
      <c r="H53" s="4" t="s">
        <v>111</v>
      </c>
      <c r="I53" s="5">
        <v>40347</v>
      </c>
      <c r="J53" s="46">
        <f t="shared" si="80"/>
        <v>0.32811799827176868</v>
      </c>
      <c r="K53" s="30">
        <f>VLOOKUP(I53,PriceData!$A$5:$D$7,MATCH($E53,PriceData!$A$4:$D$4,0),FALSE)</f>
        <v>2.3E-2</v>
      </c>
      <c r="L53" s="2">
        <f t="shared" si="81"/>
        <v>104.5547774814396</v>
      </c>
      <c r="M53" s="2">
        <f t="shared" si="82"/>
        <v>-2091.095549628792</v>
      </c>
      <c r="N53" s="4" t="s">
        <v>112</v>
      </c>
      <c r="P53" s="60">
        <f t="shared" si="83"/>
        <v>852.19575727293477</v>
      </c>
      <c r="Q53" s="60">
        <f t="shared" si="84"/>
        <v>2296.3143233678788</v>
      </c>
      <c r="R53" s="58">
        <f t="shared" si="85"/>
        <v>6.564409173184397</v>
      </c>
      <c r="S53" s="58">
        <f t="shared" si="86"/>
        <v>805.50390439952787</v>
      </c>
      <c r="T53" s="58">
        <f t="shared" si="87"/>
        <v>-0.67307369454553478</v>
      </c>
      <c r="U53" s="2">
        <f t="shared" si="88"/>
        <v>3.2568470078588416</v>
      </c>
      <c r="V53" s="65">
        <f t="shared" si="89"/>
        <v>-17043.915145458697</v>
      </c>
      <c r="W53" s="65">
        <f t="shared" si="90"/>
        <v>-45926.286467357575</v>
      </c>
      <c r="X53" s="78">
        <f t="shared" si="91"/>
        <v>-131.28818346368794</v>
      </c>
      <c r="Y53" s="78">
        <f t="shared" si="92"/>
        <v>-16110.078087990558</v>
      </c>
      <c r="Z53" s="78">
        <f t="shared" si="93"/>
        <v>13.461473890910696</v>
      </c>
      <c r="AA53" s="78">
        <f t="shared" si="94"/>
        <v>-65.136940157176838</v>
      </c>
      <c r="AB53" s="78">
        <f t="shared" si="95"/>
        <v>1859.3703837442365</v>
      </c>
      <c r="AC53" s="78">
        <f t="shared" si="96"/>
        <v>1275.144699833877</v>
      </c>
      <c r="AD53" s="78">
        <f t="shared" si="97"/>
        <v>740.68076225228651</v>
      </c>
      <c r="AE53" s="78">
        <f t="shared" si="98"/>
        <v>322.70065321936727</v>
      </c>
      <c r="AF53" s="78">
        <f t="shared" si="99"/>
        <v>-359.41644376053773</v>
      </c>
      <c r="AG53" s="78">
        <f t="shared" si="100"/>
        <v>-969.3310346651424</v>
      </c>
      <c r="AH53" s="78">
        <f t="shared" si="101"/>
        <v>-2178.237424652682</v>
      </c>
      <c r="AI53" s="78">
        <f t="shared" si="102"/>
        <v>-5302.4737038401254</v>
      </c>
      <c r="AJ53" s="78">
        <f t="shared" si="103"/>
        <v>1203.11969304277</v>
      </c>
      <c r="AK53" s="78">
        <f t="shared" si="104"/>
        <v>633.14287911683095</v>
      </c>
      <c r="AL53" s="78">
        <f t="shared" si="105"/>
        <v>259.16754444104754</v>
      </c>
      <c r="AM53" s="78">
        <f t="shared" si="106"/>
        <v>130.45991366237786</v>
      </c>
      <c r="AN53" s="78">
        <f t="shared" si="107"/>
        <v>-132.07201273735109</v>
      </c>
      <c r="AO53" s="78">
        <f t="shared" si="108"/>
        <v>-265.6290605598565</v>
      </c>
      <c r="AP53" s="78">
        <f t="shared" si="109"/>
        <v>-674.10781601005965</v>
      </c>
      <c r="AQ53" s="78">
        <f t="shared" si="110"/>
        <v>-1375.6398268486691</v>
      </c>
      <c r="AR53" s="60">
        <f t="shared" si="111"/>
        <v>1999.4667893149285</v>
      </c>
      <c r="AS53" s="60">
        <f t="shared" si="112"/>
        <v>1924.4558060673262</v>
      </c>
      <c r="AT53" s="60">
        <f t="shared" si="113"/>
        <v>1859.3703837442365</v>
      </c>
      <c r="AU53" s="60">
        <f t="shared" si="114"/>
        <v>1782.2009947868942</v>
      </c>
      <c r="AV53" s="60">
        <f t="shared" si="115"/>
        <v>1644.4246385607539</v>
      </c>
      <c r="AW53" s="60">
        <f t="shared" si="116"/>
        <v>1360.2288636932303</v>
      </c>
      <c r="AX53" s="60">
        <f t="shared" si="117"/>
        <v>621.5705409114571</v>
      </c>
      <c r="AY53" s="60">
        <f t="shared" si="118"/>
        <v>1636.9856774464688</v>
      </c>
      <c r="AZ53" s="60">
        <f t="shared" si="119"/>
        <v>1430.4722420166206</v>
      </c>
      <c r="BA53" s="60">
        <f t="shared" si="120"/>
        <v>1275.144699833877</v>
      </c>
      <c r="BB53" s="60">
        <f t="shared" si="121"/>
        <v>1107.3266577785023</v>
      </c>
      <c r="BC53" s="60">
        <f t="shared" si="122"/>
        <v>834.97653597505177</v>
      </c>
      <c r="BD53" s="60">
        <f t="shared" si="123"/>
        <v>335.28184223916014</v>
      </c>
      <c r="BE53" s="60">
        <f t="shared" si="124"/>
        <v>-788.37235043147757</v>
      </c>
      <c r="BF53" s="60">
        <f t="shared" si="125"/>
        <v>1239.7554265418512</v>
      </c>
      <c r="BG53" s="60">
        <f t="shared" si="126"/>
        <v>949.12633002540019</v>
      </c>
      <c r="BH53" s="60">
        <f t="shared" si="127"/>
        <v>740.68076225228651</v>
      </c>
      <c r="BI53" s="60">
        <f t="shared" si="128"/>
        <v>522.27221465521097</v>
      </c>
      <c r="BJ53" s="60">
        <f t="shared" si="129"/>
        <v>178.75752656144414</v>
      </c>
      <c r="BK53" s="60">
        <f t="shared" si="130"/>
        <v>-427.72926961720714</v>
      </c>
      <c r="BL53" s="60">
        <f t="shared" si="131"/>
        <v>-1728.2108970630725</v>
      </c>
      <c r="BM53" s="60">
        <f t="shared" si="132"/>
        <v>633.14287911683095</v>
      </c>
      <c r="BN53" s="60">
        <f t="shared" si="133"/>
        <v>259.16754444104754</v>
      </c>
      <c r="BO53" s="60">
        <f t="shared" si="134"/>
        <v>0</v>
      </c>
      <c r="BP53" s="60">
        <f t="shared" si="135"/>
        <v>-265.6290605598565</v>
      </c>
      <c r="BQ53" s="60">
        <f t="shared" si="136"/>
        <v>-674.10781601005965</v>
      </c>
      <c r="BR53" s="60">
        <f t="shared" si="137"/>
        <v>-1375.6398268486691</v>
      </c>
      <c r="BS53" s="60">
        <f t="shared" si="138"/>
        <v>-2829.4282717095007</v>
      </c>
      <c r="BT53" s="60">
        <f t="shared" si="139"/>
        <v>-222.35977704587867</v>
      </c>
      <c r="BU53" s="60">
        <f t="shared" si="140"/>
        <v>-667.68512401988119</v>
      </c>
      <c r="BV53" s="60">
        <f t="shared" si="141"/>
        <v>-969.3310346651424</v>
      </c>
      <c r="BW53" s="60">
        <f t="shared" si="142"/>
        <v>-1274.0067878162063</v>
      </c>
      <c r="BX53" s="60">
        <f t="shared" si="143"/>
        <v>-1735.592336096704</v>
      </c>
      <c r="BY53" s="60">
        <f t="shared" si="144"/>
        <v>-2513.9581987253609</v>
      </c>
      <c r="BZ53" s="60">
        <f t="shared" si="145"/>
        <v>-4090.9048409242837</v>
      </c>
      <c r="CA53" s="60">
        <f t="shared" si="146"/>
        <v>-1351.0250664865839</v>
      </c>
      <c r="CB53" s="60">
        <f t="shared" si="147"/>
        <v>-1846.7294038724435</v>
      </c>
      <c r="CC53" s="60">
        <f t="shared" si="148"/>
        <v>-2178.237424652682</v>
      </c>
      <c r="CD53" s="60">
        <f t="shared" si="149"/>
        <v>-2510.3497605752432</v>
      </c>
      <c r="CE53" s="60">
        <f t="shared" si="150"/>
        <v>-3009.3290967170856</v>
      </c>
      <c r="CF53" s="60">
        <f t="shared" si="151"/>
        <v>-3842.2025659428914</v>
      </c>
      <c r="CG53" s="60">
        <f t="shared" si="152"/>
        <v>-5508.4194826080984</v>
      </c>
      <c r="CH53" s="60">
        <f t="shared" si="153"/>
        <v>-4437.3711926623691</v>
      </c>
      <c r="CI53" s="60">
        <f t="shared" si="154"/>
        <v>-4955.8242559211358</v>
      </c>
      <c r="CJ53" s="60">
        <f t="shared" si="155"/>
        <v>-5302.4737038401254</v>
      </c>
      <c r="CK53" s="60">
        <f t="shared" si="156"/>
        <v>-5649.7089314554505</v>
      </c>
      <c r="CL53" s="60">
        <f t="shared" si="157"/>
        <v>-6171.3389224416205</v>
      </c>
      <c r="CM53" s="60">
        <f t="shared" si="158"/>
        <v>-7041.8753397026267</v>
      </c>
      <c r="CN53" s="60">
        <f t="shared" si="159"/>
        <v>-8783.0822752292697</v>
      </c>
    </row>
    <row r="54" spans="1:92" x14ac:dyDescent="0.35">
      <c r="A54" s="3" t="s">
        <v>1</v>
      </c>
      <c r="B54" s="4">
        <f>VLOOKUP(A54,PriceData!$K$4:$L$6,2,FALSE)</f>
        <v>2905</v>
      </c>
      <c r="C54" s="46">
        <f>VLOOKUP(A54,PriceData!$K$4:$M$6,3,FALSE)</f>
        <v>2.1999999999999999E-2</v>
      </c>
      <c r="D54" s="4" t="s">
        <v>108</v>
      </c>
      <c r="E54" s="4" t="s">
        <v>114</v>
      </c>
      <c r="F54" s="4">
        <v>-10</v>
      </c>
      <c r="G54" s="4">
        <v>2905</v>
      </c>
      <c r="H54" s="4" t="s">
        <v>109</v>
      </c>
      <c r="I54" s="5">
        <v>40347</v>
      </c>
      <c r="J54" s="46">
        <f t="shared" si="80"/>
        <v>0.36020947541332365</v>
      </c>
      <c r="K54" s="30">
        <f>VLOOKUP(I54,PriceData!$A$5:$D$7,MATCH($E54,PriceData!$A$4:$D$4,0),FALSE)</f>
        <v>2.3E-2</v>
      </c>
      <c r="L54" s="2">
        <f t="shared" si="81"/>
        <v>271.57191542452347</v>
      </c>
      <c r="M54" s="2">
        <f t="shared" si="82"/>
        <v>-2715.7191542452347</v>
      </c>
      <c r="N54" s="4" t="s">
        <v>107</v>
      </c>
      <c r="P54" s="60">
        <f t="shared" si="83"/>
        <v>-1300.4294968291229</v>
      </c>
      <c r="Q54" s="60">
        <f t="shared" si="84"/>
        <v>2396.5867630387206</v>
      </c>
      <c r="R54" s="58">
        <f t="shared" si="85"/>
        <v>7.5211204630561204</v>
      </c>
      <c r="S54" s="58">
        <f t="shared" si="86"/>
        <v>-29.497061053967954</v>
      </c>
      <c r="T54" s="58">
        <f t="shared" si="87"/>
        <v>-0.83126746526660822</v>
      </c>
      <c r="U54" s="2">
        <f t="shared" si="88"/>
        <v>-6.8478965629679376</v>
      </c>
      <c r="V54" s="65">
        <f t="shared" si="89"/>
        <v>13004.294968291229</v>
      </c>
      <c r="W54" s="65">
        <f t="shared" si="90"/>
        <v>-23965.867630387205</v>
      </c>
      <c r="X54" s="78">
        <f t="shared" si="91"/>
        <v>-75.211204630561198</v>
      </c>
      <c r="Y54" s="78">
        <f t="shared" si="92"/>
        <v>294.97061053967957</v>
      </c>
      <c r="Z54" s="78">
        <f t="shared" si="93"/>
        <v>8.3126746526660824</v>
      </c>
      <c r="AA54" s="78">
        <f t="shared" si="94"/>
        <v>68.478965629679379</v>
      </c>
      <c r="AB54" s="78">
        <f t="shared" si="95"/>
        <v>-3597.8626632232272</v>
      </c>
      <c r="AC54" s="78">
        <f t="shared" si="96"/>
        <v>-1548.8916918559676</v>
      </c>
      <c r="AD54" s="78">
        <f t="shared" si="97"/>
        <v>-711.44654060474977</v>
      </c>
      <c r="AE54" s="78">
        <f t="shared" si="98"/>
        <v>-269.76400440545603</v>
      </c>
      <c r="AF54" s="78">
        <f t="shared" si="99"/>
        <v>250.60020026324537</v>
      </c>
      <c r="AG54" s="78">
        <f t="shared" si="100"/>
        <v>591.96431446568113</v>
      </c>
      <c r="AH54" s="78">
        <f t="shared" si="101"/>
        <v>1075.1180537516689</v>
      </c>
      <c r="AI54" s="78">
        <f t="shared" si="102"/>
        <v>1768.332425281734</v>
      </c>
      <c r="AJ54" s="78">
        <f t="shared" si="103"/>
        <v>753.45180097204775</v>
      </c>
      <c r="AK54" s="78">
        <f t="shared" si="104"/>
        <v>376.40787479580695</v>
      </c>
      <c r="AL54" s="78">
        <f t="shared" si="105"/>
        <v>150.48032524273367</v>
      </c>
      <c r="AM54" s="78">
        <f t="shared" si="106"/>
        <v>75.225818435812926</v>
      </c>
      <c r="AN54" s="78">
        <f t="shared" si="107"/>
        <v>-75.196321460150557</v>
      </c>
      <c r="AO54" s="78">
        <f t="shared" si="108"/>
        <v>-150.36233836502788</v>
      </c>
      <c r="AP54" s="78">
        <f t="shared" si="109"/>
        <v>-375.67050170315724</v>
      </c>
      <c r="AQ54" s="78">
        <f t="shared" si="110"/>
        <v>-750.50295317222435</v>
      </c>
      <c r="AR54" s="60">
        <f t="shared" si="111"/>
        <v>-3395.3978328088442</v>
      </c>
      <c r="AS54" s="60">
        <f t="shared" si="112"/>
        <v>-3513.2720758916685</v>
      </c>
      <c r="AT54" s="60">
        <f t="shared" si="113"/>
        <v>-3597.8626632232272</v>
      </c>
      <c r="AU54" s="60">
        <f t="shared" si="114"/>
        <v>-3686.6175887090185</v>
      </c>
      <c r="AV54" s="60">
        <f t="shared" si="115"/>
        <v>-3826.5287527816417</v>
      </c>
      <c r="AW54" s="60">
        <f t="shared" si="116"/>
        <v>-4074.5548297975802</v>
      </c>
      <c r="AX54" s="60">
        <f t="shared" si="117"/>
        <v>-4610.2793368535276</v>
      </c>
      <c r="AY54" s="60">
        <f t="shared" si="118"/>
        <v>-1229.9684169428724</v>
      </c>
      <c r="AZ54" s="60">
        <f t="shared" si="119"/>
        <v>-1420.1196113071592</v>
      </c>
      <c r="BA54" s="60">
        <f t="shared" si="120"/>
        <v>-1548.8916918559676</v>
      </c>
      <c r="BB54" s="60">
        <f t="shared" si="121"/>
        <v>-1678.9660298008448</v>
      </c>
      <c r="BC54" s="60">
        <f t="shared" si="122"/>
        <v>-1876.0785697049982</v>
      </c>
      <c r="BD54" s="60">
        <f t="shared" si="123"/>
        <v>-2208.6552958293396</v>
      </c>
      <c r="BE54" s="60">
        <f t="shared" si="124"/>
        <v>-2883.2055835396295</v>
      </c>
      <c r="BF54" s="60">
        <f t="shared" si="125"/>
        <v>-354.18737901655504</v>
      </c>
      <c r="BG54" s="60">
        <f t="shared" si="126"/>
        <v>-568.28668629169442</v>
      </c>
      <c r="BH54" s="60">
        <f t="shared" si="127"/>
        <v>-711.44654060474977</v>
      </c>
      <c r="BI54" s="60">
        <f t="shared" si="128"/>
        <v>-854.85915737931464</v>
      </c>
      <c r="BJ54" s="60">
        <f t="shared" si="129"/>
        <v>-1070.3221109179981</v>
      </c>
      <c r="BK54" s="60">
        <f t="shared" si="130"/>
        <v>-1429.9635364333994</v>
      </c>
      <c r="BL54" s="60">
        <f t="shared" si="131"/>
        <v>-2149.4734969982005</v>
      </c>
      <c r="BM54" s="60">
        <f t="shared" si="132"/>
        <v>376.40787479580695</v>
      </c>
      <c r="BN54" s="60">
        <f t="shared" si="133"/>
        <v>150.48032524273367</v>
      </c>
      <c r="BO54" s="60">
        <f t="shared" si="134"/>
        <v>0</v>
      </c>
      <c r="BP54" s="60">
        <f t="shared" si="135"/>
        <v>-150.36233836502788</v>
      </c>
      <c r="BQ54" s="60">
        <f t="shared" si="136"/>
        <v>-375.67050170315724</v>
      </c>
      <c r="BR54" s="60">
        <f t="shared" si="137"/>
        <v>-750.50295317222435</v>
      </c>
      <c r="BS54" s="60">
        <f t="shared" si="138"/>
        <v>-1497.254583018248</v>
      </c>
      <c r="BT54" s="60">
        <f t="shared" si="139"/>
        <v>968.18677951873042</v>
      </c>
      <c r="BU54" s="60">
        <f t="shared" si="140"/>
        <v>742.70081993655822</v>
      </c>
      <c r="BV54" s="60">
        <f t="shared" si="141"/>
        <v>591.96431446568113</v>
      </c>
      <c r="BW54" s="60">
        <f t="shared" si="142"/>
        <v>440.98596771848179</v>
      </c>
      <c r="BX54" s="60">
        <f t="shared" si="143"/>
        <v>214.19411284747412</v>
      </c>
      <c r="BY54" s="60">
        <f t="shared" si="144"/>
        <v>-164.27793720936734</v>
      </c>
      <c r="BZ54" s="60">
        <f t="shared" si="145"/>
        <v>-921.25977522063067</v>
      </c>
      <c r="CA54" s="60">
        <f t="shared" si="146"/>
        <v>1434.4307253840998</v>
      </c>
      <c r="CB54" s="60">
        <f t="shared" si="147"/>
        <v>1219.9581109019266</v>
      </c>
      <c r="CC54" s="60">
        <f t="shared" si="148"/>
        <v>1075.1180537516689</v>
      </c>
      <c r="CD54" s="60">
        <f t="shared" si="149"/>
        <v>929.07848185016519</v>
      </c>
      <c r="CE54" s="60">
        <f t="shared" si="150"/>
        <v>708.18863470319798</v>
      </c>
      <c r="CF54" s="60">
        <f t="shared" si="151"/>
        <v>336.37131529990029</v>
      </c>
      <c r="CG54" s="60">
        <f t="shared" si="152"/>
        <v>-415.51029035394777</v>
      </c>
      <c r="CH54" s="60">
        <f t="shared" si="153"/>
        <v>2061.0392763810614</v>
      </c>
      <c r="CI54" s="60">
        <f t="shared" si="154"/>
        <v>1888.9002543311233</v>
      </c>
      <c r="CJ54" s="60">
        <f t="shared" si="155"/>
        <v>1768.332425281734</v>
      </c>
      <c r="CK54" s="60">
        <f t="shared" si="156"/>
        <v>1643.83005424565</v>
      </c>
      <c r="CL54" s="60">
        <f t="shared" si="157"/>
        <v>1450.7928367125669</v>
      </c>
      <c r="CM54" s="60">
        <f t="shared" si="158"/>
        <v>1115.6190146521897</v>
      </c>
      <c r="CN54" s="60">
        <f t="shared" si="159"/>
        <v>410.539288339329</v>
      </c>
    </row>
    <row r="55" spans="1:92" x14ac:dyDescent="0.35">
      <c r="A55" s="3" t="s">
        <v>1</v>
      </c>
      <c r="B55" s="4">
        <f>VLOOKUP(A55,PriceData!$K$4:$L$6,2,FALSE)</f>
        <v>2905</v>
      </c>
      <c r="C55" s="46">
        <f>VLOOKUP(A55,PriceData!$K$4:$M$6,3,FALSE)</f>
        <v>2.1999999999999999E-2</v>
      </c>
      <c r="D55" s="4" t="s">
        <v>108</v>
      </c>
      <c r="E55" s="4" t="s">
        <v>114</v>
      </c>
      <c r="F55" s="4">
        <v>20</v>
      </c>
      <c r="G55" s="4">
        <v>3428</v>
      </c>
      <c r="H55" s="4" t="s">
        <v>111</v>
      </c>
      <c r="I55" s="5">
        <v>40347</v>
      </c>
      <c r="J55" s="46">
        <f t="shared" si="80"/>
        <v>0.32822542861494541</v>
      </c>
      <c r="K55" s="30">
        <f>VLOOKUP(I55,PriceData!$A$5:$D$7,MATCH($E55,PriceData!$A$4:$D$4,0),FALSE)</f>
        <v>2.3E-2</v>
      </c>
      <c r="L55" s="2">
        <f t="shared" si="81"/>
        <v>86.648861868060294</v>
      </c>
      <c r="M55" s="2">
        <f t="shared" si="82"/>
        <v>1732.9772373612059</v>
      </c>
      <c r="N55" s="4" t="s">
        <v>107</v>
      </c>
      <c r="P55" s="60">
        <f t="shared" si="83"/>
        <v>738.33534939934304</v>
      </c>
      <c r="Q55" s="60">
        <f t="shared" si="84"/>
        <v>2139.4790638196469</v>
      </c>
      <c r="R55" s="58">
        <f t="shared" si="85"/>
        <v>6.1180711125945217</v>
      </c>
      <c r="S55" s="58">
        <f t="shared" si="86"/>
        <v>1060.8848783525759</v>
      </c>
      <c r="T55" s="58">
        <f t="shared" si="87"/>
        <v>-0.62804280691160452</v>
      </c>
      <c r="U55" s="2">
        <f t="shared" si="88"/>
        <v>2.8388534662321638</v>
      </c>
      <c r="V55" s="65">
        <f t="shared" si="89"/>
        <v>14766.706987986861</v>
      </c>
      <c r="W55" s="65">
        <f t="shared" si="90"/>
        <v>42789.581276392935</v>
      </c>
      <c r="X55" s="78">
        <f t="shared" si="91"/>
        <v>122.36142225189043</v>
      </c>
      <c r="Y55" s="78">
        <f t="shared" si="92"/>
        <v>21217.697567051517</v>
      </c>
      <c r="Z55" s="78">
        <f t="shared" si="93"/>
        <v>-12.56085613823209</v>
      </c>
      <c r="AA55" s="78">
        <f t="shared" si="94"/>
        <v>56.777069324643278</v>
      </c>
      <c r="AB55" s="78">
        <f t="shared" si="95"/>
        <v>-1557.471099738161</v>
      </c>
      <c r="AC55" s="78">
        <f t="shared" si="96"/>
        <v>-1083.8017404341406</v>
      </c>
      <c r="AD55" s="78">
        <f t="shared" si="97"/>
        <v>-635.37166818351238</v>
      </c>
      <c r="AE55" s="78">
        <f t="shared" si="98"/>
        <v>-278.45941974367179</v>
      </c>
      <c r="AF55" s="78">
        <f t="shared" si="99"/>
        <v>312.66913642617737</v>
      </c>
      <c r="AG55" s="78">
        <f t="shared" si="100"/>
        <v>848.46650201340935</v>
      </c>
      <c r="AH55" s="78">
        <f t="shared" si="101"/>
        <v>1926.1844392472221</v>
      </c>
      <c r="AI55" s="78">
        <f t="shared" si="102"/>
        <v>4780.374783115808</v>
      </c>
      <c r="AJ55" s="78">
        <f t="shared" si="103"/>
        <v>-1083.1957971064037</v>
      </c>
      <c r="AK55" s="78">
        <f t="shared" si="104"/>
        <v>-581.48738653631199</v>
      </c>
      <c r="AL55" s="78">
        <f t="shared" si="105"/>
        <v>-240.25270717555713</v>
      </c>
      <c r="AM55" s="78">
        <f t="shared" si="106"/>
        <v>-121.27284779859792</v>
      </c>
      <c r="AN55" s="78">
        <f t="shared" si="107"/>
        <v>123.39581729945394</v>
      </c>
      <c r="AO55" s="78">
        <f t="shared" si="108"/>
        <v>248.75899629708783</v>
      </c>
      <c r="AP55" s="78">
        <f t="shared" si="109"/>
        <v>635.28578809584587</v>
      </c>
      <c r="AQ55" s="78">
        <f t="shared" si="110"/>
        <v>1307.6224872399825</v>
      </c>
      <c r="AR55" s="60">
        <f t="shared" si="111"/>
        <v>-1669.3686273113308</v>
      </c>
      <c r="AS55" s="60">
        <f t="shared" si="112"/>
        <v>-1610.5107238735177</v>
      </c>
      <c r="AT55" s="60">
        <f t="shared" si="113"/>
        <v>-1557.471099738161</v>
      </c>
      <c r="AU55" s="60">
        <f t="shared" si="114"/>
        <v>-1493.0019993786925</v>
      </c>
      <c r="AV55" s="60">
        <f t="shared" si="115"/>
        <v>-1374.9146705613282</v>
      </c>
      <c r="AW55" s="60">
        <f t="shared" si="116"/>
        <v>-1123.5453164174301</v>
      </c>
      <c r="AX55" s="60">
        <f t="shared" si="117"/>
        <v>-444.25412039822049</v>
      </c>
      <c r="AY55" s="60">
        <f t="shared" si="118"/>
        <v>-1394.6687407441023</v>
      </c>
      <c r="AZ55" s="60">
        <f t="shared" si="119"/>
        <v>-1219.2679259357101</v>
      </c>
      <c r="BA55" s="60">
        <f t="shared" si="120"/>
        <v>-1083.8017404341406</v>
      </c>
      <c r="BB55" s="60">
        <f t="shared" si="121"/>
        <v>-934.91214050931717</v>
      </c>
      <c r="BC55" s="60">
        <f t="shared" si="122"/>
        <v>-689.00089056958336</v>
      </c>
      <c r="BD55" s="60">
        <f t="shared" si="123"/>
        <v>-227.98488140870063</v>
      </c>
      <c r="BE55" s="60">
        <f t="shared" si="124"/>
        <v>836.70468372778942</v>
      </c>
      <c r="BF55" s="60">
        <f t="shared" si="125"/>
        <v>-1079.0115931065725</v>
      </c>
      <c r="BG55" s="60">
        <f t="shared" si="126"/>
        <v>-822.94064562167478</v>
      </c>
      <c r="BH55" s="60">
        <f t="shared" si="127"/>
        <v>-635.37166818351238</v>
      </c>
      <c r="BI55" s="60">
        <f t="shared" si="128"/>
        <v>-436.15254471399339</v>
      </c>
      <c r="BJ55" s="60">
        <f t="shared" si="129"/>
        <v>-118.44241324456561</v>
      </c>
      <c r="BK55" s="60">
        <f t="shared" si="130"/>
        <v>452.11578198794768</v>
      </c>
      <c r="BL55" s="60">
        <f t="shared" si="131"/>
        <v>1701.5840711569422</v>
      </c>
      <c r="BM55" s="60">
        <f t="shared" si="132"/>
        <v>-581.48738653631199</v>
      </c>
      <c r="BN55" s="60">
        <f t="shared" si="133"/>
        <v>-240.25270717555713</v>
      </c>
      <c r="BO55" s="60">
        <f t="shared" si="134"/>
        <v>0</v>
      </c>
      <c r="BP55" s="60">
        <f t="shared" si="135"/>
        <v>248.75899629708783</v>
      </c>
      <c r="BQ55" s="60">
        <f t="shared" si="136"/>
        <v>635.28578809584587</v>
      </c>
      <c r="BR55" s="60">
        <f t="shared" si="137"/>
        <v>1307.6224872399825</v>
      </c>
      <c r="BS55" s="60">
        <f t="shared" si="138"/>
        <v>2723.0140144380016</v>
      </c>
      <c r="BT55" s="60">
        <f t="shared" si="139"/>
        <v>140.66026773674366</v>
      </c>
      <c r="BU55" s="60">
        <f t="shared" si="140"/>
        <v>560.79377455291251</v>
      </c>
      <c r="BV55" s="60">
        <f t="shared" si="141"/>
        <v>848.46650201340935</v>
      </c>
      <c r="BW55" s="60">
        <f t="shared" si="142"/>
        <v>1141.0460453873111</v>
      </c>
      <c r="BX55" s="60">
        <f t="shared" si="143"/>
        <v>1587.4437556958446</v>
      </c>
      <c r="BY55" s="60">
        <f t="shared" si="144"/>
        <v>2346.7401860173732</v>
      </c>
      <c r="BZ55" s="60">
        <f t="shared" si="145"/>
        <v>3901.5942797033995</v>
      </c>
      <c r="CA55" s="60">
        <f t="shared" si="146"/>
        <v>1118.5227407918865</v>
      </c>
      <c r="CB55" s="60">
        <f t="shared" si="147"/>
        <v>1601.3545903879503</v>
      </c>
      <c r="CC55" s="60">
        <f t="shared" si="148"/>
        <v>1926.1844392472221</v>
      </c>
      <c r="CD55" s="60">
        <f t="shared" si="149"/>
        <v>2252.8494046562992</v>
      </c>
      <c r="CE55" s="60">
        <f t="shared" si="150"/>
        <v>2745.5545317961605</v>
      </c>
      <c r="CF55" s="60">
        <f t="shared" si="151"/>
        <v>3571.8824051708043</v>
      </c>
      <c r="CG55" s="60">
        <f t="shared" si="152"/>
        <v>5234.7657897766567</v>
      </c>
      <c r="CH55" s="60">
        <f t="shared" si="153"/>
        <v>3886.8781531991772</v>
      </c>
      <c r="CI55" s="60">
        <f t="shared" si="154"/>
        <v>4423.0245836463337</v>
      </c>
      <c r="CJ55" s="60">
        <f t="shared" si="155"/>
        <v>4780.374783115808</v>
      </c>
      <c r="CK55" s="60">
        <f t="shared" si="156"/>
        <v>5137.6075266244288</v>
      </c>
      <c r="CL55" s="60">
        <f t="shared" si="157"/>
        <v>5673.1546294376494</v>
      </c>
      <c r="CM55" s="60">
        <f t="shared" si="158"/>
        <v>6564.6678946763041</v>
      </c>
      <c r="CN55" s="60">
        <f t="shared" si="159"/>
        <v>8342.288036682985</v>
      </c>
    </row>
    <row r="56" spans="1:92" x14ac:dyDescent="0.35">
      <c r="A56" s="3" t="s">
        <v>1</v>
      </c>
      <c r="B56" s="4">
        <f>VLOOKUP(A56,PriceData!$K$4:$L$6,2,FALSE)</f>
        <v>2905</v>
      </c>
      <c r="C56" s="46">
        <f>VLOOKUP(A56,PriceData!$K$4:$M$6,3,FALSE)</f>
        <v>2.1999999999999999E-2</v>
      </c>
      <c r="D56" s="4" t="s">
        <v>108</v>
      </c>
      <c r="E56" s="4" t="s">
        <v>114</v>
      </c>
      <c r="F56" s="4">
        <v>-10</v>
      </c>
      <c r="G56" s="4">
        <v>3166</v>
      </c>
      <c r="H56" s="4" t="s">
        <v>111</v>
      </c>
      <c r="I56" s="5">
        <v>40347</v>
      </c>
      <c r="J56" s="46">
        <f t="shared" si="80"/>
        <v>0.33295082614007965</v>
      </c>
      <c r="K56" s="30">
        <f>VLOOKUP(I56,PriceData!$A$5:$D$7,MATCH($E56,PriceData!$A$4:$D$4,0),FALSE)</f>
        <v>2.3E-2</v>
      </c>
      <c r="L56" s="2">
        <f t="shared" si="81"/>
        <v>154.0267813874168</v>
      </c>
      <c r="M56" s="2">
        <f t="shared" si="82"/>
        <v>-1540.267813874168</v>
      </c>
      <c r="N56" s="4" t="s">
        <v>113</v>
      </c>
      <c r="P56" s="60">
        <f t="shared" si="83"/>
        <v>1121.7738316028287</v>
      </c>
      <c r="Q56" s="60">
        <f t="shared" si="84"/>
        <v>2511.5945669952803</v>
      </c>
      <c r="R56" s="58">
        <f t="shared" si="85"/>
        <v>7.2855759055119034</v>
      </c>
      <c r="S56" s="58">
        <f t="shared" si="86"/>
        <v>305.60436320356257</v>
      </c>
      <c r="T56" s="58">
        <f t="shared" si="87"/>
        <v>-0.75617841007131448</v>
      </c>
      <c r="U56" s="2">
        <f t="shared" si="88"/>
        <v>4.2156652324452191</v>
      </c>
      <c r="V56" s="65">
        <f t="shared" si="89"/>
        <v>-11217.738316028288</v>
      </c>
      <c r="W56" s="65">
        <f t="shared" si="90"/>
        <v>-25115.945669952802</v>
      </c>
      <c r="X56" s="78">
        <f t="shared" si="91"/>
        <v>-72.855759055119037</v>
      </c>
      <c r="Y56" s="78">
        <f t="shared" si="92"/>
        <v>-3056.0436320356257</v>
      </c>
      <c r="Z56" s="78">
        <f t="shared" si="93"/>
        <v>7.5617841007131448</v>
      </c>
      <c r="AA56" s="78">
        <f t="shared" si="94"/>
        <v>-42.156652324452189</v>
      </c>
      <c r="AB56" s="78">
        <f t="shared" si="95"/>
        <v>1327.0971486234266</v>
      </c>
      <c r="AC56" s="78">
        <f t="shared" si="96"/>
        <v>877.37289857187079</v>
      </c>
      <c r="AD56" s="78">
        <f t="shared" si="97"/>
        <v>498.66042097692798</v>
      </c>
      <c r="AE56" s="78">
        <f t="shared" si="98"/>
        <v>214.3337019782382</v>
      </c>
      <c r="AF56" s="78">
        <f t="shared" si="99"/>
        <v>-234.41246670088503</v>
      </c>
      <c r="AG56" s="78">
        <f t="shared" si="100"/>
        <v>-623.69569548559866</v>
      </c>
      <c r="AH56" s="78">
        <f t="shared" si="101"/>
        <v>-1371.0996803694616</v>
      </c>
      <c r="AI56" s="78">
        <f t="shared" si="102"/>
        <v>-3206.2680465329572</v>
      </c>
      <c r="AJ56" s="78">
        <f t="shared" si="103"/>
        <v>706.52816484748769</v>
      </c>
      <c r="AK56" s="78">
        <f t="shared" si="104"/>
        <v>359.74862622582918</v>
      </c>
      <c r="AL56" s="78">
        <f t="shared" si="105"/>
        <v>145.05880517927835</v>
      </c>
      <c r="AM56" s="78">
        <f t="shared" si="106"/>
        <v>72.697914562761525</v>
      </c>
      <c r="AN56" s="78">
        <f t="shared" si="107"/>
        <v>-73.003786877161474</v>
      </c>
      <c r="AO56" s="78">
        <f t="shared" si="108"/>
        <v>-146.28551951332611</v>
      </c>
      <c r="AP56" s="78">
        <f t="shared" si="109"/>
        <v>-367.55926819417255</v>
      </c>
      <c r="AQ56" s="78">
        <f t="shared" si="110"/>
        <v>-739.98127095729842</v>
      </c>
      <c r="AR56" s="60">
        <f t="shared" si="111"/>
        <v>1437.8804579164455</v>
      </c>
      <c r="AS56" s="60">
        <f t="shared" si="112"/>
        <v>1376.348558312246</v>
      </c>
      <c r="AT56" s="60">
        <f t="shared" si="113"/>
        <v>1327.0971486234266</v>
      </c>
      <c r="AU56" s="60">
        <f t="shared" si="114"/>
        <v>1271.6737765080936</v>
      </c>
      <c r="AV56" s="60">
        <f t="shared" si="115"/>
        <v>1177.8624211655597</v>
      </c>
      <c r="AW56" s="60">
        <f t="shared" si="116"/>
        <v>996.52903219476457</v>
      </c>
      <c r="AX56" s="60">
        <f t="shared" si="117"/>
        <v>561.23886177984957</v>
      </c>
      <c r="AY56" s="60">
        <f t="shared" si="118"/>
        <v>1116.8680405646739</v>
      </c>
      <c r="AZ56" s="60">
        <f t="shared" si="119"/>
        <v>977.21361067115879</v>
      </c>
      <c r="BA56" s="60">
        <f t="shared" si="120"/>
        <v>877.37289857187079</v>
      </c>
      <c r="BB56" s="60">
        <f t="shared" si="121"/>
        <v>772.96095046056507</v>
      </c>
      <c r="BC56" s="60">
        <f t="shared" si="122"/>
        <v>609.04157937547552</v>
      </c>
      <c r="BD56" s="60">
        <f t="shared" si="123"/>
        <v>320.23120207235479</v>
      </c>
      <c r="BE56" s="60">
        <f t="shared" si="124"/>
        <v>-297.68553922457158</v>
      </c>
      <c r="BF56" s="60">
        <f t="shared" si="125"/>
        <v>803.84100724288942</v>
      </c>
      <c r="BG56" s="60">
        <f t="shared" si="126"/>
        <v>623.34657431409937</v>
      </c>
      <c r="BH56" s="60">
        <f t="shared" si="127"/>
        <v>498.66042097692798</v>
      </c>
      <c r="BI56" s="60">
        <f t="shared" si="128"/>
        <v>371.11643014025958</v>
      </c>
      <c r="BJ56" s="60">
        <f t="shared" si="129"/>
        <v>175.36173245547843</v>
      </c>
      <c r="BK56" s="60">
        <f t="shared" si="130"/>
        <v>-160.06614090070229</v>
      </c>
      <c r="BL56" s="60">
        <f t="shared" si="131"/>
        <v>-853.32641718563764</v>
      </c>
      <c r="BM56" s="60">
        <f t="shared" si="132"/>
        <v>359.74862622582918</v>
      </c>
      <c r="BN56" s="60">
        <f t="shared" si="133"/>
        <v>145.05880517927835</v>
      </c>
      <c r="BO56" s="60">
        <f t="shared" si="134"/>
        <v>0</v>
      </c>
      <c r="BP56" s="60">
        <f t="shared" si="135"/>
        <v>-146.28551951332611</v>
      </c>
      <c r="BQ56" s="60">
        <f t="shared" si="136"/>
        <v>-367.55926819417255</v>
      </c>
      <c r="BR56" s="60">
        <f t="shared" si="137"/>
        <v>-739.98127095729842</v>
      </c>
      <c r="BS56" s="60">
        <f t="shared" si="138"/>
        <v>-1492.7658688058818</v>
      </c>
      <c r="BT56" s="60">
        <f t="shared" si="139"/>
        <v>-227.25163272374857</v>
      </c>
      <c r="BU56" s="60">
        <f t="shared" si="140"/>
        <v>-464.94731531004618</v>
      </c>
      <c r="BV56" s="60">
        <f t="shared" si="141"/>
        <v>-623.69569548559866</v>
      </c>
      <c r="BW56" s="60">
        <f t="shared" si="142"/>
        <v>-782.59755098365986</v>
      </c>
      <c r="BX56" s="60">
        <f t="shared" si="143"/>
        <v>-1021.1310498967305</v>
      </c>
      <c r="BY56" s="60">
        <f t="shared" si="144"/>
        <v>-1418.8574131990504</v>
      </c>
      <c r="BZ56" s="60">
        <f t="shared" si="145"/>
        <v>-2213.4896041693924</v>
      </c>
      <c r="CA56" s="60">
        <f t="shared" si="146"/>
        <v>-959.04586887247888</v>
      </c>
      <c r="CB56" s="60">
        <f t="shared" si="147"/>
        <v>-1206.3433649393869</v>
      </c>
      <c r="CC56" s="60">
        <f t="shared" si="148"/>
        <v>-1371.0996803694616</v>
      </c>
      <c r="CD56" s="60">
        <f t="shared" si="149"/>
        <v>-1535.7559398899002</v>
      </c>
      <c r="CE56" s="60">
        <f t="shared" si="150"/>
        <v>-1782.530544024994</v>
      </c>
      <c r="CF56" s="60">
        <f t="shared" si="151"/>
        <v>-2193.1848896913675</v>
      </c>
      <c r="CG56" s="60">
        <f t="shared" si="152"/>
        <v>-3011.6340260263382</v>
      </c>
      <c r="CH56" s="60">
        <f t="shared" si="153"/>
        <v>-2821.7915929810692</v>
      </c>
      <c r="CI56" s="60">
        <f t="shared" si="154"/>
        <v>-3050.8737283142</v>
      </c>
      <c r="CJ56" s="60">
        <f t="shared" si="155"/>
        <v>-3206.2680465329572</v>
      </c>
      <c r="CK56" s="60">
        <f t="shared" si="156"/>
        <v>-3363.3735568337306</v>
      </c>
      <c r="CL56" s="60">
        <f t="shared" si="157"/>
        <v>-3601.6292680145398</v>
      </c>
      <c r="CM56" s="60">
        <f t="shared" si="158"/>
        <v>-4003.9116531135778</v>
      </c>
      <c r="CN56" s="60">
        <f t="shared" si="159"/>
        <v>-4820.2733106043142</v>
      </c>
    </row>
    <row r="57" spans="1:92" x14ac:dyDescent="0.35">
      <c r="A57" s="3" t="s">
        <v>1</v>
      </c>
      <c r="B57" s="4">
        <f>VLOOKUP(A57,PriceData!$K$4:$L$6,2,FALSE)</f>
        <v>2905</v>
      </c>
      <c r="C57" s="46">
        <f>VLOOKUP(A57,PriceData!$K$4:$M$6,3,FALSE)</f>
        <v>2.1999999999999999E-2</v>
      </c>
      <c r="D57" s="4" t="s">
        <v>108</v>
      </c>
      <c r="E57" s="4" t="s">
        <v>114</v>
      </c>
      <c r="F57" s="4">
        <v>-20</v>
      </c>
      <c r="G57" s="4">
        <v>2731</v>
      </c>
      <c r="H57" s="4" t="s">
        <v>109</v>
      </c>
      <c r="I57" s="5">
        <v>40347</v>
      </c>
      <c r="J57" s="46">
        <f t="shared" si="80"/>
        <v>0.39741595217249831</v>
      </c>
      <c r="K57" s="30">
        <f>VLOOKUP(I57,PriceData!$A$5:$D$7,MATCH($E57,PriceData!$A$4:$D$4,0),FALSE)</f>
        <v>2.3E-2</v>
      </c>
      <c r="L57" s="2">
        <f t="shared" si="81"/>
        <v>212.5127406744291</v>
      </c>
      <c r="M57" s="2">
        <f t="shared" si="82"/>
        <v>-4250.2548134885819</v>
      </c>
      <c r="N57" s="4" t="s">
        <v>107</v>
      </c>
      <c r="P57" s="60">
        <f t="shared" si="83"/>
        <v>-1025.263878502949</v>
      </c>
      <c r="Q57" s="60">
        <f t="shared" si="84"/>
        <v>2044.6253762674446</v>
      </c>
      <c r="R57" s="58">
        <f t="shared" si="85"/>
        <v>7.0793485906035771</v>
      </c>
      <c r="S57" s="58">
        <f t="shared" si="86"/>
        <v>69.53330042957063</v>
      </c>
      <c r="T57" s="58">
        <f t="shared" si="87"/>
        <v>-0.86853130976168136</v>
      </c>
      <c r="U57" s="2">
        <f t="shared" si="88"/>
        <v>-5.39195842326584</v>
      </c>
      <c r="V57" s="65">
        <f t="shared" si="89"/>
        <v>20505.277570058977</v>
      </c>
      <c r="W57" s="65">
        <f t="shared" si="90"/>
        <v>-40892.50752534889</v>
      </c>
      <c r="X57" s="78">
        <f t="shared" si="91"/>
        <v>-141.58697181207154</v>
      </c>
      <c r="Y57" s="78">
        <f t="shared" si="92"/>
        <v>-1390.6660085914127</v>
      </c>
      <c r="Z57" s="78">
        <f t="shared" si="93"/>
        <v>17.370626195233626</v>
      </c>
      <c r="AA57" s="78">
        <f t="shared" si="94"/>
        <v>107.8391684653168</v>
      </c>
      <c r="AB57" s="78">
        <f t="shared" si="95"/>
        <v>-5937.6249344913867</v>
      </c>
      <c r="AC57" s="78">
        <f t="shared" si="96"/>
        <v>-2489.2471595576535</v>
      </c>
      <c r="AD57" s="78">
        <f t="shared" si="97"/>
        <v>-1131.431365931885</v>
      </c>
      <c r="AE57" s="78">
        <f t="shared" si="98"/>
        <v>-426.7209994428913</v>
      </c>
      <c r="AF57" s="78">
        <f t="shared" si="99"/>
        <v>394.01392575029377</v>
      </c>
      <c r="AG57" s="78">
        <f t="shared" si="100"/>
        <v>927.24099479646384</v>
      </c>
      <c r="AH57" s="78">
        <f t="shared" si="101"/>
        <v>1675.8278272460143</v>
      </c>
      <c r="AI57" s="78">
        <f t="shared" si="102"/>
        <v>2741.4368893739165</v>
      </c>
      <c r="AJ57" s="78">
        <f t="shared" si="103"/>
        <v>1405.3499250122945</v>
      </c>
      <c r="AK57" s="78">
        <f t="shared" si="104"/>
        <v>705.80847945526102</v>
      </c>
      <c r="AL57" s="78">
        <f t="shared" si="105"/>
        <v>282.87273924888268</v>
      </c>
      <c r="AM57" s="78">
        <f t="shared" si="106"/>
        <v>141.51462076172493</v>
      </c>
      <c r="AN57" s="78">
        <f t="shared" si="107"/>
        <v>-141.65381020416135</v>
      </c>
      <c r="AO57" s="78">
        <f t="shared" si="108"/>
        <v>-283.43097462443893</v>
      </c>
      <c r="AP57" s="78">
        <f t="shared" si="109"/>
        <v>-709.36302989809974</v>
      </c>
      <c r="AQ57" s="78">
        <f t="shared" si="110"/>
        <v>-1420.5616018286264</v>
      </c>
      <c r="AR57" s="60">
        <f t="shared" si="111"/>
        <v>-5411.9248419793803</v>
      </c>
      <c r="AS57" s="60">
        <f t="shared" si="112"/>
        <v>-5723.8697640771989</v>
      </c>
      <c r="AT57" s="60">
        <f t="shared" si="113"/>
        <v>-5937.6249344913867</v>
      </c>
      <c r="AU57" s="60">
        <f t="shared" si="114"/>
        <v>-6155.2896683455083</v>
      </c>
      <c r="AV57" s="60">
        <f t="shared" si="115"/>
        <v>-6488.0126782308753</v>
      </c>
      <c r="AW57" s="60">
        <f t="shared" si="116"/>
        <v>-7055.8136846712523</v>
      </c>
      <c r="AX57" s="60">
        <f t="shared" si="117"/>
        <v>-8225.2453545777862</v>
      </c>
      <c r="AY57" s="60">
        <f t="shared" si="118"/>
        <v>-1808.3981781233706</v>
      </c>
      <c r="AZ57" s="60">
        <f t="shared" si="119"/>
        <v>-2216.7387639464187</v>
      </c>
      <c r="BA57" s="60">
        <f t="shared" si="120"/>
        <v>-2489.2471595576535</v>
      </c>
      <c r="BB57" s="60">
        <f t="shared" si="121"/>
        <v>-2761.8919400280129</v>
      </c>
      <c r="BC57" s="60">
        <f t="shared" si="122"/>
        <v>-3170.9796858248501</v>
      </c>
      <c r="BD57" s="60">
        <f t="shared" si="123"/>
        <v>-3852.6993102275765</v>
      </c>
      <c r="BE57" s="60">
        <f t="shared" si="124"/>
        <v>-5213.7051463181069</v>
      </c>
      <c r="BF57" s="60">
        <f t="shared" si="125"/>
        <v>-421.71154247502727</v>
      </c>
      <c r="BG57" s="60">
        <f t="shared" si="126"/>
        <v>-847.6945864051595</v>
      </c>
      <c r="BH57" s="60">
        <f t="shared" si="127"/>
        <v>-1131.431365931885</v>
      </c>
      <c r="BI57" s="60">
        <f t="shared" si="128"/>
        <v>-1414.9473849179549</v>
      </c>
      <c r="BJ57" s="60">
        <f t="shared" si="129"/>
        <v>-1839.7736281420612</v>
      </c>
      <c r="BK57" s="60">
        <f t="shared" si="130"/>
        <v>-2546.5014359023462</v>
      </c>
      <c r="BL57" s="60">
        <f t="shared" si="131"/>
        <v>-3954.2529963410379</v>
      </c>
      <c r="BM57" s="60">
        <f t="shared" si="132"/>
        <v>705.80847945526102</v>
      </c>
      <c r="BN57" s="60">
        <f t="shared" si="133"/>
        <v>282.87273924888268</v>
      </c>
      <c r="BO57" s="60">
        <f t="shared" si="134"/>
        <v>0</v>
      </c>
      <c r="BP57" s="60">
        <f t="shared" si="135"/>
        <v>-283.43097462443893</v>
      </c>
      <c r="BQ57" s="60">
        <f t="shared" si="136"/>
        <v>-709.36302989809974</v>
      </c>
      <c r="BR57" s="60">
        <f t="shared" si="137"/>
        <v>-1420.5616018286264</v>
      </c>
      <c r="BS57" s="60">
        <f t="shared" si="138"/>
        <v>-2844.1128825802252</v>
      </c>
      <c r="BT57" s="60">
        <f t="shared" si="139"/>
        <v>1601.4341502723209</v>
      </c>
      <c r="BU57" s="60">
        <f t="shared" si="140"/>
        <v>1198.9499396377937</v>
      </c>
      <c r="BV57" s="60">
        <f t="shared" si="141"/>
        <v>927.24099479646384</v>
      </c>
      <c r="BW57" s="60">
        <f t="shared" si="142"/>
        <v>653.30385970511088</v>
      </c>
      <c r="BX57" s="60">
        <f t="shared" si="143"/>
        <v>238.93984781063409</v>
      </c>
      <c r="BY57" s="60">
        <f t="shared" si="144"/>
        <v>-458.74725143352862</v>
      </c>
      <c r="BZ57" s="60">
        <f t="shared" si="145"/>
        <v>-1870.6195930811236</v>
      </c>
      <c r="CA57" s="60">
        <f t="shared" si="146"/>
        <v>2297.8836953352857</v>
      </c>
      <c r="CB57" s="60">
        <f t="shared" si="147"/>
        <v>1928.5821750073364</v>
      </c>
      <c r="CC57" s="60">
        <f t="shared" si="148"/>
        <v>1675.8278272460143</v>
      </c>
      <c r="CD57" s="60">
        <f t="shared" si="149"/>
        <v>1418.6566680768851</v>
      </c>
      <c r="CE57" s="60">
        <f t="shared" si="150"/>
        <v>1025.8762128784338</v>
      </c>
      <c r="CF57" s="60">
        <f t="shared" si="151"/>
        <v>356.3096712401034</v>
      </c>
      <c r="CG57" s="60">
        <f t="shared" si="152"/>
        <v>-1020.764609333421</v>
      </c>
      <c r="CH57" s="60">
        <f t="shared" si="153"/>
        <v>3227.4949826761758</v>
      </c>
      <c r="CI57" s="60">
        <f t="shared" si="154"/>
        <v>2943.444330179349</v>
      </c>
      <c r="CJ57" s="60">
        <f t="shared" si="155"/>
        <v>2741.4368893739165</v>
      </c>
      <c r="CK57" s="60">
        <f t="shared" si="156"/>
        <v>2530.5628574627781</v>
      </c>
      <c r="CL57" s="60">
        <f t="shared" si="157"/>
        <v>2199.6517327275774</v>
      </c>
      <c r="CM57" s="60">
        <f t="shared" si="158"/>
        <v>1615.6756789332439</v>
      </c>
      <c r="CN57" s="60">
        <f t="shared" si="159"/>
        <v>358.87023150761706</v>
      </c>
    </row>
    <row r="58" spans="1:92" x14ac:dyDescent="0.35">
      <c r="A58" s="3" t="s">
        <v>1</v>
      </c>
      <c r="B58" s="4">
        <f>VLOOKUP(A58,PriceData!$K$4:$L$6,2,FALSE)</f>
        <v>2905</v>
      </c>
      <c r="C58" s="46">
        <f>VLOOKUP(A58,PriceData!$K$4:$M$6,3,FALSE)</f>
        <v>2.1999999999999999E-2</v>
      </c>
      <c r="D58" s="4" t="s">
        <v>108</v>
      </c>
      <c r="E58" s="4" t="s">
        <v>114</v>
      </c>
      <c r="F58" s="4">
        <v>20</v>
      </c>
      <c r="G58" s="4">
        <v>2731</v>
      </c>
      <c r="H58" s="4" t="s">
        <v>109</v>
      </c>
      <c r="I58" s="5">
        <v>40347</v>
      </c>
      <c r="J58" s="46">
        <f t="shared" si="80"/>
        <v>0.39741595217249831</v>
      </c>
      <c r="K58" s="30">
        <f>VLOOKUP(I58,PriceData!$A$5:$D$7,MATCH($E58,PriceData!$A$4:$D$4,0),FALSE)</f>
        <v>2.3E-2</v>
      </c>
      <c r="L58" s="2">
        <f t="shared" si="81"/>
        <v>212.5127406744291</v>
      </c>
      <c r="M58" s="2">
        <f t="shared" si="82"/>
        <v>4250.2548134885819</v>
      </c>
      <c r="N58" s="4" t="s">
        <v>112</v>
      </c>
      <c r="P58" s="60">
        <f t="shared" si="83"/>
        <v>-1025.263878502949</v>
      </c>
      <c r="Q58" s="60">
        <f t="shared" si="84"/>
        <v>2044.6253762674446</v>
      </c>
      <c r="R58" s="58">
        <f t="shared" si="85"/>
        <v>7.0793485906035771</v>
      </c>
      <c r="S58" s="58">
        <f t="shared" si="86"/>
        <v>69.53330042957063</v>
      </c>
      <c r="T58" s="58">
        <f t="shared" si="87"/>
        <v>-0.86853130976168136</v>
      </c>
      <c r="U58" s="2">
        <f t="shared" si="88"/>
        <v>-5.39195842326584</v>
      </c>
      <c r="V58" s="65">
        <f t="shared" si="89"/>
        <v>-20505.277570058977</v>
      </c>
      <c r="W58" s="65">
        <f t="shared" si="90"/>
        <v>40892.50752534889</v>
      </c>
      <c r="X58" s="78">
        <f t="shared" si="91"/>
        <v>141.58697181207154</v>
      </c>
      <c r="Y58" s="78">
        <f t="shared" si="92"/>
        <v>1390.6660085914127</v>
      </c>
      <c r="Z58" s="78">
        <f t="shared" si="93"/>
        <v>-17.370626195233626</v>
      </c>
      <c r="AA58" s="78">
        <f t="shared" si="94"/>
        <v>-107.8391684653168</v>
      </c>
      <c r="AB58" s="78">
        <f t="shared" si="95"/>
        <v>5937.6249344913867</v>
      </c>
      <c r="AC58" s="78">
        <f t="shared" si="96"/>
        <v>2489.2471595576535</v>
      </c>
      <c r="AD58" s="78">
        <f t="shared" si="97"/>
        <v>1131.431365931885</v>
      </c>
      <c r="AE58" s="78">
        <f t="shared" si="98"/>
        <v>426.7209994428913</v>
      </c>
      <c r="AF58" s="78">
        <f t="shared" si="99"/>
        <v>-394.01392575029377</v>
      </c>
      <c r="AG58" s="78">
        <f t="shared" si="100"/>
        <v>-927.24099479646384</v>
      </c>
      <c r="AH58" s="78">
        <f t="shared" si="101"/>
        <v>-1675.8278272460143</v>
      </c>
      <c r="AI58" s="78">
        <f t="shared" si="102"/>
        <v>-2741.4368893739165</v>
      </c>
      <c r="AJ58" s="78">
        <f t="shared" si="103"/>
        <v>-1405.3499250122945</v>
      </c>
      <c r="AK58" s="78">
        <f t="shared" si="104"/>
        <v>-705.80847945526102</v>
      </c>
      <c r="AL58" s="78">
        <f t="shared" si="105"/>
        <v>-282.87273924888268</v>
      </c>
      <c r="AM58" s="78">
        <f t="shared" si="106"/>
        <v>-141.51462076172493</v>
      </c>
      <c r="AN58" s="78">
        <f t="shared" si="107"/>
        <v>141.65381020416135</v>
      </c>
      <c r="AO58" s="78">
        <f t="shared" si="108"/>
        <v>283.43097462443893</v>
      </c>
      <c r="AP58" s="78">
        <f t="shared" si="109"/>
        <v>709.36302989809974</v>
      </c>
      <c r="AQ58" s="78">
        <f t="shared" si="110"/>
        <v>1420.5616018286264</v>
      </c>
      <c r="AR58" s="60">
        <f t="shared" si="111"/>
        <v>5411.9248419793803</v>
      </c>
      <c r="AS58" s="60">
        <f t="shared" si="112"/>
        <v>5723.8697640771989</v>
      </c>
      <c r="AT58" s="60">
        <f t="shared" si="113"/>
        <v>5937.6249344913867</v>
      </c>
      <c r="AU58" s="60">
        <f t="shared" si="114"/>
        <v>6155.2896683455083</v>
      </c>
      <c r="AV58" s="60">
        <f t="shared" si="115"/>
        <v>6488.0126782308753</v>
      </c>
      <c r="AW58" s="60">
        <f t="shared" si="116"/>
        <v>7055.8136846712523</v>
      </c>
      <c r="AX58" s="60">
        <f t="shared" si="117"/>
        <v>8225.2453545777862</v>
      </c>
      <c r="AY58" s="60">
        <f t="shared" si="118"/>
        <v>1808.3981781233706</v>
      </c>
      <c r="AZ58" s="60">
        <f t="shared" si="119"/>
        <v>2216.7387639464187</v>
      </c>
      <c r="BA58" s="60">
        <f t="shared" si="120"/>
        <v>2489.2471595576535</v>
      </c>
      <c r="BB58" s="60">
        <f t="shared" si="121"/>
        <v>2761.8919400280129</v>
      </c>
      <c r="BC58" s="60">
        <f t="shared" si="122"/>
        <v>3170.9796858248501</v>
      </c>
      <c r="BD58" s="60">
        <f t="shared" si="123"/>
        <v>3852.6993102275765</v>
      </c>
      <c r="BE58" s="60">
        <f t="shared" si="124"/>
        <v>5213.7051463181069</v>
      </c>
      <c r="BF58" s="60">
        <f t="shared" si="125"/>
        <v>421.71154247502727</v>
      </c>
      <c r="BG58" s="60">
        <f t="shared" si="126"/>
        <v>847.6945864051595</v>
      </c>
      <c r="BH58" s="60">
        <f t="shared" si="127"/>
        <v>1131.431365931885</v>
      </c>
      <c r="BI58" s="60">
        <f t="shared" si="128"/>
        <v>1414.9473849179549</v>
      </c>
      <c r="BJ58" s="60">
        <f t="shared" si="129"/>
        <v>1839.7736281420612</v>
      </c>
      <c r="BK58" s="60">
        <f t="shared" si="130"/>
        <v>2546.5014359023462</v>
      </c>
      <c r="BL58" s="60">
        <f t="shared" si="131"/>
        <v>3954.2529963410379</v>
      </c>
      <c r="BM58" s="60">
        <f t="shared" si="132"/>
        <v>-705.80847945526102</v>
      </c>
      <c r="BN58" s="60">
        <f t="shared" si="133"/>
        <v>-282.87273924888268</v>
      </c>
      <c r="BO58" s="60">
        <f t="shared" si="134"/>
        <v>0</v>
      </c>
      <c r="BP58" s="60">
        <f t="shared" si="135"/>
        <v>283.43097462443893</v>
      </c>
      <c r="BQ58" s="60">
        <f t="shared" si="136"/>
        <v>709.36302989809974</v>
      </c>
      <c r="BR58" s="60">
        <f t="shared" si="137"/>
        <v>1420.5616018286264</v>
      </c>
      <c r="BS58" s="60">
        <f t="shared" si="138"/>
        <v>2844.1128825802252</v>
      </c>
      <c r="BT58" s="60">
        <f t="shared" si="139"/>
        <v>-1601.4341502723209</v>
      </c>
      <c r="BU58" s="60">
        <f t="shared" si="140"/>
        <v>-1198.9499396377937</v>
      </c>
      <c r="BV58" s="60">
        <f t="shared" si="141"/>
        <v>-927.24099479646384</v>
      </c>
      <c r="BW58" s="60">
        <f t="shared" si="142"/>
        <v>-653.30385970511088</v>
      </c>
      <c r="BX58" s="60">
        <f t="shared" si="143"/>
        <v>-238.93984781063409</v>
      </c>
      <c r="BY58" s="60">
        <f t="shared" si="144"/>
        <v>458.74725143352862</v>
      </c>
      <c r="BZ58" s="60">
        <f t="shared" si="145"/>
        <v>1870.6195930811236</v>
      </c>
      <c r="CA58" s="60">
        <f t="shared" si="146"/>
        <v>-2297.8836953352857</v>
      </c>
      <c r="CB58" s="60">
        <f t="shared" si="147"/>
        <v>-1928.5821750073364</v>
      </c>
      <c r="CC58" s="60">
        <f t="shared" si="148"/>
        <v>-1675.8278272460143</v>
      </c>
      <c r="CD58" s="60">
        <f t="shared" si="149"/>
        <v>-1418.6566680768851</v>
      </c>
      <c r="CE58" s="60">
        <f t="shared" si="150"/>
        <v>-1025.8762128784338</v>
      </c>
      <c r="CF58" s="60">
        <f t="shared" si="151"/>
        <v>-356.3096712401034</v>
      </c>
      <c r="CG58" s="60">
        <f t="shared" si="152"/>
        <v>1020.764609333421</v>
      </c>
      <c r="CH58" s="60">
        <f t="shared" si="153"/>
        <v>-3227.4949826761758</v>
      </c>
      <c r="CI58" s="60">
        <f t="shared" si="154"/>
        <v>-2943.444330179349</v>
      </c>
      <c r="CJ58" s="60">
        <f t="shared" si="155"/>
        <v>-2741.4368893739165</v>
      </c>
      <c r="CK58" s="60">
        <f t="shared" si="156"/>
        <v>-2530.5628574627781</v>
      </c>
      <c r="CL58" s="60">
        <f t="shared" si="157"/>
        <v>-2199.6517327275774</v>
      </c>
      <c r="CM58" s="60">
        <f t="shared" si="158"/>
        <v>-1615.6756789332439</v>
      </c>
      <c r="CN58" s="60">
        <f t="shared" si="159"/>
        <v>-358.87023150761706</v>
      </c>
    </row>
    <row r="59" spans="1:92" x14ac:dyDescent="0.35">
      <c r="A59" s="3" t="s">
        <v>1</v>
      </c>
      <c r="B59" s="4">
        <f>VLOOKUP(A59,PriceData!$K$4:$L$6,2,FALSE)</f>
        <v>2905</v>
      </c>
      <c r="C59" s="46">
        <f>VLOOKUP(A59,PriceData!$K$4:$M$6,3,FALSE)</f>
        <v>2.1999999999999999E-2</v>
      </c>
      <c r="D59" s="4" t="s">
        <v>108</v>
      </c>
      <c r="E59" s="4" t="s">
        <v>114</v>
      </c>
      <c r="F59" s="4">
        <v>-20</v>
      </c>
      <c r="G59" s="4">
        <v>3341</v>
      </c>
      <c r="H59" s="4" t="s">
        <v>109</v>
      </c>
      <c r="I59" s="5">
        <v>40438</v>
      </c>
      <c r="J59" s="46">
        <f t="shared" si="80"/>
        <v>0.29815741679134772</v>
      </c>
      <c r="K59" s="30">
        <f>VLOOKUP(I59,PriceData!$A$5:$D$7,MATCH($E59,PriceData!$A$4:$D$4,0),FALSE)</f>
        <v>2.5000000000000001E-2</v>
      </c>
      <c r="L59" s="2">
        <f t="shared" si="81"/>
        <v>558.63011298435072</v>
      </c>
      <c r="M59" s="2">
        <f t="shared" si="82"/>
        <v>-11172.602259687013</v>
      </c>
      <c r="N59" s="4" t="s">
        <v>107</v>
      </c>
      <c r="P59" s="60">
        <f t="shared" si="83"/>
        <v>-1912.137057507716</v>
      </c>
      <c r="Q59" s="60">
        <f t="shared" si="84"/>
        <v>2104.3815140985789</v>
      </c>
      <c r="R59" s="58">
        <f t="shared" si="85"/>
        <v>8.595026797083527</v>
      </c>
      <c r="S59" s="58">
        <f t="shared" si="86"/>
        <v>854.88762468851871</v>
      </c>
      <c r="T59" s="58">
        <f t="shared" si="87"/>
        <v>-0.45855566591517538</v>
      </c>
      <c r="U59" s="2">
        <f t="shared" si="88"/>
        <v>-16.923062811589499</v>
      </c>
      <c r="V59" s="65">
        <f t="shared" si="89"/>
        <v>38242.741150154317</v>
      </c>
      <c r="W59" s="65">
        <f t="shared" si="90"/>
        <v>-42087.630281971578</v>
      </c>
      <c r="X59" s="78">
        <f t="shared" si="91"/>
        <v>-171.90053594167054</v>
      </c>
      <c r="Y59" s="78">
        <f t="shared" si="92"/>
        <v>-17097.752493770375</v>
      </c>
      <c r="Z59" s="78">
        <f t="shared" si="93"/>
        <v>9.1711133183035081</v>
      </c>
      <c r="AA59" s="78">
        <f t="shared" si="94"/>
        <v>338.46125623179</v>
      </c>
      <c r="AB59" s="78">
        <f t="shared" si="95"/>
        <v>-9157.3108678644203</v>
      </c>
      <c r="AC59" s="78">
        <f t="shared" si="96"/>
        <v>-4228.6416682319714</v>
      </c>
      <c r="AD59" s="78">
        <f t="shared" si="97"/>
        <v>-2015.6533058968625</v>
      </c>
      <c r="AE59" s="78">
        <f t="shared" si="98"/>
        <v>-781.5949202079355</v>
      </c>
      <c r="AF59" s="78">
        <f t="shared" si="99"/>
        <v>747.94343964367272</v>
      </c>
      <c r="AG59" s="78">
        <f t="shared" si="100"/>
        <v>1805.9402037062728</v>
      </c>
      <c r="AH59" s="78">
        <f t="shared" si="101"/>
        <v>3398.3516827560106</v>
      </c>
      <c r="AI59" s="78">
        <f t="shared" si="102"/>
        <v>5965.1493860533265</v>
      </c>
      <c r="AJ59" s="78">
        <f t="shared" si="103"/>
        <v>1594.9100208501886</v>
      </c>
      <c r="AK59" s="78">
        <f t="shared" si="104"/>
        <v>834.08370411958913</v>
      </c>
      <c r="AL59" s="78">
        <f t="shared" si="105"/>
        <v>340.14574873155198</v>
      </c>
      <c r="AM59" s="78">
        <f t="shared" si="106"/>
        <v>171.01703598719723</v>
      </c>
      <c r="AN59" s="78">
        <f t="shared" si="107"/>
        <v>-172.72839144095997</v>
      </c>
      <c r="AO59" s="78">
        <f t="shared" si="108"/>
        <v>-347.01018759745693</v>
      </c>
      <c r="AP59" s="78">
        <f t="shared" si="109"/>
        <v>-877.83293502302968</v>
      </c>
      <c r="AQ59" s="78">
        <f t="shared" si="110"/>
        <v>-1782.8613860945325</v>
      </c>
      <c r="AR59" s="60">
        <f t="shared" si="111"/>
        <v>-8906.2366858688656</v>
      </c>
      <c r="AS59" s="60">
        <f t="shared" si="112"/>
        <v>-9042.9571648123201</v>
      </c>
      <c r="AT59" s="60">
        <f t="shared" si="113"/>
        <v>-9157.3108678644203</v>
      </c>
      <c r="AU59" s="60">
        <f t="shared" si="114"/>
        <v>-9289.2163055952042</v>
      </c>
      <c r="AV59" s="60">
        <f t="shared" si="115"/>
        <v>-9517.4618825867547</v>
      </c>
      <c r="AW59" s="60">
        <f t="shared" si="116"/>
        <v>-9968.5667159045952</v>
      </c>
      <c r="AX59" s="60">
        <f t="shared" si="117"/>
        <v>-11072.359991911821</v>
      </c>
      <c r="AY59" s="60">
        <f t="shared" si="118"/>
        <v>-3695.1936505404001</v>
      </c>
      <c r="AZ59" s="60">
        <f t="shared" si="119"/>
        <v>-4001.9438848891286</v>
      </c>
      <c r="BA59" s="60">
        <f t="shared" si="120"/>
        <v>-4228.6416682319714</v>
      </c>
      <c r="BB59" s="60">
        <f t="shared" si="121"/>
        <v>-4470.4021919065372</v>
      </c>
      <c r="BC59" s="60">
        <f t="shared" si="122"/>
        <v>-4857.0165181857419</v>
      </c>
      <c r="BD59" s="60">
        <f t="shared" si="123"/>
        <v>-5552.2019785515067</v>
      </c>
      <c r="BE59" s="60">
        <f t="shared" si="124"/>
        <v>-7071.2052047353473</v>
      </c>
      <c r="BF59" s="60">
        <f t="shared" si="125"/>
        <v>-1326.2928951433014</v>
      </c>
      <c r="BG59" s="60">
        <f t="shared" si="126"/>
        <v>-1729.5907436576408</v>
      </c>
      <c r="BH59" s="60">
        <f t="shared" si="127"/>
        <v>-2015.6533058968625</v>
      </c>
      <c r="BI59" s="60">
        <f t="shared" si="128"/>
        <v>-2312.9483703467076</v>
      </c>
      <c r="BJ59" s="60">
        <f t="shared" si="129"/>
        <v>-2776.2333578375592</v>
      </c>
      <c r="BK59" s="60">
        <f t="shared" si="130"/>
        <v>-3583.8600602187262</v>
      </c>
      <c r="BL59" s="60">
        <f t="shared" si="131"/>
        <v>-5284.2687811757423</v>
      </c>
      <c r="BM59" s="60">
        <f t="shared" si="132"/>
        <v>834.08370411958913</v>
      </c>
      <c r="BN59" s="60">
        <f t="shared" si="133"/>
        <v>340.14574873155198</v>
      </c>
      <c r="BO59" s="60">
        <f t="shared" si="134"/>
        <v>0</v>
      </c>
      <c r="BP59" s="60">
        <f t="shared" si="135"/>
        <v>-347.01018759745693</v>
      </c>
      <c r="BQ59" s="60">
        <f t="shared" si="136"/>
        <v>-877.83293502302968</v>
      </c>
      <c r="BR59" s="60">
        <f t="shared" si="137"/>
        <v>-1782.8613860945325</v>
      </c>
      <c r="BS59" s="60">
        <f t="shared" si="138"/>
        <v>-3638.3230956840953</v>
      </c>
      <c r="BT59" s="60">
        <f t="shared" si="139"/>
        <v>2759.0561890558956</v>
      </c>
      <c r="BU59" s="60">
        <f t="shared" si="140"/>
        <v>2190.1317583814398</v>
      </c>
      <c r="BV59" s="60">
        <f t="shared" si="141"/>
        <v>1805.9402037062728</v>
      </c>
      <c r="BW59" s="60">
        <f t="shared" si="142"/>
        <v>1418.7627835895546</v>
      </c>
      <c r="BX59" s="60">
        <f t="shared" si="143"/>
        <v>833.69666674300333</v>
      </c>
      <c r="BY59" s="60">
        <f t="shared" si="144"/>
        <v>-149.30137625126008</v>
      </c>
      <c r="BZ59" s="60">
        <f t="shared" si="145"/>
        <v>-2129.5614168641214</v>
      </c>
      <c r="CA59" s="60">
        <f t="shared" si="146"/>
        <v>4434.5428777022062</v>
      </c>
      <c r="CB59" s="60">
        <f t="shared" si="147"/>
        <v>3813.331187948088</v>
      </c>
      <c r="CC59" s="60">
        <f t="shared" si="148"/>
        <v>3398.3516827560106</v>
      </c>
      <c r="CD59" s="60">
        <f t="shared" si="149"/>
        <v>2982.9673409268844</v>
      </c>
      <c r="CE59" s="60">
        <f t="shared" si="150"/>
        <v>2359.506079853395</v>
      </c>
      <c r="CF59" s="60">
        <f t="shared" si="151"/>
        <v>1320.4473087045653</v>
      </c>
      <c r="CG59" s="60">
        <f t="shared" si="152"/>
        <v>-752.55168736393443</v>
      </c>
      <c r="CH59" s="60">
        <f t="shared" si="153"/>
        <v>7045.4965989875654</v>
      </c>
      <c r="CI59" s="60">
        <f t="shared" si="154"/>
        <v>6397.8954804159139</v>
      </c>
      <c r="CJ59" s="60">
        <f t="shared" si="155"/>
        <v>5965.1493860533265</v>
      </c>
      <c r="CK59" s="60">
        <f t="shared" si="156"/>
        <v>5531.8948727503494</v>
      </c>
      <c r="CL59" s="60">
        <f t="shared" si="157"/>
        <v>4881.4824872421514</v>
      </c>
      <c r="CM59" s="60">
        <f t="shared" si="158"/>
        <v>3797.2487900201077</v>
      </c>
      <c r="CN59" s="60">
        <f t="shared" si="159"/>
        <v>1633.5054757348462</v>
      </c>
    </row>
    <row r="60" spans="1:92" x14ac:dyDescent="0.35">
      <c r="A60" s="3" t="s">
        <v>1</v>
      </c>
      <c r="B60" s="4">
        <f>VLOOKUP(A60,PriceData!$K$4:$L$6,2,FALSE)</f>
        <v>2905</v>
      </c>
      <c r="C60" s="46">
        <f>VLOOKUP(A60,PriceData!$K$4:$M$6,3,FALSE)</f>
        <v>2.1999999999999999E-2</v>
      </c>
      <c r="D60" s="4" t="s">
        <v>108</v>
      </c>
      <c r="E60" s="4" t="s">
        <v>114</v>
      </c>
      <c r="F60" s="4">
        <v>-20</v>
      </c>
      <c r="G60" s="4">
        <v>2731</v>
      </c>
      <c r="H60" s="4" t="s">
        <v>109</v>
      </c>
      <c r="I60" s="5">
        <v>40438</v>
      </c>
      <c r="J60" s="46">
        <f t="shared" si="80"/>
        <v>0.36858239664855386</v>
      </c>
      <c r="K60" s="30">
        <f>VLOOKUP(I60,PriceData!$A$5:$D$7,MATCH($E60,PriceData!$A$4:$D$4,0),FALSE)</f>
        <v>2.5000000000000001E-2</v>
      </c>
      <c r="L60" s="2">
        <f t="shared" si="81"/>
        <v>254.97539334618409</v>
      </c>
      <c r="M60" s="2">
        <f t="shared" si="82"/>
        <v>-5099.5078669236818</v>
      </c>
      <c r="N60" s="4" t="s">
        <v>107</v>
      </c>
      <c r="P60" s="60">
        <f t="shared" si="83"/>
        <v>-1026.6494887879398</v>
      </c>
      <c r="Q60" s="60">
        <f t="shared" si="84"/>
        <v>1752.7056756340671</v>
      </c>
      <c r="R60" s="58">
        <f t="shared" si="85"/>
        <v>8.8495405280099639</v>
      </c>
      <c r="S60" s="58">
        <f t="shared" si="86"/>
        <v>49.243974837691823</v>
      </c>
      <c r="T60" s="58">
        <f t="shared" si="87"/>
        <v>-0.62645468839673502</v>
      </c>
      <c r="U60" s="2">
        <f t="shared" si="88"/>
        <v>-8.7782526173570137</v>
      </c>
      <c r="V60" s="65">
        <f t="shared" si="89"/>
        <v>20532.989775758797</v>
      </c>
      <c r="W60" s="65">
        <f t="shared" si="90"/>
        <v>-35054.113512681346</v>
      </c>
      <c r="X60" s="78">
        <f t="shared" si="91"/>
        <v>-176.99081056019929</v>
      </c>
      <c r="Y60" s="78">
        <f t="shared" si="92"/>
        <v>-984.87949675383652</v>
      </c>
      <c r="Z60" s="78">
        <f t="shared" si="93"/>
        <v>12.5290937679347</v>
      </c>
      <c r="AA60" s="78">
        <f t="shared" si="94"/>
        <v>175.56505234714027</v>
      </c>
      <c r="AB60" s="78">
        <f t="shared" si="95"/>
        <v>-5679.8208593212712</v>
      </c>
      <c r="AC60" s="78">
        <f t="shared" si="96"/>
        <v>-2427.8142821303436</v>
      </c>
      <c r="AD60" s="78">
        <f t="shared" si="97"/>
        <v>-1117.3944101174357</v>
      </c>
      <c r="AE60" s="78">
        <f t="shared" si="98"/>
        <v>-424.8838631910894</v>
      </c>
      <c r="AF60" s="78">
        <f t="shared" si="99"/>
        <v>396.8441130229985</v>
      </c>
      <c r="AG60" s="78">
        <f t="shared" si="100"/>
        <v>942.26304286536561</v>
      </c>
      <c r="AH60" s="78">
        <f t="shared" si="101"/>
        <v>1729.0094567507504</v>
      </c>
      <c r="AI60" s="78">
        <f t="shared" si="102"/>
        <v>2914.9344976229736</v>
      </c>
      <c r="AJ60" s="78">
        <f t="shared" si="103"/>
        <v>1760.6040311422225</v>
      </c>
      <c r="AK60" s="78">
        <f t="shared" si="104"/>
        <v>883.24983158567875</v>
      </c>
      <c r="AL60" s="78">
        <f t="shared" si="105"/>
        <v>353.75658325469203</v>
      </c>
      <c r="AM60" s="78">
        <f t="shared" si="106"/>
        <v>176.93814121645119</v>
      </c>
      <c r="AN60" s="78">
        <f t="shared" si="107"/>
        <v>-177.0367811941469</v>
      </c>
      <c r="AO60" s="78">
        <f t="shared" si="108"/>
        <v>-354.15297261403339</v>
      </c>
      <c r="AP60" s="78">
        <f t="shared" si="109"/>
        <v>-885.80866898920704</v>
      </c>
      <c r="AQ60" s="78">
        <f t="shared" si="110"/>
        <v>-1772.0860299424794</v>
      </c>
      <c r="AR60" s="60">
        <f t="shared" si="111"/>
        <v>-4987.7919434871637</v>
      </c>
      <c r="AS60" s="60">
        <f t="shared" si="112"/>
        <v>-5399.4920298005582</v>
      </c>
      <c r="AT60" s="60">
        <f t="shared" si="113"/>
        <v>-5679.8208593212712</v>
      </c>
      <c r="AU60" s="60">
        <f t="shared" si="114"/>
        <v>-5963.9828588875753</v>
      </c>
      <c r="AV60" s="60">
        <f t="shared" si="115"/>
        <v>-6396.1399351890896</v>
      </c>
      <c r="AW60" s="60">
        <f t="shared" si="116"/>
        <v>-7128.4146506987281</v>
      </c>
      <c r="AX60" s="60">
        <f t="shared" si="117"/>
        <v>-8620.5979978782398</v>
      </c>
      <c r="AY60" s="60">
        <f t="shared" si="118"/>
        <v>-1577.5726122418564</v>
      </c>
      <c r="AZ60" s="60">
        <f t="shared" si="119"/>
        <v>-2087.7052084395064</v>
      </c>
      <c r="BA60" s="60">
        <f t="shared" si="120"/>
        <v>-2427.8142821303436</v>
      </c>
      <c r="BB60" s="60">
        <f t="shared" si="121"/>
        <v>-2767.8373125306553</v>
      </c>
      <c r="BC60" s="60">
        <f t="shared" si="122"/>
        <v>-3277.5521118842653</v>
      </c>
      <c r="BD60" s="60">
        <f t="shared" si="123"/>
        <v>-4125.726883484358</v>
      </c>
      <c r="BE60" s="60">
        <f t="shared" si="124"/>
        <v>-5814.3998066326321</v>
      </c>
      <c r="BF60" s="60">
        <f t="shared" si="125"/>
        <v>-235.29341293403377</v>
      </c>
      <c r="BG60" s="60">
        <f t="shared" si="126"/>
        <v>-764.83724591669215</v>
      </c>
      <c r="BH60" s="60">
        <f t="shared" si="127"/>
        <v>-1117.3944101174357</v>
      </c>
      <c r="BI60" s="60">
        <f t="shared" si="128"/>
        <v>-1469.5391551773309</v>
      </c>
      <c r="BJ60" s="60">
        <f t="shared" si="129"/>
        <v>-1996.9212518609584</v>
      </c>
      <c r="BK60" s="60">
        <f t="shared" si="130"/>
        <v>-2873.4407308503978</v>
      </c>
      <c r="BL60" s="60">
        <f t="shared" si="131"/>
        <v>-4615.8620736753528</v>
      </c>
      <c r="BM60" s="60">
        <f t="shared" si="132"/>
        <v>883.24983158567875</v>
      </c>
      <c r="BN60" s="60">
        <f t="shared" si="133"/>
        <v>353.75658325469203</v>
      </c>
      <c r="BO60" s="60">
        <f t="shared" si="134"/>
        <v>0</v>
      </c>
      <c r="BP60" s="60">
        <f t="shared" si="135"/>
        <v>-354.15297261403339</v>
      </c>
      <c r="BQ60" s="60">
        <f t="shared" si="136"/>
        <v>-885.80866898920704</v>
      </c>
      <c r="BR60" s="60">
        <f t="shared" si="137"/>
        <v>-1772.0860299424794</v>
      </c>
      <c r="BS60" s="60">
        <f t="shared" si="138"/>
        <v>-3540.6892981725423</v>
      </c>
      <c r="BT60" s="60">
        <f t="shared" si="139"/>
        <v>1800.1775111681104</v>
      </c>
      <c r="BU60" s="60">
        <f t="shared" si="140"/>
        <v>1287.4537034394075</v>
      </c>
      <c r="BV60" s="60">
        <f t="shared" si="141"/>
        <v>942.26304286536561</v>
      </c>
      <c r="BW60" s="60">
        <f t="shared" si="142"/>
        <v>594.94156712932181</v>
      </c>
      <c r="BX60" s="60">
        <f t="shared" si="143"/>
        <v>70.801356780164042</v>
      </c>
      <c r="BY60" s="60">
        <f t="shared" si="144"/>
        <v>-808.72997359367218</v>
      </c>
      <c r="BZ60" s="60">
        <f t="shared" si="145"/>
        <v>-2578.7652255668513</v>
      </c>
      <c r="CA60" s="60">
        <f t="shared" si="146"/>
        <v>2540.7945820108671</v>
      </c>
      <c r="CB60" s="60">
        <f t="shared" si="147"/>
        <v>2057.8387550310094</v>
      </c>
      <c r="CC60" s="60">
        <f t="shared" si="148"/>
        <v>1729.0094567507504</v>
      </c>
      <c r="CD60" s="60">
        <f t="shared" si="149"/>
        <v>1395.6957587635179</v>
      </c>
      <c r="CE60" s="60">
        <f t="shared" si="150"/>
        <v>888.80711837104855</v>
      </c>
      <c r="CF60" s="60">
        <f t="shared" si="151"/>
        <v>29.942843096280285</v>
      </c>
      <c r="CG60" s="60">
        <f t="shared" si="152"/>
        <v>-1720.091263600234</v>
      </c>
      <c r="CH60" s="60">
        <f t="shared" si="153"/>
        <v>3596.1751804218375</v>
      </c>
      <c r="CI60" s="60">
        <f t="shared" si="154"/>
        <v>3196.041463390477</v>
      </c>
      <c r="CJ60" s="60">
        <f t="shared" si="155"/>
        <v>2914.9344976229736</v>
      </c>
      <c r="CK60" s="60">
        <f t="shared" si="156"/>
        <v>2624.0602102899356</v>
      </c>
      <c r="CL60" s="60">
        <f t="shared" si="157"/>
        <v>2172.103992642019</v>
      </c>
      <c r="CM60" s="60">
        <f t="shared" si="158"/>
        <v>1385.3210133010793</v>
      </c>
      <c r="CN60" s="60">
        <f t="shared" si="159"/>
        <v>-274.37689348652839</v>
      </c>
    </row>
    <row r="61" spans="1:92" x14ac:dyDescent="0.35">
      <c r="A61" s="3" t="s">
        <v>1</v>
      </c>
      <c r="B61" s="4">
        <f>VLOOKUP(A61,PriceData!$K$4:$L$6,2,FALSE)</f>
        <v>2905</v>
      </c>
      <c r="C61" s="46">
        <f>VLOOKUP(A61,PriceData!$K$4:$M$6,3,FALSE)</f>
        <v>2.1999999999999999E-2</v>
      </c>
      <c r="D61" s="4" t="s">
        <v>108</v>
      </c>
      <c r="E61" s="4" t="s">
        <v>114</v>
      </c>
      <c r="F61" s="4">
        <v>5</v>
      </c>
      <c r="G61" s="4">
        <v>2556</v>
      </c>
      <c r="H61" s="4" t="s">
        <v>109</v>
      </c>
      <c r="I61" s="5">
        <v>40438</v>
      </c>
      <c r="J61" s="46">
        <f t="shared" si="80"/>
        <v>0.42327066685481735</v>
      </c>
      <c r="K61" s="30">
        <f>VLOOKUP(I61,PriceData!$A$5:$D$7,MATCH($E61,PriceData!$A$4:$D$4,0),FALSE)</f>
        <v>2.5000000000000001E-2</v>
      </c>
      <c r="L61" s="2">
        <f t="shared" si="81"/>
        <v>224.2834239356215</v>
      </c>
      <c r="M61" s="2">
        <f t="shared" si="82"/>
        <v>1121.4171196781076</v>
      </c>
      <c r="N61" s="4" t="s">
        <v>113</v>
      </c>
      <c r="P61" s="60">
        <f t="shared" si="83"/>
        <v>-836.71815787568255</v>
      </c>
      <c r="Q61" s="60">
        <f t="shared" si="84"/>
        <v>1403.5031212085391</v>
      </c>
      <c r="R61" s="58">
        <f t="shared" si="85"/>
        <v>8.1378315348870682</v>
      </c>
      <c r="S61" s="58">
        <f t="shared" si="86"/>
        <v>205.98587405962013</v>
      </c>
      <c r="T61" s="58">
        <f t="shared" si="87"/>
        <v>-0.66666206220882362</v>
      </c>
      <c r="U61" s="2">
        <f t="shared" si="88"/>
        <v>-7.267134121995233</v>
      </c>
      <c r="V61" s="65">
        <f t="shared" si="89"/>
        <v>-4183.5907893784124</v>
      </c>
      <c r="W61" s="65">
        <f t="shared" si="90"/>
        <v>7017.5156060426962</v>
      </c>
      <c r="X61" s="78">
        <f t="shared" si="91"/>
        <v>40.689157674435343</v>
      </c>
      <c r="Y61" s="78">
        <f t="shared" si="92"/>
        <v>1029.9293702981006</v>
      </c>
      <c r="Z61" s="78">
        <f t="shared" si="93"/>
        <v>-3.333310311044118</v>
      </c>
      <c r="AA61" s="78">
        <f t="shared" si="94"/>
        <v>-36.335670609976162</v>
      </c>
      <c r="AB61" s="78">
        <f t="shared" si="95"/>
        <v>1164.04881248437</v>
      </c>
      <c r="AC61" s="78">
        <f t="shared" si="96"/>
        <v>494.51788558818009</v>
      </c>
      <c r="AD61" s="78">
        <f t="shared" si="97"/>
        <v>227.47354108568118</v>
      </c>
      <c r="AE61" s="78">
        <f t="shared" si="98"/>
        <v>86.526796475397418</v>
      </c>
      <c r="AF61" s="78">
        <f t="shared" si="99"/>
        <v>-80.912604681186053</v>
      </c>
      <c r="AG61" s="78">
        <f t="shared" si="100"/>
        <v>-192.37914033828019</v>
      </c>
      <c r="AH61" s="78">
        <f t="shared" si="101"/>
        <v>-354.0687392346149</v>
      </c>
      <c r="AI61" s="78">
        <f t="shared" si="102"/>
        <v>-601.71504053708929</v>
      </c>
      <c r="AJ61" s="78">
        <f t="shared" si="103"/>
        <v>-399.67203141407651</v>
      </c>
      <c r="AK61" s="78">
        <f t="shared" si="104"/>
        <v>-201.92994750330797</v>
      </c>
      <c r="AL61" s="78">
        <f t="shared" si="105"/>
        <v>-81.158662424269892</v>
      </c>
      <c r="AM61" s="78">
        <f t="shared" si="106"/>
        <v>-40.6359889695932</v>
      </c>
      <c r="AN61" s="78">
        <f t="shared" si="107"/>
        <v>40.739049558479792</v>
      </c>
      <c r="AO61" s="78">
        <f t="shared" si="108"/>
        <v>81.571718136520985</v>
      </c>
      <c r="AP61" s="78">
        <f t="shared" si="109"/>
        <v>204.54753728208686</v>
      </c>
      <c r="AQ61" s="78">
        <f t="shared" si="110"/>
        <v>410.68087125643842</v>
      </c>
      <c r="AR61" s="60">
        <f t="shared" si="111"/>
        <v>976.42639070606094</v>
      </c>
      <c r="AS61" s="60">
        <f t="shared" si="112"/>
        <v>1088.853335261595</v>
      </c>
      <c r="AT61" s="60">
        <f t="shared" si="113"/>
        <v>1164.04881248437</v>
      </c>
      <c r="AU61" s="60">
        <f t="shared" si="114"/>
        <v>1239.3869425097346</v>
      </c>
      <c r="AV61" s="60">
        <f t="shared" si="115"/>
        <v>1352.5808566483811</v>
      </c>
      <c r="AW61" s="60">
        <f t="shared" si="116"/>
        <v>1541.4872711726748</v>
      </c>
      <c r="AX61" s="60">
        <f t="shared" si="117"/>
        <v>1919.0036509633187</v>
      </c>
      <c r="AY61" s="60">
        <f t="shared" si="118"/>
        <v>287.96566519047076</v>
      </c>
      <c r="AZ61" s="60">
        <f t="shared" si="119"/>
        <v>411.96455809360202</v>
      </c>
      <c r="BA61" s="60">
        <f t="shared" si="120"/>
        <v>494.51788558818009</v>
      </c>
      <c r="BB61" s="60">
        <f t="shared" si="121"/>
        <v>576.97102098177027</v>
      </c>
      <c r="BC61" s="60">
        <f t="shared" si="122"/>
        <v>700.44543013553209</v>
      </c>
      <c r="BD61" s="60">
        <f t="shared" si="123"/>
        <v>905.62733104822769</v>
      </c>
      <c r="BE61" s="60">
        <f t="shared" si="124"/>
        <v>1313.3328777631714</v>
      </c>
      <c r="BF61" s="60">
        <f t="shared" si="125"/>
        <v>20.674469017741899</v>
      </c>
      <c r="BG61" s="60">
        <f t="shared" si="126"/>
        <v>144.6625483734914</v>
      </c>
      <c r="BH61" s="60">
        <f t="shared" si="127"/>
        <v>227.47354108568118</v>
      </c>
      <c r="BI61" s="60">
        <f t="shared" si="128"/>
        <v>310.36272850891805</v>
      </c>
      <c r="BJ61" s="60">
        <f t="shared" si="129"/>
        <v>434.77578560027382</v>
      </c>
      <c r="BK61" s="60">
        <f t="shared" si="130"/>
        <v>642.13338580750928</v>
      </c>
      <c r="BL61" s="60">
        <f t="shared" si="131"/>
        <v>1055.7992518891331</v>
      </c>
      <c r="BM61" s="60">
        <f t="shared" si="132"/>
        <v>-201.92994750330797</v>
      </c>
      <c r="BN61" s="60">
        <f t="shared" si="133"/>
        <v>-81.158662424269892</v>
      </c>
      <c r="BO61" s="60">
        <f t="shared" si="134"/>
        <v>0</v>
      </c>
      <c r="BP61" s="60">
        <f t="shared" si="135"/>
        <v>81.571718136520985</v>
      </c>
      <c r="BQ61" s="60">
        <f t="shared" si="136"/>
        <v>204.54753728208686</v>
      </c>
      <c r="BR61" s="60">
        <f t="shared" si="137"/>
        <v>410.68087125643842</v>
      </c>
      <c r="BS61" s="60">
        <f t="shared" si="138"/>
        <v>825.03989264289032</v>
      </c>
      <c r="BT61" s="60">
        <f t="shared" si="139"/>
        <v>-385.38518350376194</v>
      </c>
      <c r="BU61" s="60">
        <f t="shared" si="140"/>
        <v>-270.35152237987916</v>
      </c>
      <c r="BV61" s="60">
        <f t="shared" si="141"/>
        <v>-192.37914033828019</v>
      </c>
      <c r="BW61" s="60">
        <f t="shared" si="142"/>
        <v>-113.55289719723089</v>
      </c>
      <c r="BX61" s="60">
        <f t="shared" si="143"/>
        <v>6.022547284344455</v>
      </c>
      <c r="BY61" s="60">
        <f t="shared" si="144"/>
        <v>208.07005636753445</v>
      </c>
      <c r="BZ61" s="60">
        <f t="shared" si="145"/>
        <v>618.58206938493879</v>
      </c>
      <c r="CA61" s="60">
        <f t="shared" si="146"/>
        <v>-535.19342054824335</v>
      </c>
      <c r="CB61" s="60">
        <f t="shared" si="147"/>
        <v>-427.71037951595076</v>
      </c>
      <c r="CC61" s="60">
        <f t="shared" si="148"/>
        <v>-354.0687392346149</v>
      </c>
      <c r="CD61" s="60">
        <f t="shared" si="149"/>
        <v>-279.07866927918576</v>
      </c>
      <c r="CE61" s="60">
        <f t="shared" si="150"/>
        <v>-164.43939513032774</v>
      </c>
      <c r="CF61" s="60">
        <f t="shared" si="151"/>
        <v>31.216184800398992</v>
      </c>
      <c r="CG61" s="60">
        <f t="shared" si="152"/>
        <v>434.08311769955446</v>
      </c>
      <c r="CH61" s="60">
        <f t="shared" si="153"/>
        <v>-754.17268770580199</v>
      </c>
      <c r="CI61" s="60">
        <f t="shared" si="154"/>
        <v>-664.68554025047661</v>
      </c>
      <c r="CJ61" s="60">
        <f t="shared" si="155"/>
        <v>-601.71504053708929</v>
      </c>
      <c r="CK61" s="60">
        <f t="shared" si="156"/>
        <v>-536.42393397073874</v>
      </c>
      <c r="CL61" s="60">
        <f t="shared" si="157"/>
        <v>-434.67143000208523</v>
      </c>
      <c r="CM61" s="60">
        <f t="shared" si="158"/>
        <v>-256.62658666455854</v>
      </c>
      <c r="CN61" s="60">
        <f t="shared" si="159"/>
        <v>122.37257722632421</v>
      </c>
    </row>
    <row r="62" spans="1:92" x14ac:dyDescent="0.35">
      <c r="A62" s="3" t="s">
        <v>116</v>
      </c>
      <c r="B62" s="4">
        <f>VLOOKUP(A62,PriceData!$K$4:$L$6,2,FALSE)</f>
        <v>10022</v>
      </c>
      <c r="C62" s="46">
        <f>VLOOKUP(A62,PriceData!$K$4:$M$6,3,FALSE)</f>
        <v>5.0000000000000001E-3</v>
      </c>
      <c r="D62" s="4" t="s">
        <v>105</v>
      </c>
      <c r="E62" s="4" t="s">
        <v>117</v>
      </c>
      <c r="F62" s="4">
        <v>-10</v>
      </c>
      <c r="H62" s="4"/>
      <c r="I62" s="5">
        <v>40256</v>
      </c>
      <c r="J62" s="46"/>
      <c r="K62" s="30"/>
      <c r="L62" s="2">
        <f t="shared" si="81"/>
        <v>10012.668785076199</v>
      </c>
      <c r="M62" s="2">
        <f t="shared" si="82"/>
        <v>-100126.68785076198</v>
      </c>
      <c r="N62" s="4" t="s">
        <v>107</v>
      </c>
      <c r="P62" s="60">
        <f t="shared" si="83"/>
        <v>10012.668785076199</v>
      </c>
      <c r="Q62" s="60">
        <f t="shared" si="84"/>
        <v>0</v>
      </c>
      <c r="R62" s="58">
        <f t="shared" si="85"/>
        <v>0</v>
      </c>
      <c r="S62" s="58">
        <f t="shared" si="86"/>
        <v>0</v>
      </c>
      <c r="T62" s="58">
        <f t="shared" si="87"/>
        <v>0.13715984637090683</v>
      </c>
      <c r="U62" s="2">
        <f t="shared" si="88"/>
        <v>18.653739106443332</v>
      </c>
      <c r="V62" s="65">
        <f t="shared" si="89"/>
        <v>-100126.68785076198</v>
      </c>
      <c r="W62" s="65">
        <f t="shared" si="90"/>
        <v>0</v>
      </c>
      <c r="X62" s="78">
        <f t="shared" si="91"/>
        <v>0</v>
      </c>
      <c r="Y62" s="78">
        <f t="shared" si="92"/>
        <v>0</v>
      </c>
      <c r="Z62" s="78">
        <f t="shared" si="93"/>
        <v>-1.3715984637090683</v>
      </c>
      <c r="AA62" s="78">
        <f t="shared" si="94"/>
        <v>-186.53739106443334</v>
      </c>
      <c r="AB62" s="78">
        <f t="shared" si="95"/>
        <v>20025.337570152387</v>
      </c>
      <c r="AC62" s="78">
        <f t="shared" si="96"/>
        <v>10012.668785076185</v>
      </c>
      <c r="AD62" s="78">
        <f t="shared" si="97"/>
        <v>5006.3343925381014</v>
      </c>
      <c r="AE62" s="78">
        <f t="shared" si="98"/>
        <v>2002.5337570152442</v>
      </c>
      <c r="AF62" s="78">
        <f t="shared" si="99"/>
        <v>-2002.5337570152442</v>
      </c>
      <c r="AG62" s="78">
        <f t="shared" si="100"/>
        <v>-5006.3343925381014</v>
      </c>
      <c r="AH62" s="78">
        <f t="shared" si="101"/>
        <v>-10012.668785076203</v>
      </c>
      <c r="AI62" s="78">
        <f t="shared" si="102"/>
        <v>-20025.337570152406</v>
      </c>
      <c r="AJ62" s="78">
        <f t="shared" si="103"/>
        <v>0</v>
      </c>
      <c r="AK62" s="78">
        <f t="shared" si="104"/>
        <v>0</v>
      </c>
      <c r="AL62" s="78">
        <f t="shared" si="105"/>
        <v>0</v>
      </c>
      <c r="AM62" s="78">
        <f t="shared" si="106"/>
        <v>0</v>
      </c>
      <c r="AN62" s="78">
        <f t="shared" si="107"/>
        <v>0</v>
      </c>
      <c r="AO62" s="78">
        <f t="shared" si="108"/>
        <v>0</v>
      </c>
      <c r="AP62" s="78">
        <f t="shared" si="109"/>
        <v>0</v>
      </c>
      <c r="AQ62" s="78">
        <f t="shared" si="110"/>
        <v>0</v>
      </c>
      <c r="AR62" s="60">
        <f t="shared" si="111"/>
        <v>20025.337570152387</v>
      </c>
      <c r="AS62" s="60">
        <f t="shared" si="112"/>
        <v>20025.337570152387</v>
      </c>
      <c r="AT62" s="60">
        <f t="shared" si="113"/>
        <v>20025.337570152387</v>
      </c>
      <c r="AU62" s="60">
        <f t="shared" si="114"/>
        <v>20025.337570152387</v>
      </c>
      <c r="AV62" s="60">
        <f t="shared" si="115"/>
        <v>20025.337570152387</v>
      </c>
      <c r="AW62" s="60">
        <f t="shared" si="116"/>
        <v>20025.337570152387</v>
      </c>
      <c r="AX62" s="60">
        <f t="shared" si="117"/>
        <v>20025.337570152387</v>
      </c>
      <c r="AY62" s="60">
        <f t="shared" si="118"/>
        <v>10012.668785076185</v>
      </c>
      <c r="AZ62" s="60">
        <f t="shared" si="119"/>
        <v>10012.668785076185</v>
      </c>
      <c r="BA62" s="60">
        <f t="shared" si="120"/>
        <v>10012.668785076185</v>
      </c>
      <c r="BB62" s="60">
        <f t="shared" si="121"/>
        <v>10012.668785076185</v>
      </c>
      <c r="BC62" s="60">
        <f t="shared" si="122"/>
        <v>10012.668785076185</v>
      </c>
      <c r="BD62" s="60">
        <f t="shared" si="123"/>
        <v>10012.668785076185</v>
      </c>
      <c r="BE62" s="60">
        <f t="shared" si="124"/>
        <v>10012.668785076185</v>
      </c>
      <c r="BF62" s="60">
        <f t="shared" si="125"/>
        <v>5006.3343925381014</v>
      </c>
      <c r="BG62" s="60">
        <f t="shared" si="126"/>
        <v>5006.3343925381014</v>
      </c>
      <c r="BH62" s="60">
        <f t="shared" si="127"/>
        <v>5006.3343925381014</v>
      </c>
      <c r="BI62" s="60">
        <f t="shared" si="128"/>
        <v>5006.3343925381014</v>
      </c>
      <c r="BJ62" s="60">
        <f t="shared" si="129"/>
        <v>5006.3343925381014</v>
      </c>
      <c r="BK62" s="60">
        <f t="shared" si="130"/>
        <v>5006.3343925381014</v>
      </c>
      <c r="BL62" s="60">
        <f t="shared" si="131"/>
        <v>5006.3343925381014</v>
      </c>
      <c r="BM62" s="60">
        <f t="shared" si="132"/>
        <v>0</v>
      </c>
      <c r="BN62" s="60">
        <f t="shared" si="133"/>
        <v>0</v>
      </c>
      <c r="BO62" s="60">
        <f t="shared" si="134"/>
        <v>0</v>
      </c>
      <c r="BP62" s="60">
        <f t="shared" si="135"/>
        <v>0</v>
      </c>
      <c r="BQ62" s="60">
        <f t="shared" si="136"/>
        <v>0</v>
      </c>
      <c r="BR62" s="60">
        <f t="shared" si="137"/>
        <v>0</v>
      </c>
      <c r="BS62" s="60">
        <f t="shared" si="138"/>
        <v>0</v>
      </c>
      <c r="BT62" s="60">
        <f t="shared" si="139"/>
        <v>-5006.3343925381014</v>
      </c>
      <c r="BU62" s="60">
        <f t="shared" si="140"/>
        <v>-5006.3343925381014</v>
      </c>
      <c r="BV62" s="60">
        <f t="shared" si="141"/>
        <v>-5006.3343925381014</v>
      </c>
      <c r="BW62" s="60">
        <f t="shared" si="142"/>
        <v>-5006.3343925381014</v>
      </c>
      <c r="BX62" s="60">
        <f t="shared" si="143"/>
        <v>-5006.3343925381014</v>
      </c>
      <c r="BY62" s="60">
        <f t="shared" si="144"/>
        <v>-5006.3343925381014</v>
      </c>
      <c r="BZ62" s="60">
        <f t="shared" si="145"/>
        <v>-5006.3343925381014</v>
      </c>
      <c r="CA62" s="60">
        <f t="shared" si="146"/>
        <v>-10012.668785076203</v>
      </c>
      <c r="CB62" s="60">
        <f t="shared" si="147"/>
        <v>-10012.668785076203</v>
      </c>
      <c r="CC62" s="60">
        <f t="shared" si="148"/>
        <v>-10012.668785076203</v>
      </c>
      <c r="CD62" s="60">
        <f t="shared" si="149"/>
        <v>-10012.668785076203</v>
      </c>
      <c r="CE62" s="60">
        <f t="shared" si="150"/>
        <v>-10012.668785076203</v>
      </c>
      <c r="CF62" s="60">
        <f t="shared" si="151"/>
        <v>-10012.668785076203</v>
      </c>
      <c r="CG62" s="60">
        <f t="shared" si="152"/>
        <v>-10012.668785076203</v>
      </c>
      <c r="CH62" s="60">
        <f t="shared" si="153"/>
        <v>-20025.337570152406</v>
      </c>
      <c r="CI62" s="60">
        <f t="shared" si="154"/>
        <v>-20025.337570152406</v>
      </c>
      <c r="CJ62" s="60">
        <f t="shared" si="155"/>
        <v>-20025.337570152406</v>
      </c>
      <c r="CK62" s="60">
        <f t="shared" si="156"/>
        <v>-20025.337570152406</v>
      </c>
      <c r="CL62" s="60">
        <f t="shared" si="157"/>
        <v>-20025.337570152406</v>
      </c>
      <c r="CM62" s="60">
        <f t="shared" si="158"/>
        <v>-20025.337570152406</v>
      </c>
      <c r="CN62" s="60">
        <f t="shared" si="159"/>
        <v>-20025.337570152406</v>
      </c>
    </row>
    <row r="63" spans="1:92" x14ac:dyDescent="0.35">
      <c r="A63" s="3" t="s">
        <v>116</v>
      </c>
      <c r="B63" s="4">
        <f>VLOOKUP(A63,PriceData!$K$4:$L$6,2,FALSE)</f>
        <v>10022</v>
      </c>
      <c r="C63" s="46">
        <f>VLOOKUP(A63,PriceData!$K$4:$M$6,3,FALSE)</f>
        <v>5.0000000000000001E-3</v>
      </c>
      <c r="D63" s="4" t="s">
        <v>108</v>
      </c>
      <c r="E63" s="4" t="s">
        <v>117</v>
      </c>
      <c r="F63" s="4">
        <v>-20</v>
      </c>
      <c r="G63">
        <v>10022</v>
      </c>
      <c r="H63" s="4" t="s">
        <v>111</v>
      </c>
      <c r="I63" s="5">
        <v>40256</v>
      </c>
      <c r="J63" s="46">
        <f t="shared" ref="J63:J87" si="160">FindImpliedVol(A63, D63, G63, I63)</f>
        <v>0.41000000000000003</v>
      </c>
      <c r="K63" s="30">
        <f>VLOOKUP(I63,PriceData!$A$5:$D$7,MATCH($E63,PriceData!$A$4:$D$4,0),FALSE)</f>
        <v>5.0000000000000001E-3</v>
      </c>
      <c r="L63" s="2">
        <f t="shared" si="81"/>
        <v>705.96860456899594</v>
      </c>
      <c r="M63" s="2">
        <f t="shared" si="82"/>
        <v>-14119.372091379919</v>
      </c>
      <c r="N63" s="4" t="s">
        <v>107</v>
      </c>
      <c r="P63" s="60">
        <f t="shared" si="83"/>
        <v>5359.3186948225975</v>
      </c>
      <c r="Q63" s="60">
        <f t="shared" si="84"/>
        <v>11241.853599719911</v>
      </c>
      <c r="R63" s="58">
        <f t="shared" si="85"/>
        <v>17.173856348503627</v>
      </c>
      <c r="S63" s="58">
        <f t="shared" si="86"/>
        <v>-32.795007876457611</v>
      </c>
      <c r="T63" s="58">
        <f t="shared" si="87"/>
        <v>-5.1677417728495127</v>
      </c>
      <c r="U63" s="2">
        <f t="shared" si="88"/>
        <v>8.6692549626642439</v>
      </c>
      <c r="V63" s="65">
        <f t="shared" si="89"/>
        <v>-107186.37389645196</v>
      </c>
      <c r="W63" s="65">
        <f t="shared" si="90"/>
        <v>-224837.0719943982</v>
      </c>
      <c r="X63" s="78">
        <f t="shared" si="91"/>
        <v>-343.4771269700725</v>
      </c>
      <c r="Y63" s="78">
        <f t="shared" si="92"/>
        <v>655.90015752915224</v>
      </c>
      <c r="Z63" s="78">
        <f t="shared" si="93"/>
        <v>103.35483545699026</v>
      </c>
      <c r="AA63" s="78">
        <f t="shared" si="94"/>
        <v>-173.38509925328486</v>
      </c>
      <c r="AB63" s="78">
        <f t="shared" si="95"/>
        <v>12556.391350084567</v>
      </c>
      <c r="AC63" s="78">
        <f t="shared" si="96"/>
        <v>8417.8352487136726</v>
      </c>
      <c r="AD63" s="78">
        <f t="shared" si="97"/>
        <v>4786.7215425701397</v>
      </c>
      <c r="AE63" s="78">
        <f t="shared" si="98"/>
        <v>2052.9804340877308</v>
      </c>
      <c r="AF63" s="78">
        <f t="shared" si="99"/>
        <v>-2232.6812443426024</v>
      </c>
      <c r="AG63" s="78">
        <f t="shared" si="100"/>
        <v>-5904.3355621652881</v>
      </c>
      <c r="AH63" s="78">
        <f t="shared" si="101"/>
        <v>-12810.838817096592</v>
      </c>
      <c r="AI63" s="78">
        <f t="shared" si="102"/>
        <v>-28975.904909135679</v>
      </c>
      <c r="AJ63" s="78">
        <f t="shared" si="103"/>
        <v>3437.7858694090173</v>
      </c>
      <c r="AK63" s="78">
        <f t="shared" si="104"/>
        <v>1718.1724194941671</v>
      </c>
      <c r="AL63" s="78">
        <f t="shared" si="105"/>
        <v>687.08331705947785</v>
      </c>
      <c r="AM63" s="78">
        <f t="shared" si="106"/>
        <v>343.50965740144602</v>
      </c>
      <c r="AN63" s="78">
        <f t="shared" si="107"/>
        <v>-343.44406746189634</v>
      </c>
      <c r="AO63" s="78">
        <f t="shared" si="108"/>
        <v>-686.82095821524854</v>
      </c>
      <c r="AP63" s="78">
        <f t="shared" si="109"/>
        <v>-1716.5327167073337</v>
      </c>
      <c r="AQ63" s="78">
        <f t="shared" si="110"/>
        <v>-3431.2276295010088</v>
      </c>
      <c r="AR63" s="60">
        <f t="shared" si="111"/>
        <v>13179.263869244971</v>
      </c>
      <c r="AS63" s="60">
        <f t="shared" si="112"/>
        <v>12822.905282455251</v>
      </c>
      <c r="AT63" s="60">
        <f t="shared" si="113"/>
        <v>12556.391350084567</v>
      </c>
      <c r="AU63" s="60">
        <f t="shared" si="114"/>
        <v>12268.462112569676</v>
      </c>
      <c r="AV63" s="60">
        <f t="shared" si="115"/>
        <v>11799.654172781093</v>
      </c>
      <c r="AW63" s="60">
        <f t="shared" si="116"/>
        <v>10931.516039704369</v>
      </c>
      <c r="AX63" s="60">
        <f t="shared" si="117"/>
        <v>8937.0733818877488</v>
      </c>
      <c r="AY63" s="60">
        <f t="shared" si="118"/>
        <v>9750.0522056868158</v>
      </c>
      <c r="AZ63" s="60">
        <f t="shared" si="119"/>
        <v>8958.861839552219</v>
      </c>
      <c r="BA63" s="60">
        <f t="shared" si="120"/>
        <v>8417.8352487136726</v>
      </c>
      <c r="BB63" s="60">
        <f t="shared" si="121"/>
        <v>7867.5619533583904</v>
      </c>
      <c r="BC63" s="60">
        <f t="shared" si="122"/>
        <v>7027.2696512633047</v>
      </c>
      <c r="BD63" s="60">
        <f t="shared" si="123"/>
        <v>5594.5313378316223</v>
      </c>
      <c r="BE63" s="60">
        <f t="shared" si="124"/>
        <v>2643.5474700842769</v>
      </c>
      <c r="BF63" s="60">
        <f t="shared" si="125"/>
        <v>6383.1682091311541</v>
      </c>
      <c r="BG63" s="60">
        <f t="shared" si="126"/>
        <v>5427.4782497269643</v>
      </c>
      <c r="BH63" s="60">
        <f t="shared" si="127"/>
        <v>4786.7215425701397</v>
      </c>
      <c r="BI63" s="60">
        <f t="shared" si="128"/>
        <v>4143.573068222704</v>
      </c>
      <c r="BJ63" s="60">
        <f t="shared" si="129"/>
        <v>3175.1298454889093</v>
      </c>
      <c r="BK63" s="60">
        <f t="shared" si="130"/>
        <v>1553.4040455071408</v>
      </c>
      <c r="BL63" s="60">
        <f t="shared" si="131"/>
        <v>-1708.1371995417885</v>
      </c>
      <c r="BM63" s="60">
        <f t="shared" si="132"/>
        <v>1718.1724194941671</v>
      </c>
      <c r="BN63" s="60">
        <f t="shared" si="133"/>
        <v>687.08331705947785</v>
      </c>
      <c r="BO63" s="60">
        <f t="shared" si="134"/>
        <v>0</v>
      </c>
      <c r="BP63" s="60">
        <f t="shared" si="135"/>
        <v>-686.82095821524854</v>
      </c>
      <c r="BQ63" s="60">
        <f t="shared" si="136"/>
        <v>-1716.5327167073337</v>
      </c>
      <c r="BR63" s="60">
        <f t="shared" si="137"/>
        <v>-3431.2276295010088</v>
      </c>
      <c r="BS63" s="60">
        <f t="shared" si="138"/>
        <v>-6854.3149061513213</v>
      </c>
      <c r="BT63" s="60">
        <f t="shared" si="139"/>
        <v>-4218.3062684207471</v>
      </c>
      <c r="BU63" s="60">
        <f t="shared" si="140"/>
        <v>-5227.8600258494589</v>
      </c>
      <c r="BV63" s="60">
        <f t="shared" si="141"/>
        <v>-5904.3355621652881</v>
      </c>
      <c r="BW63" s="60">
        <f t="shared" si="142"/>
        <v>-6583.0706799297877</v>
      </c>
      <c r="BX63" s="60">
        <f t="shared" si="143"/>
        <v>-7604.6760989232462</v>
      </c>
      <c r="BY63" s="60">
        <f t="shared" si="144"/>
        <v>-9314.513628912282</v>
      </c>
      <c r="BZ63" s="60">
        <f t="shared" si="145"/>
        <v>-12750.838257543401</v>
      </c>
      <c r="CA63" s="60">
        <f t="shared" si="146"/>
        <v>-11283.060909728956</v>
      </c>
      <c r="CB63" s="60">
        <f t="shared" si="147"/>
        <v>-12192.120575685767</v>
      </c>
      <c r="CC63" s="60">
        <f t="shared" si="148"/>
        <v>-12810.838817096592</v>
      </c>
      <c r="CD63" s="60">
        <f t="shared" si="149"/>
        <v>-13438.153873456777</v>
      </c>
      <c r="CE63" s="60">
        <f t="shared" si="150"/>
        <v>-14392.899038088326</v>
      </c>
      <c r="CF63" s="60">
        <f t="shared" si="151"/>
        <v>-16013.806464654626</v>
      </c>
      <c r="CG63" s="60">
        <f t="shared" si="152"/>
        <v>-19333.451553457744</v>
      </c>
      <c r="CH63" s="60">
        <f t="shared" si="153"/>
        <v>-27946.467399589092</v>
      </c>
      <c r="CI63" s="60">
        <f t="shared" si="154"/>
        <v>-28545.032498205619</v>
      </c>
      <c r="CJ63" s="60">
        <f t="shared" si="155"/>
        <v>-28975.904909135679</v>
      </c>
      <c r="CK63" s="60">
        <f t="shared" si="156"/>
        <v>-29429.542219775158</v>
      </c>
      <c r="CL63" s="60">
        <f t="shared" si="157"/>
        <v>-30148.151514735564</v>
      </c>
      <c r="CM63" s="60">
        <f t="shared" si="158"/>
        <v>-31432.647620112293</v>
      </c>
      <c r="CN63" s="60">
        <f t="shared" si="159"/>
        <v>-34248.749423339177</v>
      </c>
    </row>
    <row r="64" spans="1:92" x14ac:dyDescent="0.35">
      <c r="A64" s="3" t="s">
        <v>116</v>
      </c>
      <c r="B64" s="4">
        <f>VLOOKUP(A64,PriceData!$K$4:$L$6,2,FALSE)</f>
        <v>10022</v>
      </c>
      <c r="C64" s="46">
        <f>VLOOKUP(A64,PriceData!$K$4:$M$6,3,FALSE)</f>
        <v>5.0000000000000001E-3</v>
      </c>
      <c r="D64" s="4" t="s">
        <v>108</v>
      </c>
      <c r="E64" s="4" t="s">
        <v>117</v>
      </c>
      <c r="F64" s="4">
        <v>-10</v>
      </c>
      <c r="G64">
        <v>9120</v>
      </c>
      <c r="H64" s="4" t="s">
        <v>109</v>
      </c>
      <c r="I64" s="5">
        <v>40256</v>
      </c>
      <c r="J64" s="46">
        <f t="shared" si="160"/>
        <v>0.47216774083559543</v>
      </c>
      <c r="K64" s="30">
        <f>VLOOKUP(I64,PriceData!$A$5:$D$7,MATCH($E64,PriceData!$A$4:$D$4,0),FALSE)</f>
        <v>5.0000000000000001E-3</v>
      </c>
      <c r="L64" s="2">
        <f t="shared" si="81"/>
        <v>406.81126774628319</v>
      </c>
      <c r="M64" s="2">
        <f t="shared" si="82"/>
        <v>-4068.1126774628319</v>
      </c>
      <c r="N64" s="4" t="s">
        <v>107</v>
      </c>
      <c r="P64" s="60">
        <f t="shared" si="83"/>
        <v>-2865.1110308839361</v>
      </c>
      <c r="Q64" s="60">
        <f t="shared" si="84"/>
        <v>8355.7862474652648</v>
      </c>
      <c r="R64" s="58">
        <f t="shared" si="85"/>
        <v>14.700417788778919</v>
      </c>
      <c r="S64" s="58">
        <f t="shared" si="86"/>
        <v>634.42730798547746</v>
      </c>
      <c r="T64" s="58">
        <f t="shared" si="87"/>
        <v>-5.098150078692246</v>
      </c>
      <c r="U64" s="2">
        <f t="shared" si="88"/>
        <v>-6.095636063201507</v>
      </c>
      <c r="V64" s="65">
        <f t="shared" si="89"/>
        <v>28651.110308839361</v>
      </c>
      <c r="W64" s="65">
        <f t="shared" si="90"/>
        <v>-83557.862474652648</v>
      </c>
      <c r="X64" s="78">
        <f t="shared" si="91"/>
        <v>-147.00417788778918</v>
      </c>
      <c r="Y64" s="78">
        <f t="shared" si="92"/>
        <v>-6344.2730798547746</v>
      </c>
      <c r="Z64" s="78">
        <f t="shared" si="93"/>
        <v>50.98150078692246</v>
      </c>
      <c r="AA64" s="78">
        <f t="shared" si="94"/>
        <v>60.95636063201507</v>
      </c>
      <c r="AB64" s="78">
        <f t="shared" si="95"/>
        <v>-9723.9500168280028</v>
      </c>
      <c r="AC64" s="78">
        <f t="shared" si="96"/>
        <v>-3797.8243180972095</v>
      </c>
      <c r="AD64" s="78">
        <f t="shared" si="97"/>
        <v>-1654.2033698165824</v>
      </c>
      <c r="AE64" s="78">
        <f t="shared" si="98"/>
        <v>-607.27766822810281</v>
      </c>
      <c r="AF64" s="78">
        <f t="shared" si="99"/>
        <v>540.44498706253307</v>
      </c>
      <c r="AG64" s="78">
        <f t="shared" si="100"/>
        <v>1236.9547511919791</v>
      </c>
      <c r="AH64" s="78">
        <f t="shared" si="101"/>
        <v>2135.818135689542</v>
      </c>
      <c r="AI64" s="78">
        <f t="shared" si="102"/>
        <v>3212.976170935025</v>
      </c>
      <c r="AJ64" s="78">
        <f t="shared" si="103"/>
        <v>1430.0444416351456</v>
      </c>
      <c r="AK64" s="78">
        <f t="shared" si="104"/>
        <v>726.16334045635085</v>
      </c>
      <c r="AL64" s="78">
        <f t="shared" si="105"/>
        <v>292.68364655261848</v>
      </c>
      <c r="AM64" s="78">
        <f t="shared" si="106"/>
        <v>146.68011665180074</v>
      </c>
      <c r="AN64" s="78">
        <f t="shared" si="107"/>
        <v>-147.3147976556902</v>
      </c>
      <c r="AO64" s="78">
        <f t="shared" si="108"/>
        <v>-295.22541906262632</v>
      </c>
      <c r="AP64" s="78">
        <f t="shared" si="109"/>
        <v>-742.1838857813691</v>
      </c>
      <c r="AQ64" s="78">
        <f t="shared" si="110"/>
        <v>-1496.1119791662486</v>
      </c>
      <c r="AR64" s="60">
        <f t="shared" si="111"/>
        <v>-9138.3889726200323</v>
      </c>
      <c r="AS64" s="60">
        <f t="shared" si="112"/>
        <v>-9486.3222705635872</v>
      </c>
      <c r="AT64" s="60">
        <f t="shared" si="113"/>
        <v>-9723.9500168280028</v>
      </c>
      <c r="AU64" s="60">
        <f t="shared" si="114"/>
        <v>-9965.5345188396768</v>
      </c>
      <c r="AV64" s="60">
        <f t="shared" si="115"/>
        <v>-10334.413410171646</v>
      </c>
      <c r="AW64" s="60">
        <f t="shared" si="116"/>
        <v>-10963.680134821097</v>
      </c>
      <c r="AX64" s="60">
        <f t="shared" si="117"/>
        <v>-12262.145460124384</v>
      </c>
      <c r="AY64" s="60">
        <f t="shared" si="118"/>
        <v>-3022.5751199673687</v>
      </c>
      <c r="AZ64" s="60">
        <f t="shared" si="119"/>
        <v>-3487.7880656112393</v>
      </c>
      <c r="BA64" s="60">
        <f t="shared" si="120"/>
        <v>-3797.8243180972095</v>
      </c>
      <c r="BB64" s="60">
        <f t="shared" si="121"/>
        <v>-4107.7628833310246</v>
      </c>
      <c r="BC64" s="60">
        <f t="shared" si="122"/>
        <v>-4572.4652999053433</v>
      </c>
      <c r="BD64" s="60">
        <f t="shared" si="123"/>
        <v>-5346.3445713419605</v>
      </c>
      <c r="BE64" s="60">
        <f t="shared" si="124"/>
        <v>-6891.3011422496493</v>
      </c>
      <c r="BF64" s="60">
        <f t="shared" si="125"/>
        <v>-876.03358600596039</v>
      </c>
      <c r="BG64" s="60">
        <f t="shared" si="126"/>
        <v>-1342.5184266962424</v>
      </c>
      <c r="BH64" s="60">
        <f t="shared" si="127"/>
        <v>-1654.2033698165824</v>
      </c>
      <c r="BI64" s="60">
        <f t="shared" si="128"/>
        <v>-1966.3408662862548</v>
      </c>
      <c r="BJ64" s="60">
        <f t="shared" si="129"/>
        <v>-2435.2357374549001</v>
      </c>
      <c r="BK64" s="60">
        <f t="shared" si="130"/>
        <v>-3218.0702228784048</v>
      </c>
      <c r="BL64" s="60">
        <f t="shared" si="131"/>
        <v>-4786.3293669805898</v>
      </c>
      <c r="BM64" s="60">
        <f t="shared" si="132"/>
        <v>726.16334045635085</v>
      </c>
      <c r="BN64" s="60">
        <f t="shared" si="133"/>
        <v>292.68364655261848</v>
      </c>
      <c r="BO64" s="60">
        <f t="shared" si="134"/>
        <v>0</v>
      </c>
      <c r="BP64" s="60">
        <f t="shared" si="135"/>
        <v>-295.22541906262632</v>
      </c>
      <c r="BQ64" s="60">
        <f t="shared" si="136"/>
        <v>-742.1838857813691</v>
      </c>
      <c r="BR64" s="60">
        <f t="shared" si="137"/>
        <v>-1496.1119791662486</v>
      </c>
      <c r="BS64" s="60">
        <f t="shared" si="138"/>
        <v>-3027.949228149696</v>
      </c>
      <c r="BT64" s="60">
        <f t="shared" si="139"/>
        <v>1873.6781456214862</v>
      </c>
      <c r="BU64" s="60">
        <f t="shared" si="140"/>
        <v>1496.2301293073278</v>
      </c>
      <c r="BV64" s="60">
        <f t="shared" si="141"/>
        <v>1236.9547511919791</v>
      </c>
      <c r="BW64" s="60">
        <f t="shared" si="142"/>
        <v>972.31531081015419</v>
      </c>
      <c r="BX64" s="60">
        <f t="shared" si="143"/>
        <v>566.49401435392065</v>
      </c>
      <c r="BY64" s="60">
        <f t="shared" si="144"/>
        <v>-129.73135229432046</v>
      </c>
      <c r="BZ64" s="60">
        <f t="shared" si="145"/>
        <v>-1577.60236477121</v>
      </c>
      <c r="CA64" s="60">
        <f t="shared" si="146"/>
        <v>2665.0999456159047</v>
      </c>
      <c r="CB64" s="60">
        <f t="shared" si="147"/>
        <v>2354.2816993821884</v>
      </c>
      <c r="CC64" s="60">
        <f t="shared" si="148"/>
        <v>2135.818135689542</v>
      </c>
      <c r="CD64" s="60">
        <f t="shared" si="149"/>
        <v>1909.2828285261157</v>
      </c>
      <c r="CE64" s="60">
        <f t="shared" si="150"/>
        <v>1555.8886259043402</v>
      </c>
      <c r="CF64" s="60">
        <f t="shared" si="151"/>
        <v>935.72301374798826</v>
      </c>
      <c r="CG64" s="60">
        <f t="shared" si="152"/>
        <v>-394.72534301390169</v>
      </c>
      <c r="CH64" s="60">
        <f t="shared" si="153"/>
        <v>3533.6776315227939</v>
      </c>
      <c r="CI64" s="60">
        <f t="shared" si="154"/>
        <v>3350.0281762672657</v>
      </c>
      <c r="CJ64" s="60">
        <f t="shared" si="155"/>
        <v>3212.976170935025</v>
      </c>
      <c r="CK64" s="60">
        <f t="shared" si="156"/>
        <v>3064.8536262470952</v>
      </c>
      <c r="CL64" s="60">
        <f t="shared" si="157"/>
        <v>2823.152400243298</v>
      </c>
      <c r="CM64" s="60">
        <f t="shared" si="158"/>
        <v>2373.0113265890986</v>
      </c>
      <c r="CN64" s="60">
        <f t="shared" si="159"/>
        <v>1325.046769681137</v>
      </c>
    </row>
    <row r="65" spans="1:92" x14ac:dyDescent="0.35">
      <c r="A65" s="3" t="s">
        <v>116</v>
      </c>
      <c r="B65" s="4">
        <f>VLOOKUP(A65,PriceData!$K$4:$L$6,2,FALSE)</f>
        <v>10022</v>
      </c>
      <c r="C65" s="46">
        <f>VLOOKUP(A65,PriceData!$K$4:$M$6,3,FALSE)</f>
        <v>5.0000000000000001E-3</v>
      </c>
      <c r="D65" s="4" t="s">
        <v>108</v>
      </c>
      <c r="E65" s="4" t="s">
        <v>117</v>
      </c>
      <c r="F65" s="4">
        <v>-20</v>
      </c>
      <c r="G65">
        <v>10022</v>
      </c>
      <c r="H65" s="4" t="s">
        <v>109</v>
      </c>
      <c r="I65" s="5">
        <v>40256</v>
      </c>
      <c r="J65" s="46">
        <f t="shared" si="160"/>
        <v>0.41000000000000003</v>
      </c>
      <c r="K65" s="30">
        <f>VLOOKUP(I65,PriceData!$A$5:$D$7,MATCH($E65,PriceData!$A$4:$D$4,0),FALSE)</f>
        <v>5.0000000000000001E-3</v>
      </c>
      <c r="L65" s="2">
        <f t="shared" si="81"/>
        <v>705.96860456899594</v>
      </c>
      <c r="M65" s="2">
        <f t="shared" si="82"/>
        <v>-14119.372091379919</v>
      </c>
      <c r="N65" s="4" t="s">
        <v>110</v>
      </c>
      <c r="P65" s="60">
        <f t="shared" si="83"/>
        <v>-4653.3500902536016</v>
      </c>
      <c r="Q65" s="60">
        <f t="shared" si="84"/>
        <v>11241.853599719911</v>
      </c>
      <c r="R65" s="58">
        <f t="shared" si="85"/>
        <v>17.173856348503627</v>
      </c>
      <c r="S65" s="58">
        <f t="shared" si="86"/>
        <v>-32.795007876457611</v>
      </c>
      <c r="T65" s="58">
        <f t="shared" si="87"/>
        <v>-5.1677417728495127</v>
      </c>
      <c r="U65" s="2">
        <f t="shared" si="88"/>
        <v>-9.9844841437790883</v>
      </c>
      <c r="V65" s="65">
        <f t="shared" si="89"/>
        <v>93067.001805072039</v>
      </c>
      <c r="W65" s="65">
        <f t="shared" si="90"/>
        <v>-224837.0719943982</v>
      </c>
      <c r="X65" s="78">
        <f t="shared" si="91"/>
        <v>-343.4771269700725</v>
      </c>
      <c r="Y65" s="78">
        <f t="shared" si="92"/>
        <v>655.90015752915224</v>
      </c>
      <c r="Z65" s="78">
        <f t="shared" si="93"/>
        <v>103.35483545699026</v>
      </c>
      <c r="AA65" s="78">
        <f t="shared" si="94"/>
        <v>199.68968287558175</v>
      </c>
      <c r="AB65" s="78">
        <f t="shared" si="95"/>
        <v>-27494.283790220197</v>
      </c>
      <c r="AC65" s="78">
        <f t="shared" si="96"/>
        <v>-11607.502321438715</v>
      </c>
      <c r="AD65" s="78">
        <f t="shared" si="97"/>
        <v>-5225.9472425060449</v>
      </c>
      <c r="AE65" s="78">
        <f t="shared" si="98"/>
        <v>-1952.0870799427757</v>
      </c>
      <c r="AF65" s="78">
        <f t="shared" si="99"/>
        <v>1772.3862696878678</v>
      </c>
      <c r="AG65" s="78">
        <f t="shared" si="100"/>
        <v>4108.3332229109055</v>
      </c>
      <c r="AH65" s="78">
        <f t="shared" si="101"/>
        <v>7214.4987530558137</v>
      </c>
      <c r="AI65" s="78">
        <f t="shared" si="102"/>
        <v>11074.770231169128</v>
      </c>
      <c r="AJ65" s="78">
        <f t="shared" si="103"/>
        <v>3437.7858694090173</v>
      </c>
      <c r="AK65" s="78">
        <f t="shared" si="104"/>
        <v>1718.1724194941671</v>
      </c>
      <c r="AL65" s="78">
        <f t="shared" si="105"/>
        <v>687.08331705947785</v>
      </c>
      <c r="AM65" s="78">
        <f t="shared" si="106"/>
        <v>343.50965740144602</v>
      </c>
      <c r="AN65" s="78">
        <f t="shared" si="107"/>
        <v>-343.44406746189634</v>
      </c>
      <c r="AO65" s="78">
        <f t="shared" si="108"/>
        <v>-686.82095821524854</v>
      </c>
      <c r="AP65" s="78">
        <f t="shared" si="109"/>
        <v>-1716.5327167073337</v>
      </c>
      <c r="AQ65" s="78">
        <f t="shared" si="110"/>
        <v>-3431.2276295010088</v>
      </c>
      <c r="AR65" s="60">
        <f t="shared" si="111"/>
        <v>-26871.411271059787</v>
      </c>
      <c r="AS65" s="60">
        <f t="shared" si="112"/>
        <v>-27227.769857849507</v>
      </c>
      <c r="AT65" s="60">
        <f t="shared" si="113"/>
        <v>-27494.283790220197</v>
      </c>
      <c r="AU65" s="60">
        <f t="shared" si="114"/>
        <v>-27782.213027735088</v>
      </c>
      <c r="AV65" s="60">
        <f t="shared" si="115"/>
        <v>-28251.020967523655</v>
      </c>
      <c r="AW65" s="60">
        <f t="shared" si="116"/>
        <v>-29119.159100600409</v>
      </c>
      <c r="AX65" s="60">
        <f t="shared" si="117"/>
        <v>-31113.601758417008</v>
      </c>
      <c r="AY65" s="60">
        <f t="shared" si="118"/>
        <v>-10275.285364465526</v>
      </c>
      <c r="AZ65" s="60">
        <f t="shared" si="119"/>
        <v>-11066.475730600141</v>
      </c>
      <c r="BA65" s="60">
        <f t="shared" si="120"/>
        <v>-11607.502321438715</v>
      </c>
      <c r="BB65" s="60">
        <f t="shared" si="121"/>
        <v>-12157.77561679397</v>
      </c>
      <c r="BC65" s="60">
        <f t="shared" si="122"/>
        <v>-12998.067918889064</v>
      </c>
      <c r="BD65" s="60">
        <f t="shared" si="123"/>
        <v>-14430.806232320738</v>
      </c>
      <c r="BE65" s="60">
        <f t="shared" si="124"/>
        <v>-17381.790100068101</v>
      </c>
      <c r="BF65" s="60">
        <f t="shared" si="125"/>
        <v>-3629.5005759450578</v>
      </c>
      <c r="BG65" s="60">
        <f t="shared" si="126"/>
        <v>-4585.1905353492475</v>
      </c>
      <c r="BH65" s="60">
        <f t="shared" si="127"/>
        <v>-5225.9472425060449</v>
      </c>
      <c r="BI65" s="60">
        <f t="shared" si="128"/>
        <v>-5869.0957168534987</v>
      </c>
      <c r="BJ65" s="60">
        <f t="shared" si="129"/>
        <v>-6837.5389395873026</v>
      </c>
      <c r="BK65" s="60">
        <f t="shared" si="130"/>
        <v>-8459.2647395690619</v>
      </c>
      <c r="BL65" s="60">
        <f t="shared" si="131"/>
        <v>-11720.805984618</v>
      </c>
      <c r="BM65" s="60">
        <f t="shared" si="132"/>
        <v>1718.1724194941671</v>
      </c>
      <c r="BN65" s="60">
        <f t="shared" si="133"/>
        <v>687.08331705947785</v>
      </c>
      <c r="BO65" s="60">
        <f t="shared" si="134"/>
        <v>0</v>
      </c>
      <c r="BP65" s="60">
        <f t="shared" si="135"/>
        <v>-686.82095821524854</v>
      </c>
      <c r="BQ65" s="60">
        <f t="shared" si="136"/>
        <v>-1716.5327167073337</v>
      </c>
      <c r="BR65" s="60">
        <f t="shared" si="137"/>
        <v>-3431.2276295010088</v>
      </c>
      <c r="BS65" s="60">
        <f t="shared" si="138"/>
        <v>-6854.3149061513213</v>
      </c>
      <c r="BT65" s="60">
        <f t="shared" si="139"/>
        <v>5794.3625166554557</v>
      </c>
      <c r="BU65" s="60">
        <f t="shared" si="140"/>
        <v>4784.808759226753</v>
      </c>
      <c r="BV65" s="60">
        <f t="shared" si="141"/>
        <v>4108.3332229109055</v>
      </c>
      <c r="BW65" s="60">
        <f t="shared" si="142"/>
        <v>3429.598105146415</v>
      </c>
      <c r="BX65" s="60">
        <f t="shared" si="143"/>
        <v>2407.9926861529566</v>
      </c>
      <c r="BY65" s="60">
        <f t="shared" si="144"/>
        <v>698.15515616392076</v>
      </c>
      <c r="BZ65" s="60">
        <f t="shared" si="145"/>
        <v>-2738.1694724671979</v>
      </c>
      <c r="CA65" s="60">
        <f t="shared" si="146"/>
        <v>8742.2766604234039</v>
      </c>
      <c r="CB65" s="60">
        <f t="shared" si="147"/>
        <v>7833.2169944666293</v>
      </c>
      <c r="CC65" s="60">
        <f t="shared" si="148"/>
        <v>7214.4987530558137</v>
      </c>
      <c r="CD65" s="60">
        <f t="shared" si="149"/>
        <v>6587.1836966956289</v>
      </c>
      <c r="CE65" s="60">
        <f t="shared" si="150"/>
        <v>5632.4385320640977</v>
      </c>
      <c r="CF65" s="60">
        <f t="shared" si="151"/>
        <v>4011.5311054977701</v>
      </c>
      <c r="CG65" s="60">
        <f t="shared" si="152"/>
        <v>691.88601669466152</v>
      </c>
      <c r="CH65" s="60">
        <f t="shared" si="153"/>
        <v>12104.207740715692</v>
      </c>
      <c r="CI65" s="60">
        <f t="shared" si="154"/>
        <v>11505.642642099174</v>
      </c>
      <c r="CJ65" s="60">
        <f t="shared" si="155"/>
        <v>11074.770231169128</v>
      </c>
      <c r="CK65" s="60">
        <f t="shared" si="156"/>
        <v>10621.132920529672</v>
      </c>
      <c r="CL65" s="60">
        <f t="shared" si="157"/>
        <v>9902.5236255692325</v>
      </c>
      <c r="CM65" s="60">
        <f t="shared" si="158"/>
        <v>8618.0275201925178</v>
      </c>
      <c r="CN65" s="60">
        <f t="shared" si="159"/>
        <v>5801.925716965643</v>
      </c>
    </row>
    <row r="66" spans="1:92" x14ac:dyDescent="0.35">
      <c r="A66" s="3" t="s">
        <v>116</v>
      </c>
      <c r="B66" s="4">
        <f>VLOOKUP(A66,PriceData!$K$4:$L$6,2,FALSE)</f>
        <v>10022</v>
      </c>
      <c r="C66" s="46">
        <f>VLOOKUP(A66,PriceData!$K$4:$M$6,3,FALSE)</f>
        <v>5.0000000000000001E-3</v>
      </c>
      <c r="D66" s="4" t="s">
        <v>108</v>
      </c>
      <c r="E66" s="4" t="s">
        <v>117</v>
      </c>
      <c r="F66" s="4">
        <v>-20</v>
      </c>
      <c r="G66">
        <v>10323</v>
      </c>
      <c r="H66" s="4" t="s">
        <v>111</v>
      </c>
      <c r="I66" s="5">
        <v>40256</v>
      </c>
      <c r="J66" s="46">
        <f t="shared" si="160"/>
        <v>0.39753782583952535</v>
      </c>
      <c r="K66" s="30">
        <f>VLOOKUP(I66,PriceData!$A$5:$D$7,MATCH($E66,PriceData!$A$4:$D$4,0),FALSE)</f>
        <v>5.0000000000000001E-3</v>
      </c>
      <c r="L66" s="2">
        <f t="shared" si="81"/>
        <v>554.76515320714407</v>
      </c>
      <c r="M66" s="2">
        <f t="shared" si="82"/>
        <v>-11095.303064142881</v>
      </c>
      <c r="N66" s="4" t="s">
        <v>107</v>
      </c>
      <c r="P66" s="60">
        <f t="shared" si="83"/>
        <v>4660.5885132066678</v>
      </c>
      <c r="Q66" s="60">
        <f t="shared" si="84"/>
        <v>11596.114854726689</v>
      </c>
      <c r="R66" s="58">
        <f t="shared" si="85"/>
        <v>17.17659241382335</v>
      </c>
      <c r="S66" s="58">
        <f t="shared" si="86"/>
        <v>96.703682221908721</v>
      </c>
      <c r="T66" s="58">
        <f t="shared" si="87"/>
        <v>-5.0132425387673099</v>
      </c>
      <c r="U66" s="2">
        <f t="shared" si="88"/>
        <v>7.64920516383473</v>
      </c>
      <c r="V66" s="65">
        <f t="shared" si="89"/>
        <v>-93211.77026413336</v>
      </c>
      <c r="W66" s="65">
        <f t="shared" si="90"/>
        <v>-231922.2970945338</v>
      </c>
      <c r="X66" s="78">
        <f t="shared" si="91"/>
        <v>-343.53184827646703</v>
      </c>
      <c r="Y66" s="78">
        <f t="shared" si="92"/>
        <v>-1934.0736444381744</v>
      </c>
      <c r="Z66" s="78">
        <f t="shared" si="93"/>
        <v>100.26485077534619</v>
      </c>
      <c r="AA66" s="78">
        <f t="shared" si="94"/>
        <v>-152.98410327669461</v>
      </c>
      <c r="AB66" s="78">
        <f t="shared" si="95"/>
        <v>10125.81779138988</v>
      </c>
      <c r="AC66" s="78">
        <f t="shared" si="96"/>
        <v>7031.6294979884924</v>
      </c>
      <c r="AD66" s="78">
        <f t="shared" si="97"/>
        <v>4080.1648528453916</v>
      </c>
      <c r="AE66" s="78">
        <f t="shared" si="98"/>
        <v>1771.264878594302</v>
      </c>
      <c r="AF66" s="78">
        <f t="shared" si="99"/>
        <v>-1956.5974605226438</v>
      </c>
      <c r="AG66" s="78">
        <f t="shared" si="100"/>
        <v>-5231.8047336531527</v>
      </c>
      <c r="AH66" s="78">
        <f t="shared" si="101"/>
        <v>-11545.138701877386</v>
      </c>
      <c r="AI66" s="78">
        <f t="shared" si="102"/>
        <v>-26838.976749679059</v>
      </c>
      <c r="AJ66" s="78">
        <f t="shared" si="103"/>
        <v>3421.1060963604905</v>
      </c>
      <c r="AK66" s="78">
        <f t="shared" si="104"/>
        <v>1714.749563868445</v>
      </c>
      <c r="AL66" s="78">
        <f t="shared" si="105"/>
        <v>686.64768909626218</v>
      </c>
      <c r="AM66" s="78">
        <f t="shared" si="106"/>
        <v>343.43158163541375</v>
      </c>
      <c r="AN66" s="78">
        <f t="shared" si="107"/>
        <v>-343.62514877728245</v>
      </c>
      <c r="AO66" s="78">
        <f t="shared" si="108"/>
        <v>-687.42387969756237</v>
      </c>
      <c r="AP66" s="78">
        <f t="shared" si="109"/>
        <v>-1719.6860981121608</v>
      </c>
      <c r="AQ66" s="78">
        <f t="shared" si="110"/>
        <v>-3442.1476443531901</v>
      </c>
      <c r="AR66" s="60">
        <f t="shared" si="111"/>
        <v>10578.977630095642</v>
      </c>
      <c r="AS66" s="60">
        <f t="shared" si="112"/>
        <v>10325.010259964291</v>
      </c>
      <c r="AT66" s="60">
        <f t="shared" si="113"/>
        <v>10125.81779138988</v>
      </c>
      <c r="AU66" s="60">
        <f t="shared" si="114"/>
        <v>9903.7074651622625</v>
      </c>
      <c r="AV66" s="60">
        <f t="shared" si="115"/>
        <v>9529.8859464646521</v>
      </c>
      <c r="AW66" s="60">
        <f t="shared" si="116"/>
        <v>8808.1261536293132</v>
      </c>
      <c r="AX66" s="60">
        <f t="shared" si="117"/>
        <v>7058.7243952808694</v>
      </c>
      <c r="AY66" s="60">
        <f t="shared" si="118"/>
        <v>8193.6803073559677</v>
      </c>
      <c r="AZ66" s="60">
        <f t="shared" si="119"/>
        <v>7509.4225280254523</v>
      </c>
      <c r="BA66" s="60">
        <f t="shared" si="120"/>
        <v>7031.6294979884924</v>
      </c>
      <c r="BB66" s="60">
        <f t="shared" si="121"/>
        <v>6538.8833792531295</v>
      </c>
      <c r="BC66" s="60">
        <f t="shared" si="122"/>
        <v>5775.4032365975218</v>
      </c>
      <c r="BD66" s="60">
        <f t="shared" si="123"/>
        <v>4449.356057128507</v>
      </c>
      <c r="BE66" s="60">
        <f t="shared" si="124"/>
        <v>1651.8996794711438</v>
      </c>
      <c r="BF66" s="60">
        <f t="shared" si="125"/>
        <v>5577.350253984996</v>
      </c>
      <c r="BG66" s="60">
        <f t="shared" si="126"/>
        <v>4684.9349298699508</v>
      </c>
      <c r="BH66" s="60">
        <f t="shared" si="127"/>
        <v>4080.1648528453916</v>
      </c>
      <c r="BI66" s="60">
        <f t="shared" si="128"/>
        <v>3468.8059653527762</v>
      </c>
      <c r="BJ66" s="60">
        <f t="shared" si="129"/>
        <v>2541.3179946273794</v>
      </c>
      <c r="BK66" s="60">
        <f t="shared" si="130"/>
        <v>973.29365997191417</v>
      </c>
      <c r="BL66" s="60">
        <f t="shared" si="131"/>
        <v>-2219.7280960268108</v>
      </c>
      <c r="BM66" s="60">
        <f t="shared" si="132"/>
        <v>1714.749563868445</v>
      </c>
      <c r="BN66" s="60">
        <f t="shared" si="133"/>
        <v>686.64768909626218</v>
      </c>
      <c r="BO66" s="60">
        <f t="shared" si="134"/>
        <v>0</v>
      </c>
      <c r="BP66" s="60">
        <f t="shared" si="135"/>
        <v>-687.42387969756237</v>
      </c>
      <c r="BQ66" s="60">
        <f t="shared" si="136"/>
        <v>-1719.6860981121608</v>
      </c>
      <c r="BR66" s="60">
        <f t="shared" si="137"/>
        <v>-3442.1476443531901</v>
      </c>
      <c r="BS66" s="60">
        <f t="shared" si="138"/>
        <v>-6890.0114273862528</v>
      </c>
      <c r="BT66" s="60">
        <f t="shared" si="139"/>
        <v>-3457.3163773836677</v>
      </c>
      <c r="BU66" s="60">
        <f t="shared" si="140"/>
        <v>-4521.7911201386232</v>
      </c>
      <c r="BV66" s="60">
        <f t="shared" si="141"/>
        <v>-5231.8047336531527</v>
      </c>
      <c r="BW66" s="60">
        <f t="shared" si="142"/>
        <v>-5942.0037536329073</v>
      </c>
      <c r="BX66" s="60">
        <f t="shared" si="143"/>
        <v>-7007.4895313633169</v>
      </c>
      <c r="BY66" s="60">
        <f t="shared" si="144"/>
        <v>-8783.3080316626183</v>
      </c>
      <c r="BZ66" s="60">
        <f t="shared" si="145"/>
        <v>-12332.527496566345</v>
      </c>
      <c r="CA66" s="60">
        <f t="shared" si="146"/>
        <v>-9863.0197307334129</v>
      </c>
      <c r="CB66" s="60">
        <f t="shared" si="147"/>
        <v>-10867.979188087684</v>
      </c>
      <c r="CC66" s="60">
        <f t="shared" si="148"/>
        <v>-11545.138701877386</v>
      </c>
      <c r="CD66" s="60">
        <f t="shared" si="149"/>
        <v>-12227.073846854728</v>
      </c>
      <c r="CE66" s="60">
        <f t="shared" si="150"/>
        <v>-13257.484121124107</v>
      </c>
      <c r="CF66" s="60">
        <f t="shared" si="151"/>
        <v>-14990.584381372519</v>
      </c>
      <c r="CG66" s="60">
        <f t="shared" si="152"/>
        <v>-18496.080943113611</v>
      </c>
      <c r="CH66" s="60">
        <f t="shared" si="153"/>
        <v>-25623.764397172872</v>
      </c>
      <c r="CI66" s="60">
        <f t="shared" si="154"/>
        <v>-26335.471005105919</v>
      </c>
      <c r="CJ66" s="60">
        <f t="shared" si="155"/>
        <v>-26838.976749679059</v>
      </c>
      <c r="CK66" s="60">
        <f t="shared" si="156"/>
        <v>-27362.805552861701</v>
      </c>
      <c r="CL66" s="60">
        <f t="shared" si="157"/>
        <v>-28181.989898312677</v>
      </c>
      <c r="CM66" s="60">
        <f t="shared" si="158"/>
        <v>-29621.722067014689</v>
      </c>
      <c r="CN66" s="60">
        <f t="shared" si="159"/>
        <v>-32706.48931774127</v>
      </c>
    </row>
    <row r="67" spans="1:92" x14ac:dyDescent="0.35">
      <c r="A67" s="3" t="s">
        <v>116</v>
      </c>
      <c r="B67" s="4">
        <f>VLOOKUP(A67,PriceData!$K$4:$L$6,2,FALSE)</f>
        <v>10022</v>
      </c>
      <c r="C67" s="46">
        <f>VLOOKUP(A67,PriceData!$K$4:$M$6,3,FALSE)</f>
        <v>5.0000000000000001E-3</v>
      </c>
      <c r="D67" s="4" t="s">
        <v>108</v>
      </c>
      <c r="E67" s="4" t="s">
        <v>117</v>
      </c>
      <c r="F67" s="4">
        <v>-20</v>
      </c>
      <c r="G67">
        <v>10323</v>
      </c>
      <c r="H67" s="4" t="s">
        <v>109</v>
      </c>
      <c r="I67" s="5">
        <v>40256</v>
      </c>
      <c r="J67" s="46">
        <f t="shared" si="160"/>
        <v>0.39753782583952535</v>
      </c>
      <c r="K67" s="30">
        <f>VLOOKUP(I67,PriceData!$A$5:$D$7,MATCH($E67,PriceData!$A$4:$D$4,0),FALSE)</f>
        <v>5.0000000000000001E-3</v>
      </c>
      <c r="L67" s="2">
        <f t="shared" si="81"/>
        <v>855.48490019456494</v>
      </c>
      <c r="M67" s="2">
        <f t="shared" si="82"/>
        <v>-17109.698003891299</v>
      </c>
      <c r="N67" s="4" t="s">
        <v>107</v>
      </c>
      <c r="P67" s="60">
        <f t="shared" si="83"/>
        <v>-5352.0802718695322</v>
      </c>
      <c r="Q67" s="60">
        <f t="shared" si="84"/>
        <v>11596.114854726689</v>
      </c>
      <c r="R67" s="58">
        <f t="shared" si="85"/>
        <v>17.17659241382335</v>
      </c>
      <c r="S67" s="58">
        <f t="shared" si="86"/>
        <v>96.703682221908721</v>
      </c>
      <c r="T67" s="58">
        <f t="shared" si="87"/>
        <v>-5.0091230901784405</v>
      </c>
      <c r="U67" s="2">
        <f t="shared" si="88"/>
        <v>-11.564778950694759</v>
      </c>
      <c r="V67" s="65">
        <f t="shared" si="89"/>
        <v>107041.60543739065</v>
      </c>
      <c r="W67" s="65">
        <f t="shared" si="90"/>
        <v>-231922.2970945338</v>
      </c>
      <c r="X67" s="78">
        <f t="shared" si="91"/>
        <v>-343.53184827646703</v>
      </c>
      <c r="Y67" s="78">
        <f t="shared" si="92"/>
        <v>-1934.0736444381744</v>
      </c>
      <c r="Z67" s="78">
        <f t="shared" si="93"/>
        <v>100.18246180356881</v>
      </c>
      <c r="AA67" s="78">
        <f t="shared" si="94"/>
        <v>231.29557901389518</v>
      </c>
      <c r="AB67" s="78">
        <f t="shared" si="95"/>
        <v>-29924.857348914884</v>
      </c>
      <c r="AC67" s="78">
        <f t="shared" si="96"/>
        <v>-12993.708072163863</v>
      </c>
      <c r="AD67" s="78">
        <f t="shared" si="97"/>
        <v>-5932.5039322308294</v>
      </c>
      <c r="AE67" s="78">
        <f t="shared" si="98"/>
        <v>-2233.8026354362046</v>
      </c>
      <c r="AF67" s="78">
        <f t="shared" si="99"/>
        <v>2048.4700535078446</v>
      </c>
      <c r="AG67" s="78">
        <f t="shared" si="100"/>
        <v>4780.8640514230319</v>
      </c>
      <c r="AH67" s="78">
        <f t="shared" si="101"/>
        <v>8480.1988682750289</v>
      </c>
      <c r="AI67" s="78">
        <f t="shared" si="102"/>
        <v>13211.698390625706</v>
      </c>
      <c r="AJ67" s="78">
        <f t="shared" si="103"/>
        <v>3421.1060963604905</v>
      </c>
      <c r="AK67" s="78">
        <f t="shared" si="104"/>
        <v>1714.749563868445</v>
      </c>
      <c r="AL67" s="78">
        <f t="shared" si="105"/>
        <v>686.64768909628037</v>
      </c>
      <c r="AM67" s="78">
        <f t="shared" si="106"/>
        <v>343.43158163543194</v>
      </c>
      <c r="AN67" s="78">
        <f t="shared" si="107"/>
        <v>-343.62514877730064</v>
      </c>
      <c r="AO67" s="78">
        <f t="shared" si="108"/>
        <v>-687.42387969754418</v>
      </c>
      <c r="AP67" s="78">
        <f t="shared" si="109"/>
        <v>-1719.686098112179</v>
      </c>
      <c r="AQ67" s="78">
        <f t="shared" si="110"/>
        <v>-3442.1476443532083</v>
      </c>
      <c r="AR67" s="60">
        <f t="shared" si="111"/>
        <v>-29471.697510209142</v>
      </c>
      <c r="AS67" s="60">
        <f t="shared" si="112"/>
        <v>-29725.664880340501</v>
      </c>
      <c r="AT67" s="60">
        <f t="shared" si="113"/>
        <v>-29924.857348914884</v>
      </c>
      <c r="AU67" s="60">
        <f t="shared" si="114"/>
        <v>-30146.967675142514</v>
      </c>
      <c r="AV67" s="60">
        <f t="shared" si="115"/>
        <v>-30520.789193840101</v>
      </c>
      <c r="AW67" s="60">
        <f t="shared" si="116"/>
        <v>-31242.548986675447</v>
      </c>
      <c r="AX67" s="60">
        <f t="shared" si="117"/>
        <v>-32991.950745023896</v>
      </c>
      <c r="AY67" s="60">
        <f t="shared" si="118"/>
        <v>-11831.657262796398</v>
      </c>
      <c r="AZ67" s="60">
        <f t="shared" si="119"/>
        <v>-12515.91504212689</v>
      </c>
      <c r="BA67" s="60">
        <f t="shared" si="120"/>
        <v>-12993.708072163863</v>
      </c>
      <c r="BB67" s="60">
        <f t="shared" si="121"/>
        <v>-13486.454190899258</v>
      </c>
      <c r="BC67" s="60">
        <f t="shared" si="122"/>
        <v>-14249.934333554847</v>
      </c>
      <c r="BD67" s="60">
        <f t="shared" si="123"/>
        <v>-15575.981513023853</v>
      </c>
      <c r="BE67" s="60">
        <f t="shared" si="124"/>
        <v>-18373.437890681234</v>
      </c>
      <c r="BF67" s="60">
        <f t="shared" si="125"/>
        <v>-4435.3185310911977</v>
      </c>
      <c r="BG67" s="60">
        <f t="shared" si="126"/>
        <v>-5327.7338552062611</v>
      </c>
      <c r="BH67" s="60">
        <f t="shared" si="127"/>
        <v>-5932.5039322308294</v>
      </c>
      <c r="BI67" s="60">
        <f t="shared" si="128"/>
        <v>-6543.8628197234175</v>
      </c>
      <c r="BJ67" s="60">
        <f t="shared" si="129"/>
        <v>-7471.3507904488142</v>
      </c>
      <c r="BK67" s="60">
        <f t="shared" si="130"/>
        <v>-9039.3751251043068</v>
      </c>
      <c r="BL67" s="60">
        <f t="shared" si="131"/>
        <v>-12232.396881103014</v>
      </c>
      <c r="BM67" s="60">
        <f t="shared" si="132"/>
        <v>1714.749563868445</v>
      </c>
      <c r="BN67" s="60">
        <f t="shared" si="133"/>
        <v>686.64768909628037</v>
      </c>
      <c r="BO67" s="60">
        <f t="shared" si="134"/>
        <v>0</v>
      </c>
      <c r="BP67" s="60">
        <f t="shared" si="135"/>
        <v>-687.42387969754418</v>
      </c>
      <c r="BQ67" s="60">
        <f t="shared" si="136"/>
        <v>-1719.686098112179</v>
      </c>
      <c r="BR67" s="60">
        <f t="shared" si="137"/>
        <v>-3442.1476443532083</v>
      </c>
      <c r="BS67" s="60">
        <f t="shared" si="138"/>
        <v>-6890.0114273862528</v>
      </c>
      <c r="BT67" s="60">
        <f t="shared" si="139"/>
        <v>6555.3524076925351</v>
      </c>
      <c r="BU67" s="60">
        <f t="shared" si="140"/>
        <v>5490.8776649375795</v>
      </c>
      <c r="BV67" s="60">
        <f t="shared" si="141"/>
        <v>4780.8640514230319</v>
      </c>
      <c r="BW67" s="60">
        <f t="shared" si="142"/>
        <v>4070.6650314432773</v>
      </c>
      <c r="BX67" s="60">
        <f t="shared" si="143"/>
        <v>3005.1792537128858</v>
      </c>
      <c r="BY67" s="60">
        <f t="shared" si="144"/>
        <v>1229.3607534135845</v>
      </c>
      <c r="BZ67" s="60">
        <f t="shared" si="145"/>
        <v>-2319.858711490142</v>
      </c>
      <c r="CA67" s="60">
        <f t="shared" si="146"/>
        <v>10162.317839419002</v>
      </c>
      <c r="CB67" s="60">
        <f t="shared" si="147"/>
        <v>9157.3583820647309</v>
      </c>
      <c r="CC67" s="60">
        <f t="shared" si="148"/>
        <v>8480.1988682750289</v>
      </c>
      <c r="CD67" s="60">
        <f t="shared" si="149"/>
        <v>7798.2637232976867</v>
      </c>
      <c r="CE67" s="60">
        <f t="shared" si="150"/>
        <v>6767.8534490283073</v>
      </c>
      <c r="CF67" s="60">
        <f t="shared" si="151"/>
        <v>5034.7531887798868</v>
      </c>
      <c r="CG67" s="60">
        <f t="shared" si="152"/>
        <v>1529.2566270387852</v>
      </c>
      <c r="CH67" s="60">
        <f t="shared" si="153"/>
        <v>14426.910743131939</v>
      </c>
      <c r="CI67" s="60">
        <f t="shared" si="154"/>
        <v>13715.204135198919</v>
      </c>
      <c r="CJ67" s="60">
        <f t="shared" si="155"/>
        <v>13211.698390625706</v>
      </c>
      <c r="CK67" s="60">
        <f t="shared" si="156"/>
        <v>12687.869587443129</v>
      </c>
      <c r="CL67" s="60">
        <f t="shared" si="157"/>
        <v>11868.685241992098</v>
      </c>
      <c r="CM67" s="60">
        <f t="shared" si="158"/>
        <v>10428.953073290122</v>
      </c>
      <c r="CN67" s="60">
        <f t="shared" si="159"/>
        <v>7344.1858225635406</v>
      </c>
    </row>
    <row r="68" spans="1:92" x14ac:dyDescent="0.35">
      <c r="A68" s="3" t="s">
        <v>116</v>
      </c>
      <c r="B68" s="4">
        <f>VLOOKUP(A68,PriceData!$K$4:$L$6,2,FALSE)</f>
        <v>10022</v>
      </c>
      <c r="C68" s="46">
        <f>VLOOKUP(A68,PriceData!$K$4:$M$6,3,FALSE)</f>
        <v>5.0000000000000001E-3</v>
      </c>
      <c r="D68" s="4" t="s">
        <v>108</v>
      </c>
      <c r="E68" s="4" t="s">
        <v>117</v>
      </c>
      <c r="F68" s="4">
        <v>50</v>
      </c>
      <c r="G68">
        <v>8519</v>
      </c>
      <c r="H68" s="4" t="s">
        <v>109</v>
      </c>
      <c r="I68" s="5">
        <v>40256</v>
      </c>
      <c r="J68" s="46">
        <f t="shared" si="160"/>
        <v>0.53413924786865796</v>
      </c>
      <c r="K68" s="30">
        <f>VLOOKUP(I68,PriceData!$A$5:$D$7,MATCH($E68,PriceData!$A$4:$D$4,0),FALSE)</f>
        <v>5.0000000000000001E-3</v>
      </c>
      <c r="L68" s="2">
        <f t="shared" si="81"/>
        <v>300.50652353568876</v>
      </c>
      <c r="M68" s="2">
        <f t="shared" si="82"/>
        <v>15025.326176784438</v>
      </c>
      <c r="N68" s="4" t="s">
        <v>107</v>
      </c>
      <c r="P68" s="60">
        <f t="shared" si="83"/>
        <v>-2063.5656328803757</v>
      </c>
      <c r="Q68" s="60">
        <f t="shared" si="84"/>
        <v>6189.3048272388996</v>
      </c>
      <c r="R68" s="58">
        <f t="shared" si="85"/>
        <v>12.318062603675854</v>
      </c>
      <c r="S68" s="58">
        <f t="shared" si="86"/>
        <v>1114.822410604223</v>
      </c>
      <c r="T68" s="58">
        <f t="shared" si="87"/>
        <v>-4.8337957475203792</v>
      </c>
      <c r="U68" s="2">
        <f t="shared" si="88"/>
        <v>-4.4042988119532156</v>
      </c>
      <c r="V68" s="65">
        <f t="shared" si="89"/>
        <v>-103178.28164401879</v>
      </c>
      <c r="W68" s="65">
        <f t="shared" si="90"/>
        <v>309465.24136194499</v>
      </c>
      <c r="X68" s="78">
        <f t="shared" si="91"/>
        <v>615.90313018379265</v>
      </c>
      <c r="Y68" s="78">
        <f t="shared" si="92"/>
        <v>55741.120530211148</v>
      </c>
      <c r="Z68" s="78">
        <f t="shared" si="93"/>
        <v>-241.68978737601896</v>
      </c>
      <c r="AA68" s="78">
        <f t="shared" si="94"/>
        <v>-220.21494059766079</v>
      </c>
      <c r="AB68" s="78">
        <f t="shared" si="95"/>
        <v>36700.960894180069</v>
      </c>
      <c r="AC68" s="78">
        <f t="shared" si="96"/>
        <v>13890.151227804427</v>
      </c>
      <c r="AD68" s="78">
        <f t="shared" si="97"/>
        <v>5992.1227831198621</v>
      </c>
      <c r="AE68" s="78">
        <f t="shared" si="98"/>
        <v>2191.1366109751725</v>
      </c>
      <c r="AF68" s="78">
        <f t="shared" si="99"/>
        <v>-1943.5109004449373</v>
      </c>
      <c r="AG68" s="78">
        <f t="shared" si="100"/>
        <v>-4442.7460041289805</v>
      </c>
      <c r="AH68" s="78">
        <f t="shared" si="101"/>
        <v>-7670.2897368774302</v>
      </c>
      <c r="AI68" s="78">
        <f t="shared" si="102"/>
        <v>-11591.006406326636</v>
      </c>
      <c r="AJ68" s="78">
        <f t="shared" si="103"/>
        <v>-5827.1398621008302</v>
      </c>
      <c r="AK68" s="78">
        <f t="shared" si="104"/>
        <v>-3003.691001636264</v>
      </c>
      <c r="AL68" s="78">
        <f t="shared" si="105"/>
        <v>-1220.281804027627</v>
      </c>
      <c r="AM68" s="78">
        <f t="shared" si="106"/>
        <v>-613.06972698765776</v>
      </c>
      <c r="AN68" s="78">
        <f t="shared" si="107"/>
        <v>618.6451504045408</v>
      </c>
      <c r="AO68" s="78">
        <f t="shared" si="108"/>
        <v>1242.5992427091614</v>
      </c>
      <c r="AP68" s="78">
        <f t="shared" si="109"/>
        <v>3143.8660996588396</v>
      </c>
      <c r="AQ68" s="78">
        <f t="shared" si="110"/>
        <v>6397.8403888588218</v>
      </c>
      <c r="AR68" s="60">
        <f t="shared" si="111"/>
        <v>33300.310809056238</v>
      </c>
      <c r="AS68" s="60">
        <f t="shared" si="112"/>
        <v>35338.154830890518</v>
      </c>
      <c r="AT68" s="60">
        <f t="shared" si="113"/>
        <v>36700.960894180069</v>
      </c>
      <c r="AU68" s="60">
        <f t="shared" si="114"/>
        <v>38066.629314117337</v>
      </c>
      <c r="AV68" s="60">
        <f t="shared" si="115"/>
        <v>40119.657639372461</v>
      </c>
      <c r="AW68" s="60">
        <f t="shared" si="116"/>
        <v>43550.788181105687</v>
      </c>
      <c r="AX68" s="60">
        <f t="shared" si="117"/>
        <v>50434.863270506183</v>
      </c>
      <c r="AY68" s="60">
        <f t="shared" si="118"/>
        <v>10267.591477471047</v>
      </c>
      <c r="AZ68" s="60">
        <f t="shared" si="119"/>
        <v>12438.780793895308</v>
      </c>
      <c r="BA68" s="60">
        <f t="shared" si="120"/>
        <v>13890.151227804427</v>
      </c>
      <c r="BB68" s="60">
        <f t="shared" si="121"/>
        <v>15344.142726238009</v>
      </c>
      <c r="BC68" s="60">
        <f t="shared" si="122"/>
        <v>17529.241746233605</v>
      </c>
      <c r="BD68" s="60">
        <f t="shared" si="123"/>
        <v>21179.504919453644</v>
      </c>
      <c r="BE68" s="60">
        <f t="shared" si="124"/>
        <v>28498.723318115866</v>
      </c>
      <c r="BF68" s="60">
        <f t="shared" si="125"/>
        <v>2605.6409408623267</v>
      </c>
      <c r="BG68" s="60">
        <f t="shared" si="126"/>
        <v>4627.8657103109708</v>
      </c>
      <c r="BH68" s="60">
        <f t="shared" si="127"/>
        <v>5992.1227831198621</v>
      </c>
      <c r="BI68" s="60">
        <f t="shared" si="128"/>
        <v>7367.6448425338776</v>
      </c>
      <c r="BJ68" s="60">
        <f t="shared" si="129"/>
        <v>9449.473249984454</v>
      </c>
      <c r="BK68" s="60">
        <f t="shared" si="130"/>
        <v>12960.492843019096</v>
      </c>
      <c r="BL68" s="60">
        <f t="shared" si="131"/>
        <v>20096.033897212124</v>
      </c>
      <c r="BM68" s="60">
        <f t="shared" si="132"/>
        <v>-3003.691001636264</v>
      </c>
      <c r="BN68" s="60">
        <f t="shared" si="133"/>
        <v>-1220.281804027627</v>
      </c>
      <c r="BO68" s="60">
        <f t="shared" si="134"/>
        <v>0</v>
      </c>
      <c r="BP68" s="60">
        <f t="shared" si="135"/>
        <v>1242.5992427091614</v>
      </c>
      <c r="BQ68" s="60">
        <f t="shared" si="136"/>
        <v>3143.8660996588396</v>
      </c>
      <c r="BR68" s="60">
        <f t="shared" si="137"/>
        <v>6397.8403888588218</v>
      </c>
      <c r="BS68" s="60">
        <f t="shared" si="138"/>
        <v>13150.035637541123</v>
      </c>
      <c r="BT68" s="60">
        <f t="shared" si="139"/>
        <v>-6990.4716073192048</v>
      </c>
      <c r="BU68" s="60">
        <f t="shared" si="140"/>
        <v>-5489.0800909237551</v>
      </c>
      <c r="BV68" s="60">
        <f t="shared" si="141"/>
        <v>-4442.7460041289805</v>
      </c>
      <c r="BW68" s="60">
        <f t="shared" si="142"/>
        <v>-3363.4873062450197</v>
      </c>
      <c r="BX68" s="60">
        <f t="shared" si="143"/>
        <v>-1688.5772200690667</v>
      </c>
      <c r="BY68" s="60">
        <f t="shared" si="144"/>
        <v>1233.293428430261</v>
      </c>
      <c r="BZ68" s="60">
        <f t="shared" si="145"/>
        <v>7462.7044042625812</v>
      </c>
      <c r="CA68" s="60">
        <f t="shared" si="146"/>
        <v>-9750.3767718001545</v>
      </c>
      <c r="CB68" s="60">
        <f t="shared" si="147"/>
        <v>-8535.619802863017</v>
      </c>
      <c r="CC68" s="60">
        <f t="shared" si="148"/>
        <v>-7670.2897368774302</v>
      </c>
      <c r="CD68" s="60">
        <f t="shared" si="149"/>
        <v>-6763.8950196994192</v>
      </c>
      <c r="CE68" s="60">
        <f t="shared" si="150"/>
        <v>-5333.1829289430407</v>
      </c>
      <c r="CF68" s="60">
        <f t="shared" si="151"/>
        <v>-2779.5289453835949</v>
      </c>
      <c r="CG68" s="60">
        <f t="shared" si="152"/>
        <v>2844.3632086030107</v>
      </c>
      <c r="CH68" s="60">
        <f t="shared" si="153"/>
        <v>-12853.914036295611</v>
      </c>
      <c r="CI68" s="60">
        <f t="shared" si="154"/>
        <v>-12132.550030570763</v>
      </c>
      <c r="CJ68" s="60">
        <f t="shared" si="155"/>
        <v>-11591.006406326636</v>
      </c>
      <c r="CK68" s="60">
        <f t="shared" si="156"/>
        <v>-11002.415971355145</v>
      </c>
      <c r="CL68" s="60">
        <f t="shared" si="157"/>
        <v>-10034.634845182973</v>
      </c>
      <c r="CM68" s="60">
        <f t="shared" si="158"/>
        <v>-8209.4033524019378</v>
      </c>
      <c r="CN68" s="60">
        <f t="shared" si="159"/>
        <v>-3862.830279665468</v>
      </c>
    </row>
    <row r="69" spans="1:92" x14ac:dyDescent="0.35">
      <c r="A69" s="3" t="s">
        <v>116</v>
      </c>
      <c r="B69" s="4">
        <f>VLOOKUP(A69,PriceData!$K$4:$L$6,2,FALSE)</f>
        <v>10022</v>
      </c>
      <c r="C69" s="46">
        <f>VLOOKUP(A69,PriceData!$K$4:$M$6,3,FALSE)</f>
        <v>5.0000000000000001E-3</v>
      </c>
      <c r="D69" s="4" t="s">
        <v>108</v>
      </c>
      <c r="E69" s="4" t="s">
        <v>117</v>
      </c>
      <c r="F69" s="4">
        <v>-20</v>
      </c>
      <c r="G69">
        <v>9120</v>
      </c>
      <c r="H69" s="4" t="s">
        <v>109</v>
      </c>
      <c r="I69" s="5">
        <v>40256</v>
      </c>
      <c r="J69" s="46">
        <f t="shared" si="160"/>
        <v>0.47216774083559543</v>
      </c>
      <c r="K69" s="30">
        <f>VLOOKUP(I69,PriceData!$A$5:$D$7,MATCH($E69,PriceData!$A$4:$D$4,0),FALSE)</f>
        <v>5.0000000000000001E-3</v>
      </c>
      <c r="L69" s="2">
        <f t="shared" ref="L69:L87" si="161">BSPrice($B69,$J69, $K69, $C69, ($I69-$B$1)/365, $G69, $H69, $D69)</f>
        <v>406.81126774628319</v>
      </c>
      <c r="M69" s="2">
        <f t="shared" ref="M69:M100" si="162">F69*L69</f>
        <v>-8136.2253549256639</v>
      </c>
      <c r="N69" s="4" t="s">
        <v>110</v>
      </c>
      <c r="P69" s="60">
        <f t="shared" ref="P69:P87" si="163">BSDelta(B69, J69, K69, C69, (I69-$B$1)/365, G69, H69, D69)</f>
        <v>-2865.1110308839361</v>
      </c>
      <c r="Q69" s="60">
        <f t="shared" ref="Q69:Q87" si="164">BSGamma(B69, J69, K69, C69, (I69-$B$1)/365, G69, D69)</f>
        <v>8355.7862474652648</v>
      </c>
      <c r="R69" s="58">
        <f t="shared" ref="R69:R87" si="165">BSVega(B69, J69, K69, C69, (I69-$B$1)/365,G69, D69)</f>
        <v>14.700417788778919</v>
      </c>
      <c r="S69" s="58">
        <f t="shared" ref="S69:S87" si="166">BSVolga(B69, J69, K69, C69, (I69-$B$1)/365,G69, D69)</f>
        <v>634.42730798547746</v>
      </c>
      <c r="T69" s="58">
        <f t="shared" ref="T69:T87" si="167">BSTheta(B69,J69,K69, C69, (I69-$B$1)/365, G69, H69, D69)</f>
        <v>-5.098150078692246</v>
      </c>
      <c r="U69" s="2">
        <f t="shared" ref="U69:U87" si="168">BSRho(B69, J69, K69, C69, (I69-$B$1)/365, G69, H69, D69)</f>
        <v>-6.095636063201507</v>
      </c>
      <c r="V69" s="65">
        <f t="shared" ref="V69:V87" si="169">$F69*$P69</f>
        <v>57302.220617678722</v>
      </c>
      <c r="W69" s="65">
        <f t="shared" ref="W69:W87" si="170">$F69*$Q69</f>
        <v>-167115.7249493053</v>
      </c>
      <c r="X69" s="78">
        <f t="shared" ref="X69:X87" si="171">$F69*R69</f>
        <v>-294.00835577557837</v>
      </c>
      <c r="Y69" s="78">
        <f t="shared" ref="Y69:Y87" si="172">$F69*S69</f>
        <v>-12688.546159709549</v>
      </c>
      <c r="Z69" s="78">
        <f t="shared" ref="Z69:Z87" si="173">$F69*T69</f>
        <v>101.96300157384492</v>
      </c>
      <c r="AA69" s="78">
        <f t="shared" ref="AA69:AA87" si="174">$F69*U69</f>
        <v>121.91272126403014</v>
      </c>
      <c r="AB69" s="78">
        <f t="shared" ref="AB69:AB87" si="175">(BSPrice($B69*0.8,$J69, $K69, $C69, ($I69-$B$1)/365, $G69, $H69, $D69) - BSPrice($B69,$J69, $K69, $C69, ($I69-$B$1)/365, $G69, $H69, $D69)) * $F69</f>
        <v>-19447.900033656006</v>
      </c>
      <c r="AC69" s="78">
        <f t="shared" ref="AC69:AC87" si="176">(BSPrice($B69*0.9,$J69, $K69, $C69, ($I69-$B$1)/365, $G69, $H69, $D69) - BSPrice($B69,$J69, $K69, $C69, ($I69-$B$1)/365, $G69, $H69, $D69)) * $F69</f>
        <v>-7595.6486361944189</v>
      </c>
      <c r="AD69" s="78">
        <f t="shared" ref="AD69:AD87" si="177">(BSPrice($B69*0.95,$J69, $K69, $C69, ($I69-$B$1)/365, $G69, $H69, $D69) - BSPrice($B69,$J69, $K69, $C69, ($I69-$B$1)/365, $G69, $H69, $D69)) * $F69</f>
        <v>-3308.4067396331648</v>
      </c>
      <c r="AE69" s="78">
        <f t="shared" ref="AE69:AE87" si="178">(BSPrice($B69*0.98,$J69, $K69, $C69, ($I69-$B$1)/365, $G69, $H69, $D69) - BSPrice($B69,$J69, $K69, $C69, ($I69-$B$1)/365, $G69, $H69, $D69)) * $F69</f>
        <v>-1214.5553364562056</v>
      </c>
      <c r="AF69" s="78">
        <f t="shared" ref="AF69:AF87" si="179">(BSPrice($B69*1.02,$J69, $K69, $C69, ($I69-$B$1)/365, $G69, $H69, $D69) - BSPrice($B69,$J69, $K69, $C69, ($I69-$B$1)/365, $G69, $H69, $D69)) * $F69</f>
        <v>1080.8899741250661</v>
      </c>
      <c r="AG69" s="78">
        <f t="shared" ref="AG69:AG87" si="180">(BSPrice($B69*1.05,$J69, $K69, $C69, ($I69-$B$1)/365, $G69, $H69, $D69) - BSPrice($B69,$J69, $K69, $C69, ($I69-$B$1)/365, $G69, $H69, $D69)) * $F69</f>
        <v>2473.9095023839582</v>
      </c>
      <c r="AH69" s="78">
        <f t="shared" ref="AH69:AH87" si="181">(BSPrice($B69*1.1,$J69, $K69, $C69, ($I69-$B$1)/365, $G69, $H69, $D69) - BSPrice($B69,$J69, $K69, $C69, ($I69-$B$1)/365, $G69, $H69, $D69)) * $F69</f>
        <v>4271.6362713790841</v>
      </c>
      <c r="AI69" s="78">
        <f t="shared" ref="AI69:AI87" si="182">(BSPrice($B69*1.2,$J69, $K69, $C69, ($I69-$B$1)/365, $G69, $H69, $D69) - BSPrice($B69,$J69, $K69, $C69, ($I69-$B$1)/365, $G69, $H69, $D69)) * $F69</f>
        <v>6425.9523418700501</v>
      </c>
      <c r="AJ69" s="78">
        <f t="shared" ref="AJ69:AJ87" si="183">(BSPrice($B69,$J69-0.1, $K69, $C69, ($I69-$B$1)/365, $G69, $H69, $D69) - BSPrice($B69,$J69, $K69, $C69, ($I69-$B$1)/365, $G69, $H69, $D69)) * $F69</f>
        <v>2860.0888832702913</v>
      </c>
      <c r="AK69" s="78">
        <f t="shared" ref="AK69:AK87" si="184">(BSPrice($B69,$J69-0.05,$K69,$C69,($I69-$B$1)/365,$G69,$H69,$D69)-BSPrice($B69,$J69,$K69,$C69,($I69-$B$1)/365,$G69,$H69,$D69))*$F69</f>
        <v>1452.3266809127017</v>
      </c>
      <c r="AL69" s="78">
        <f t="shared" ref="AL69:AL87" si="185">(BSPrice($B69,$J69-0.02, $K69, $C69, ($I69-$B$1)/365, $G69, $H69, $D69) - BSPrice($B69,$J69, $K69, $C69, ($I69-$B$1)/365, $G69, $H69, $D69)) * $F69</f>
        <v>585.36729310523697</v>
      </c>
      <c r="AM69" s="78">
        <f t="shared" ref="AM69:AM87" si="186">(BSPrice($B69,$J69-0.01, $K69, $C69, ($I69-$B$1)/365, $G69, $H69, $D69) - BSPrice($B69,$J69, $K69, $C69, ($I69-$B$1)/365, $G69, $H69, $D69)) * $F69</f>
        <v>293.36023330360149</v>
      </c>
      <c r="AN69" s="78">
        <f t="shared" ref="AN69:AN87" si="187">(BSPrice($B69,$J69+0.01, $K69, $C69, ($I69-$B$1)/365, $G69, $H69, $D69) - BSPrice($B69,$J69, $K69, $C69, ($I69-$B$1)/365, $G69, $H69, $D69)) * $F69</f>
        <v>-294.6295953113804</v>
      </c>
      <c r="AO69" s="78">
        <f t="shared" ref="AO69:AO87" si="188">(BSPrice($B69,$J69+0.02, $K69, $C69, ($I69-$B$1)/365, $G69, $H69, $D69) - BSPrice($B69,$J69, $K69, $C69, ($I69-$B$1)/365, $G69, $H69, $D69)) * $F69</f>
        <v>-590.45083812525263</v>
      </c>
      <c r="AP69" s="78">
        <f t="shared" ref="AP69:AP87" si="189">(BSPrice($B69,$J69+0.05, $K69, $C69, ($I69-$B$1)/365, $G69, $H69, $D69) - BSPrice($B69,$J69, $K69, $C69, ($I69-$B$1)/365, $G69, $H69, $D69)) * $F69</f>
        <v>-1484.3677715627382</v>
      </c>
      <c r="AQ69" s="78">
        <f t="shared" ref="AQ69:AQ87" si="190">(BSPrice($B69,$J69+0.1, $K69, $C69, ($I69-$B$1)/365, $G69, $H69, $D69) - BSPrice($B69,$J69, $K69, $C69, ($I69-$B$1)/365, $G69, $H69, $D69)) * $F69</f>
        <v>-2992.2239583324972</v>
      </c>
      <c r="AR69" s="60">
        <f t="shared" ref="AR69:AR82" si="191">(BSPrice($B69*0.8,$J69+-0.05, $K69, $C69, ($I69-$B$1)/365, $G69, $H69, $D69) - BSPrice($B69,$J69, $K69, $C69, ($I69-$B$1)/365, $G69, $H69, $D69)) * $F69</f>
        <v>-18276.777945240065</v>
      </c>
      <c r="AS69" s="60">
        <f t="shared" ref="AS69:AS82" si="192">(BSPrice($B69*0.8,$J69+-0.02, $K69, $C69, ($I69-$B$1)/365, $G69, $H69, $D69) - BSPrice($B69,$J69, $K69, $C69, ($I69-$B$1)/365, $G69, $H69, $D69)) * $F69</f>
        <v>-18972.644541127174</v>
      </c>
      <c r="AT69" s="60">
        <f t="shared" ref="AT69:AT82" si="193">(BSPrice($B69*0.8,$J69+0, $K69, $C69, ($I69-$B$1)/365, $G69, $H69, $D69) - BSPrice($B69,$J69, $K69, $C69, ($I69-$B$1)/365, $G69, $H69, $D69)) * $F69</f>
        <v>-19447.900033656006</v>
      </c>
      <c r="AU69" s="60">
        <f t="shared" ref="AU69:AU82" si="194">(BSPrice($B69*0.8,$J69+0.02, $K69, $C69, ($I69-$B$1)/365, $G69, $H69, $D69) - BSPrice($B69,$J69, $K69, $C69, ($I69-$B$1)/365, $G69, $H69, $D69)) * $F69</f>
        <v>-19931.069037679354</v>
      </c>
      <c r="AV69" s="60">
        <f t="shared" ref="AV69:AV82" si="195">(BSPrice($B69*0.8,$J69+0.05, $K69, $C69, ($I69-$B$1)/365, $G69, $H69, $D69) - BSPrice($B69,$J69, $K69, $C69, ($I69-$B$1)/365, $G69, $H69, $D69)) * $F69</f>
        <v>-20668.826820343293</v>
      </c>
      <c r="AW69" s="60">
        <f t="shared" ref="AW69:AW82" si="196">(BSPrice($B69*0.8,$J69+0.1, $K69, $C69, ($I69-$B$1)/365, $G69, $H69, $D69) - BSPrice($B69,$J69, $K69, $C69, ($I69-$B$1)/365, $G69, $H69, $D69)) * $F69</f>
        <v>-21927.360269642195</v>
      </c>
      <c r="AX69" s="60">
        <f t="shared" ref="AX69:AX82" si="197">(BSPrice($B69*0.8,$J69+0.2, $K69, $C69, ($I69-$B$1)/365, $G69, $H69, $D69) - BSPrice($B69,$J69, $K69, $C69, ($I69-$B$1)/365, $G69, $H69, $D69)) * $F69</f>
        <v>-24524.290920248768</v>
      </c>
      <c r="AY69" s="60">
        <f t="shared" ref="AY69:AY82" si="198">(BSPrice($B69*0.9,$J69+-0.05, $K69, $C69, ($I69-$B$1)/365, $G69, $H69, $D69) - BSPrice($B69,$J69, $K69, $C69, ($I69-$B$1)/365, $G69, $H69, $D69)) * $F69</f>
        <v>-6045.1502399347373</v>
      </c>
      <c r="AZ69" s="60">
        <f t="shared" ref="AZ69:AZ82" si="199">(BSPrice($B69*0.9,$J69+-0.02, $K69, $C69, ($I69-$B$1)/365, $G69, $H69, $D69) - BSPrice($B69,$J69, $K69, $C69, ($I69-$B$1)/365, $G69, $H69, $D69)) * $F69</f>
        <v>-6975.5761312224786</v>
      </c>
      <c r="BA69" s="60">
        <f t="shared" ref="BA69:BA82" si="200">(BSPrice($B69*0.9,$J69+0, $K69, $C69, ($I69-$B$1)/365, $G69, $H69, $D69) - BSPrice($B69,$J69, $K69, $C69, ($I69-$B$1)/365, $G69, $H69, $D69)) * $F69</f>
        <v>-7595.6486361944189</v>
      </c>
      <c r="BB69" s="60">
        <f t="shared" ref="BB69:BB82" si="201">(BSPrice($B69*0.9,$J69+0.02, $K69, $C69, ($I69-$B$1)/365, $G69, $H69, $D69) - BSPrice($B69,$J69, $K69, $C69, ($I69-$B$1)/365, $G69, $H69, $D69)) * $F69</f>
        <v>-8215.5257666620491</v>
      </c>
      <c r="BC69" s="60">
        <f t="shared" ref="BC69:BC82" si="202">(BSPrice($B69*0.9,$J69+0.05, $K69, $C69, ($I69-$B$1)/365, $G69, $H69, $D69) - BSPrice($B69,$J69, $K69, $C69, ($I69-$B$1)/365, $G69, $H69, $D69)) * $F69</f>
        <v>-9144.9305998106865</v>
      </c>
      <c r="BD69" s="60">
        <f t="shared" ref="BD69:BD82" si="203">(BSPrice($B69*0.9,$J69+0.1, $K69, $C69, ($I69-$B$1)/365, $G69, $H69, $D69) - BSPrice($B69,$J69, $K69, $C69, ($I69-$B$1)/365, $G69, $H69, $D69)) * $F69</f>
        <v>-10692.689142683921</v>
      </c>
      <c r="BE69" s="60">
        <f t="shared" ref="BE69:BE82" si="204">(BSPrice($B69*0.9,$J69+0.2, $K69, $C69, ($I69-$B$1)/365, $G69, $H69, $D69) - BSPrice($B69,$J69, $K69, $C69, ($I69-$B$1)/365, $G69, $H69, $D69)) * $F69</f>
        <v>-13782.602284499299</v>
      </c>
      <c r="BF69" s="60">
        <f t="shared" ref="BF69:BF82" si="205">(BSPrice($B69*0.95,$J69+-0.05, $K69, $C69, ($I69-$B$1)/365, $G69, $H69, $D69) - BSPrice($B69,$J69, $K69, $C69, ($I69-$B$1)/365, $G69, $H69, $D69)) * $F69</f>
        <v>-1752.0671720119208</v>
      </c>
      <c r="BG69" s="60">
        <f t="shared" ref="BG69:BG82" si="206">(BSPrice($B69*0.95,$J69+-0.02, $K69, $C69, ($I69-$B$1)/365, $G69, $H69, $D69) - BSPrice($B69,$J69, $K69, $C69, ($I69-$B$1)/365, $G69, $H69, $D69)) * $F69</f>
        <v>-2685.0368533924848</v>
      </c>
      <c r="BH69" s="60">
        <f t="shared" ref="BH69:BH82" si="207">(BSPrice($B69*0.95,$J69+0, $K69, $C69, ($I69-$B$1)/365, $G69, $H69, $D69) - BSPrice($B69,$J69, $K69, $C69, ($I69-$B$1)/365, $G69, $H69, $D69)) * $F69</f>
        <v>-3308.4067396331648</v>
      </c>
      <c r="BI69" s="60">
        <f t="shared" ref="BI69:BI82" si="208">(BSPrice($B69*0.95,$J69+0.02, $K69, $C69, ($I69-$B$1)/365, $G69, $H69, $D69) - BSPrice($B69,$J69, $K69, $C69, ($I69-$B$1)/365, $G69, $H69, $D69)) * $F69</f>
        <v>-3932.6817325725096</v>
      </c>
      <c r="BJ69" s="60">
        <f t="shared" ref="BJ69:BJ82" si="209">(BSPrice($B69*0.95,$J69+0.05, $K69, $C69, ($I69-$B$1)/365, $G69, $H69, $D69) - BSPrice($B69,$J69, $K69, $C69, ($I69-$B$1)/365, $G69, $H69, $D69)) * $F69</f>
        <v>-4870.4714749098002</v>
      </c>
      <c r="BK69" s="60">
        <f t="shared" ref="BK69:BK82" si="210">(BSPrice($B69*0.95,$J69+0.1, $K69, $C69, ($I69-$B$1)/365, $G69, $H69, $D69) - BSPrice($B69,$J69, $K69, $C69, ($I69-$B$1)/365, $G69, $H69, $D69)) * $F69</f>
        <v>-6436.1404457568096</v>
      </c>
      <c r="BL69" s="60">
        <f t="shared" ref="BL69:BL82" si="211">(BSPrice($B69*0.95,$J69+0.2, $K69, $C69, ($I69-$B$1)/365, $G69, $H69, $D69) - BSPrice($B69,$J69, $K69, $C69, ($I69-$B$1)/365, $G69, $H69, $D69)) * $F69</f>
        <v>-9572.6587339611797</v>
      </c>
      <c r="BM69" s="60">
        <f t="shared" ref="BM69:BM82" si="212">(BSPrice($B69*1,$J69+-0.05, $K69, $C69, ($I69-$B$1)/365, $G69, $H69, $D69) - BSPrice($B69,$J69, $K69, $C69, ($I69-$B$1)/365, $G69, $H69, $D69)) * $F69</f>
        <v>1452.3266809127017</v>
      </c>
      <c r="BN69" s="60">
        <f t="shared" ref="BN69:BN82" si="213">(BSPrice($B69*1,$J69+-0.02, $K69, $C69, ($I69-$B$1)/365, $G69, $H69, $D69) - BSPrice($B69,$J69, $K69, $C69, ($I69-$B$1)/365, $G69, $H69, $D69)) * $F69</f>
        <v>585.36729310523697</v>
      </c>
      <c r="BO69" s="60">
        <f t="shared" ref="BO69:BO82" si="214">(BSPrice($B69*1,$J69+0, $K69, $C69, ($I69-$B$1)/365, $G69, $H69, $D69) - BSPrice($B69,$J69, $K69, $C69, ($I69-$B$1)/365, $G69, $H69, $D69)) * $F69</f>
        <v>0</v>
      </c>
      <c r="BP69" s="60">
        <f t="shared" ref="BP69:BP82" si="215">(BSPrice($B69*1,$J69+0.02, $K69, $C69, ($I69-$B$1)/365, $G69, $H69, $D69) - BSPrice($B69,$J69, $K69, $C69, ($I69-$B$1)/365, $G69, $H69, $D69)) * $F69</f>
        <v>-590.45083812525263</v>
      </c>
      <c r="BQ69" s="60">
        <f t="shared" ref="BQ69:BQ82" si="216">(BSPrice($B69*1,$J69+0.05, $K69, $C69, ($I69-$B$1)/365, $G69, $H69, $D69) - BSPrice($B69,$J69, $K69, $C69, ($I69-$B$1)/365, $G69, $H69, $D69)) * $F69</f>
        <v>-1484.3677715627382</v>
      </c>
      <c r="BR69" s="60">
        <f t="shared" ref="BR69:BR82" si="217">(BSPrice($B69*1,$J69+0.1, $K69, $C69, ($I69-$B$1)/365, $G69, $H69, $D69) - BSPrice($B69,$J69, $K69, $C69, ($I69-$B$1)/365, $G69, $H69, $D69)) * $F69</f>
        <v>-2992.2239583324972</v>
      </c>
      <c r="BS69" s="60">
        <f t="shared" ref="BS69:BS82" si="218">(BSPrice($B69*1,$J69+0.2, $K69, $C69, ($I69-$B$1)/365, $G69, $H69, $D69) - BSPrice($B69,$J69, $K69, $C69, ($I69-$B$1)/365, $G69, $H69, $D69)) * $F69</f>
        <v>-6055.8984562993919</v>
      </c>
      <c r="BT69" s="60">
        <f t="shared" ref="BT69:BT82" si="219">(BSPrice($B69*1.05,$J69+-0.05, $K69, $C69, ($I69-$B$1)/365, $G69, $H69, $D69) - BSPrice($B69,$J69, $K69, $C69, ($I69-$B$1)/365, $G69, $H69, $D69)) * $F69</f>
        <v>3747.3562912429725</v>
      </c>
      <c r="BU69" s="60">
        <f t="shared" ref="BU69:BU82" si="220">(BSPrice($B69*1.05,$J69+-0.02, $K69, $C69, ($I69-$B$1)/365, $G69, $H69, $D69) - BSPrice($B69,$J69, $K69, $C69, ($I69-$B$1)/365, $G69, $H69, $D69)) * $F69</f>
        <v>2992.4602586146557</v>
      </c>
      <c r="BV69" s="60">
        <f t="shared" ref="BV69:BV82" si="221">(BSPrice($B69*1.05,$J69+0, $K69, $C69, ($I69-$B$1)/365, $G69, $H69, $D69) - BSPrice($B69,$J69, $K69, $C69, ($I69-$B$1)/365, $G69, $H69, $D69)) * $F69</f>
        <v>2473.9095023839582</v>
      </c>
      <c r="BW69" s="60">
        <f t="shared" ref="BW69:BW82" si="222">(BSPrice($B69*1.05,$J69+0.02, $K69, $C69, ($I69-$B$1)/365, $G69, $H69, $D69) - BSPrice($B69,$J69, $K69, $C69, ($I69-$B$1)/365, $G69, $H69, $D69)) * $F69</f>
        <v>1944.6306216203084</v>
      </c>
      <c r="BX69" s="60">
        <f t="shared" ref="BX69:BX82" si="223">(BSPrice($B69*1.05,$J69+0.05, $K69, $C69, ($I69-$B$1)/365, $G69, $H69, $D69) - BSPrice($B69,$J69, $K69, $C69, ($I69-$B$1)/365, $G69, $H69, $D69)) * $F69</f>
        <v>1132.9880287078413</v>
      </c>
      <c r="BY69" s="60">
        <f t="shared" ref="BY69:BY82" si="224">(BSPrice($B69*1.05,$J69+0.1, $K69, $C69, ($I69-$B$1)/365, $G69, $H69, $D69) - BSPrice($B69,$J69, $K69, $C69, ($I69-$B$1)/365, $G69, $H69, $D69)) * $F69</f>
        <v>-259.46270458864092</v>
      </c>
      <c r="BZ69" s="60">
        <f t="shared" ref="BZ69:BZ82" si="225">(BSPrice($B69*1.05,$J69+0.2, $K69, $C69, ($I69-$B$1)/365, $G69, $H69, $D69) - BSPrice($B69,$J69, $K69, $C69, ($I69-$B$1)/365, $G69, $H69, $D69)) * $F69</f>
        <v>-3155.20472954242</v>
      </c>
      <c r="CA69" s="60">
        <f t="shared" ref="CA69:CA82" si="226">(BSPrice($B69*1.1,$J69+-0.05, $K69, $C69, ($I69-$B$1)/365, $G69, $H69, $D69) - BSPrice($B69,$J69, $K69, $C69, ($I69-$B$1)/365, $G69, $H69, $D69)) * $F69</f>
        <v>5330.1998912318095</v>
      </c>
      <c r="CB69" s="60">
        <f t="shared" ref="CB69:CB82" si="227">(BSPrice($B69*1.1,$J69+-0.02, $K69, $C69, ($I69-$B$1)/365, $G69, $H69, $D69) - BSPrice($B69,$J69, $K69, $C69, ($I69-$B$1)/365, $G69, $H69, $D69)) * $F69</f>
        <v>4708.5633987643769</v>
      </c>
      <c r="CC69" s="60">
        <f t="shared" ref="CC69:CC82" si="228">(BSPrice($B69*1.1,$J69+0, $K69, $C69, ($I69-$B$1)/365, $G69, $H69, $D69) - BSPrice($B69,$J69, $K69, $C69, ($I69-$B$1)/365, $G69, $H69, $D69)) * $F69</f>
        <v>4271.6362713790841</v>
      </c>
      <c r="CD69" s="60">
        <f t="shared" ref="CD69:CD82" si="229">(BSPrice($B69*1.1,$J69+0.02, $K69, $C69, ($I69-$B$1)/365, $G69, $H69, $D69) - BSPrice($B69,$J69, $K69, $C69, ($I69-$B$1)/365, $G69, $H69, $D69)) * $F69</f>
        <v>3818.5656570522315</v>
      </c>
      <c r="CE69" s="60">
        <f t="shared" ref="CE69:CE82" si="230">(BSPrice($B69*1.1,$J69+0.05, $K69, $C69, ($I69-$B$1)/365, $G69, $H69, $D69) - BSPrice($B69,$J69, $K69, $C69, ($I69-$B$1)/365, $G69, $H69, $D69)) * $F69</f>
        <v>3111.7772518086804</v>
      </c>
      <c r="CF69" s="60">
        <f t="shared" ref="CF69:CF82" si="231">(BSPrice($B69*1.1,$J69+0.1, $K69, $C69, ($I69-$B$1)/365, $G69, $H69, $D69) - BSPrice($B69,$J69, $K69, $C69, ($I69-$B$1)/365, $G69, $H69, $D69)) * $F69</f>
        <v>1871.4460274959765</v>
      </c>
      <c r="CG69" s="60">
        <f t="shared" ref="CG69:CG82" si="232">(BSPrice($B69*1.1,$J69+0.2, $K69, $C69, ($I69-$B$1)/365, $G69, $H69, $D69) - BSPrice($B69,$J69, $K69, $C69, ($I69-$B$1)/365, $G69, $H69, $D69)) * $F69</f>
        <v>-789.45068602780339</v>
      </c>
      <c r="CH69" s="60">
        <f t="shared" ref="CH69:CH82" si="233">(BSPrice($B69*1.2,$J69+-0.05, $K69, $C69, ($I69-$B$1)/365, $G69, $H69, $D69) - BSPrice($B69,$J69, $K69, $C69, ($I69-$B$1)/365, $G69, $H69, $D69)) * $F69</f>
        <v>7067.3552630455879</v>
      </c>
      <c r="CI69" s="60">
        <f t="shared" ref="CI69:CI82" si="234">(BSPrice($B69*1.2,$J69+-0.02, $K69, $C69, ($I69-$B$1)/365, $G69, $H69, $D69) - BSPrice($B69,$J69, $K69, $C69, ($I69-$B$1)/365, $G69, $H69, $D69)) * $F69</f>
        <v>6700.0563525345315</v>
      </c>
      <c r="CJ69" s="60">
        <f t="shared" ref="CJ69:CJ82" si="235">(BSPrice($B69*1.2,$J69+0, $K69, $C69, ($I69-$B$1)/365, $G69, $H69, $D69) - BSPrice($B69,$J69, $K69, $C69, ($I69-$B$1)/365, $G69, $H69, $D69)) * $F69</f>
        <v>6425.9523418700501</v>
      </c>
      <c r="CK69" s="60">
        <f t="shared" ref="CK69:CK82" si="236">(BSPrice($B69*1.2,$J69+0.02, $K69, $C69, ($I69-$B$1)/365, $G69, $H69, $D69) - BSPrice($B69,$J69, $K69, $C69, ($I69-$B$1)/365, $G69, $H69, $D69)) * $F69</f>
        <v>6129.7072524941905</v>
      </c>
      <c r="CL69" s="60">
        <f t="shared" ref="CL69:CL82" si="237">(BSPrice($B69*1.2,$J69+0.05, $K69, $C69, ($I69-$B$1)/365, $G69, $H69, $D69) - BSPrice($B69,$J69, $K69, $C69, ($I69-$B$1)/365, $G69, $H69, $D69)) * $F69</f>
        <v>5646.3048004865959</v>
      </c>
      <c r="CM69" s="60">
        <f t="shared" ref="CM69:CM82" si="238">(BSPrice($B69*1.2,$J69+0.1, $K69, $C69, ($I69-$B$1)/365, $G69, $H69, $D69) - BSPrice($B69,$J69, $K69, $C69, ($I69-$B$1)/365, $G69, $H69, $D69)) * $F69</f>
        <v>4746.0226531781973</v>
      </c>
      <c r="CN69" s="60">
        <f t="shared" ref="CN69:CN82" si="239">(BSPrice($B69*1.2,$J69+0.2, $K69, $C69, ($I69-$B$1)/365, $G69, $H69, $D69) - BSPrice($B69,$J69, $K69, $C69, ($I69-$B$1)/365, $G69, $H69, $D69)) * $F69</f>
        <v>2650.093539362274</v>
      </c>
    </row>
    <row r="70" spans="1:92" x14ac:dyDescent="0.35">
      <c r="A70" s="3" t="s">
        <v>116</v>
      </c>
      <c r="B70" s="4">
        <f>VLOOKUP(A70,PriceData!$K$4:$L$6,2,FALSE)</f>
        <v>10022</v>
      </c>
      <c r="C70" s="46">
        <f>VLOOKUP(A70,PriceData!$K$4:$M$6,3,FALSE)</f>
        <v>5.0000000000000001E-3</v>
      </c>
      <c r="D70" s="4" t="s">
        <v>108</v>
      </c>
      <c r="E70" s="4" t="s">
        <v>117</v>
      </c>
      <c r="F70" s="4">
        <v>-20</v>
      </c>
      <c r="G70">
        <v>9120</v>
      </c>
      <c r="H70" s="4" t="s">
        <v>109</v>
      </c>
      <c r="I70" s="5">
        <v>40256</v>
      </c>
      <c r="J70" s="46">
        <f t="shared" si="160"/>
        <v>0.47216774083559543</v>
      </c>
      <c r="K70" s="30">
        <f>VLOOKUP(I70,PriceData!$A$5:$D$7,MATCH($E70,PriceData!$A$4:$D$4,0),FALSE)</f>
        <v>5.0000000000000001E-3</v>
      </c>
      <c r="L70" s="2">
        <f t="shared" si="161"/>
        <v>406.81126774628319</v>
      </c>
      <c r="M70" s="2">
        <f t="shared" si="162"/>
        <v>-8136.2253549256639</v>
      </c>
      <c r="N70" s="4" t="s">
        <v>107</v>
      </c>
      <c r="P70" s="60">
        <f t="shared" si="163"/>
        <v>-2865.1110308839361</v>
      </c>
      <c r="Q70" s="60">
        <f t="shared" si="164"/>
        <v>8355.7862474652648</v>
      </c>
      <c r="R70" s="58">
        <f t="shared" si="165"/>
        <v>14.700417788778919</v>
      </c>
      <c r="S70" s="58">
        <f t="shared" si="166"/>
        <v>634.42730798547746</v>
      </c>
      <c r="T70" s="58">
        <f t="shared" si="167"/>
        <v>-5.098150078692246</v>
      </c>
      <c r="U70" s="2">
        <f t="shared" si="168"/>
        <v>-6.095636063201507</v>
      </c>
      <c r="V70" s="65">
        <f t="shared" si="169"/>
        <v>57302.220617678722</v>
      </c>
      <c r="W70" s="65">
        <f t="shared" si="170"/>
        <v>-167115.7249493053</v>
      </c>
      <c r="X70" s="78">
        <f t="shared" si="171"/>
        <v>-294.00835577557837</v>
      </c>
      <c r="Y70" s="78">
        <f t="shared" si="172"/>
        <v>-12688.546159709549</v>
      </c>
      <c r="Z70" s="78">
        <f t="shared" si="173"/>
        <v>101.96300157384492</v>
      </c>
      <c r="AA70" s="78">
        <f t="shared" si="174"/>
        <v>121.91272126403014</v>
      </c>
      <c r="AB70" s="78">
        <f t="shared" si="175"/>
        <v>-19447.900033656006</v>
      </c>
      <c r="AC70" s="78">
        <f t="shared" si="176"/>
        <v>-7595.6486361944189</v>
      </c>
      <c r="AD70" s="78">
        <f t="shared" si="177"/>
        <v>-3308.4067396331648</v>
      </c>
      <c r="AE70" s="78">
        <f t="shared" si="178"/>
        <v>-1214.5553364562056</v>
      </c>
      <c r="AF70" s="78">
        <f t="shared" si="179"/>
        <v>1080.8899741250661</v>
      </c>
      <c r="AG70" s="78">
        <f t="shared" si="180"/>
        <v>2473.9095023839582</v>
      </c>
      <c r="AH70" s="78">
        <f t="shared" si="181"/>
        <v>4271.6362713790841</v>
      </c>
      <c r="AI70" s="78">
        <f t="shared" si="182"/>
        <v>6425.9523418700501</v>
      </c>
      <c r="AJ70" s="78">
        <f t="shared" si="183"/>
        <v>2860.0888832702913</v>
      </c>
      <c r="AK70" s="78">
        <f t="shared" si="184"/>
        <v>1452.3266809127017</v>
      </c>
      <c r="AL70" s="78">
        <f t="shared" si="185"/>
        <v>585.36729310523697</v>
      </c>
      <c r="AM70" s="78">
        <f t="shared" si="186"/>
        <v>293.36023330360149</v>
      </c>
      <c r="AN70" s="78">
        <f t="shared" si="187"/>
        <v>-294.6295953113804</v>
      </c>
      <c r="AO70" s="78">
        <f t="shared" si="188"/>
        <v>-590.45083812525263</v>
      </c>
      <c r="AP70" s="78">
        <f t="shared" si="189"/>
        <v>-1484.3677715627382</v>
      </c>
      <c r="AQ70" s="78">
        <f t="shared" si="190"/>
        <v>-2992.2239583324972</v>
      </c>
      <c r="AR70" s="60">
        <f t="shared" si="191"/>
        <v>-18276.777945240065</v>
      </c>
      <c r="AS70" s="60">
        <f t="shared" si="192"/>
        <v>-18972.644541127174</v>
      </c>
      <c r="AT70" s="60">
        <f t="shared" si="193"/>
        <v>-19447.900033656006</v>
      </c>
      <c r="AU70" s="60">
        <f t="shared" si="194"/>
        <v>-19931.069037679354</v>
      </c>
      <c r="AV70" s="60">
        <f t="shared" si="195"/>
        <v>-20668.826820343293</v>
      </c>
      <c r="AW70" s="60">
        <f t="shared" si="196"/>
        <v>-21927.360269642195</v>
      </c>
      <c r="AX70" s="60">
        <f t="shared" si="197"/>
        <v>-24524.290920248768</v>
      </c>
      <c r="AY70" s="60">
        <f t="shared" si="198"/>
        <v>-6045.1502399347373</v>
      </c>
      <c r="AZ70" s="60">
        <f t="shared" si="199"/>
        <v>-6975.5761312224786</v>
      </c>
      <c r="BA70" s="60">
        <f t="shared" si="200"/>
        <v>-7595.6486361944189</v>
      </c>
      <c r="BB70" s="60">
        <f t="shared" si="201"/>
        <v>-8215.5257666620491</v>
      </c>
      <c r="BC70" s="60">
        <f t="shared" si="202"/>
        <v>-9144.9305998106865</v>
      </c>
      <c r="BD70" s="60">
        <f t="shared" si="203"/>
        <v>-10692.689142683921</v>
      </c>
      <c r="BE70" s="60">
        <f t="shared" si="204"/>
        <v>-13782.602284499299</v>
      </c>
      <c r="BF70" s="60">
        <f t="shared" si="205"/>
        <v>-1752.0671720119208</v>
      </c>
      <c r="BG70" s="60">
        <f t="shared" si="206"/>
        <v>-2685.0368533924848</v>
      </c>
      <c r="BH70" s="60">
        <f t="shared" si="207"/>
        <v>-3308.4067396331648</v>
      </c>
      <c r="BI70" s="60">
        <f t="shared" si="208"/>
        <v>-3932.6817325725096</v>
      </c>
      <c r="BJ70" s="60">
        <f t="shared" si="209"/>
        <v>-4870.4714749098002</v>
      </c>
      <c r="BK70" s="60">
        <f t="shared" si="210"/>
        <v>-6436.1404457568096</v>
      </c>
      <c r="BL70" s="60">
        <f t="shared" si="211"/>
        <v>-9572.6587339611797</v>
      </c>
      <c r="BM70" s="60">
        <f t="shared" si="212"/>
        <v>1452.3266809127017</v>
      </c>
      <c r="BN70" s="60">
        <f t="shared" si="213"/>
        <v>585.36729310523697</v>
      </c>
      <c r="BO70" s="60">
        <f t="shared" si="214"/>
        <v>0</v>
      </c>
      <c r="BP70" s="60">
        <f t="shared" si="215"/>
        <v>-590.45083812525263</v>
      </c>
      <c r="BQ70" s="60">
        <f t="shared" si="216"/>
        <v>-1484.3677715627382</v>
      </c>
      <c r="BR70" s="60">
        <f t="shared" si="217"/>
        <v>-2992.2239583324972</v>
      </c>
      <c r="BS70" s="60">
        <f t="shared" si="218"/>
        <v>-6055.8984562993919</v>
      </c>
      <c r="BT70" s="60">
        <f t="shared" si="219"/>
        <v>3747.3562912429725</v>
      </c>
      <c r="BU70" s="60">
        <f t="shared" si="220"/>
        <v>2992.4602586146557</v>
      </c>
      <c r="BV70" s="60">
        <f t="shared" si="221"/>
        <v>2473.9095023839582</v>
      </c>
      <c r="BW70" s="60">
        <f t="shared" si="222"/>
        <v>1944.6306216203084</v>
      </c>
      <c r="BX70" s="60">
        <f t="shared" si="223"/>
        <v>1132.9880287078413</v>
      </c>
      <c r="BY70" s="60">
        <f t="shared" si="224"/>
        <v>-259.46270458864092</v>
      </c>
      <c r="BZ70" s="60">
        <f t="shared" si="225"/>
        <v>-3155.20472954242</v>
      </c>
      <c r="CA70" s="60">
        <f t="shared" si="226"/>
        <v>5330.1998912318095</v>
      </c>
      <c r="CB70" s="60">
        <f t="shared" si="227"/>
        <v>4708.5633987643769</v>
      </c>
      <c r="CC70" s="60">
        <f t="shared" si="228"/>
        <v>4271.6362713790841</v>
      </c>
      <c r="CD70" s="60">
        <f t="shared" si="229"/>
        <v>3818.5656570522315</v>
      </c>
      <c r="CE70" s="60">
        <f t="shared" si="230"/>
        <v>3111.7772518086804</v>
      </c>
      <c r="CF70" s="60">
        <f t="shared" si="231"/>
        <v>1871.4460274959765</v>
      </c>
      <c r="CG70" s="60">
        <f t="shared" si="232"/>
        <v>-789.45068602780339</v>
      </c>
      <c r="CH70" s="60">
        <f t="shared" si="233"/>
        <v>7067.3552630455879</v>
      </c>
      <c r="CI70" s="60">
        <f t="shared" si="234"/>
        <v>6700.0563525345315</v>
      </c>
      <c r="CJ70" s="60">
        <f t="shared" si="235"/>
        <v>6425.9523418700501</v>
      </c>
      <c r="CK70" s="60">
        <f t="shared" si="236"/>
        <v>6129.7072524941905</v>
      </c>
      <c r="CL70" s="60">
        <f t="shared" si="237"/>
        <v>5646.3048004865959</v>
      </c>
      <c r="CM70" s="60">
        <f t="shared" si="238"/>
        <v>4746.0226531781973</v>
      </c>
      <c r="CN70" s="60">
        <f t="shared" si="239"/>
        <v>2650.093539362274</v>
      </c>
    </row>
    <row r="71" spans="1:92" x14ac:dyDescent="0.35">
      <c r="A71" s="3" t="s">
        <v>116</v>
      </c>
      <c r="B71" s="4">
        <f>VLOOKUP(A71,PriceData!$K$4:$L$6,2,FALSE)</f>
        <v>10022</v>
      </c>
      <c r="C71" s="46">
        <f>VLOOKUP(A71,PriceData!$K$4:$M$6,3,FALSE)</f>
        <v>5.0000000000000001E-3</v>
      </c>
      <c r="D71" s="4" t="s">
        <v>108</v>
      </c>
      <c r="E71" s="4" t="s">
        <v>117</v>
      </c>
      <c r="F71" s="4">
        <v>-25</v>
      </c>
      <c r="G71">
        <v>10022</v>
      </c>
      <c r="H71" s="4" t="s">
        <v>111</v>
      </c>
      <c r="I71" s="5">
        <v>40256</v>
      </c>
      <c r="J71" s="46">
        <f t="shared" si="160"/>
        <v>0.41000000000000003</v>
      </c>
      <c r="K71" s="30">
        <f>VLOOKUP(I71,PriceData!$A$5:$D$7,MATCH($E71,PriceData!$A$4:$D$4,0),FALSE)</f>
        <v>5.0000000000000001E-3</v>
      </c>
      <c r="L71" s="2">
        <f t="shared" si="161"/>
        <v>705.96860456899594</v>
      </c>
      <c r="M71" s="2">
        <f t="shared" si="162"/>
        <v>-17649.215114224899</v>
      </c>
      <c r="N71" s="4" t="s">
        <v>107</v>
      </c>
      <c r="P71" s="60">
        <f t="shared" si="163"/>
        <v>5359.3186948225975</v>
      </c>
      <c r="Q71" s="60">
        <f t="shared" si="164"/>
        <v>11241.853599719911</v>
      </c>
      <c r="R71" s="58">
        <f t="shared" si="165"/>
        <v>17.173856348503627</v>
      </c>
      <c r="S71" s="58">
        <f t="shared" si="166"/>
        <v>-32.795007876457611</v>
      </c>
      <c r="T71" s="58">
        <f t="shared" si="167"/>
        <v>-5.1677417728495127</v>
      </c>
      <c r="U71" s="2">
        <f t="shared" si="168"/>
        <v>8.6692549626642439</v>
      </c>
      <c r="V71" s="65">
        <f t="shared" si="169"/>
        <v>-133982.96737056493</v>
      </c>
      <c r="W71" s="65">
        <f t="shared" si="170"/>
        <v>-281046.33999299776</v>
      </c>
      <c r="X71" s="78">
        <f t="shared" si="171"/>
        <v>-429.34640871259069</v>
      </c>
      <c r="Y71" s="78">
        <f t="shared" si="172"/>
        <v>819.8751969114403</v>
      </c>
      <c r="Z71" s="78">
        <f t="shared" si="173"/>
        <v>129.19354432123782</v>
      </c>
      <c r="AA71" s="78">
        <f t="shared" si="174"/>
        <v>-216.73137406660609</v>
      </c>
      <c r="AB71" s="78">
        <f t="shared" si="175"/>
        <v>15695.489187605708</v>
      </c>
      <c r="AC71" s="78">
        <f t="shared" si="176"/>
        <v>10522.294060892091</v>
      </c>
      <c r="AD71" s="78">
        <f t="shared" si="177"/>
        <v>5983.4019282126746</v>
      </c>
      <c r="AE71" s="78">
        <f t="shared" si="178"/>
        <v>2566.2255426096635</v>
      </c>
      <c r="AF71" s="78">
        <f t="shared" si="179"/>
        <v>-2790.8515554282531</v>
      </c>
      <c r="AG71" s="78">
        <f t="shared" si="180"/>
        <v>-7380.4194527066102</v>
      </c>
      <c r="AH71" s="78">
        <f t="shared" si="181"/>
        <v>-16013.54852137074</v>
      </c>
      <c r="AI71" s="78">
        <f t="shared" si="182"/>
        <v>-36219.881136419601</v>
      </c>
      <c r="AJ71" s="78">
        <f t="shared" si="183"/>
        <v>4297.2323367612717</v>
      </c>
      <c r="AK71" s="78">
        <f t="shared" si="184"/>
        <v>2147.7155243677089</v>
      </c>
      <c r="AL71" s="78">
        <f t="shared" si="185"/>
        <v>858.85414632434731</v>
      </c>
      <c r="AM71" s="78">
        <f t="shared" si="186"/>
        <v>429.38707175180753</v>
      </c>
      <c r="AN71" s="78">
        <f t="shared" si="187"/>
        <v>-429.30508432737042</v>
      </c>
      <c r="AO71" s="78">
        <f t="shared" si="188"/>
        <v>-858.52619776906067</v>
      </c>
      <c r="AP71" s="78">
        <f t="shared" si="189"/>
        <v>-2145.6658958841672</v>
      </c>
      <c r="AQ71" s="78">
        <f t="shared" si="190"/>
        <v>-4289.034536876261</v>
      </c>
      <c r="AR71" s="60">
        <f t="shared" si="191"/>
        <v>16474.079836556215</v>
      </c>
      <c r="AS71" s="60">
        <f t="shared" si="192"/>
        <v>16028.631603069065</v>
      </c>
      <c r="AT71" s="60">
        <f t="shared" si="193"/>
        <v>15695.489187605708</v>
      </c>
      <c r="AU71" s="60">
        <f t="shared" si="194"/>
        <v>15335.577640712094</v>
      </c>
      <c r="AV71" s="60">
        <f t="shared" si="195"/>
        <v>14749.567715976365</v>
      </c>
      <c r="AW71" s="60">
        <f t="shared" si="196"/>
        <v>13664.395049630462</v>
      </c>
      <c r="AX71" s="60">
        <f t="shared" si="197"/>
        <v>11171.341727359686</v>
      </c>
      <c r="AY71" s="60">
        <f t="shared" si="198"/>
        <v>12187.565257108519</v>
      </c>
      <c r="AZ71" s="60">
        <f t="shared" si="199"/>
        <v>11198.577299440274</v>
      </c>
      <c r="BA71" s="60">
        <f t="shared" si="200"/>
        <v>10522.294060892091</v>
      </c>
      <c r="BB71" s="60">
        <f t="shared" si="201"/>
        <v>9834.4524416979875</v>
      </c>
      <c r="BC71" s="60">
        <f t="shared" si="202"/>
        <v>8784.0870640791309</v>
      </c>
      <c r="BD71" s="60">
        <f t="shared" si="203"/>
        <v>6993.1641722895274</v>
      </c>
      <c r="BE71" s="60">
        <f t="shared" si="204"/>
        <v>3304.4343376053462</v>
      </c>
      <c r="BF71" s="60">
        <f t="shared" si="205"/>
        <v>7978.9602614139421</v>
      </c>
      <c r="BG71" s="60">
        <f t="shared" si="206"/>
        <v>6784.347812158705</v>
      </c>
      <c r="BH71" s="60">
        <f t="shared" si="207"/>
        <v>5983.4019282126746</v>
      </c>
      <c r="BI71" s="60">
        <f t="shared" si="208"/>
        <v>5179.46633527838</v>
      </c>
      <c r="BJ71" s="60">
        <f t="shared" si="209"/>
        <v>3968.9123068611366</v>
      </c>
      <c r="BK71" s="60">
        <f t="shared" si="210"/>
        <v>1941.755056883926</v>
      </c>
      <c r="BL71" s="60">
        <f t="shared" si="211"/>
        <v>-2135.1714994272356</v>
      </c>
      <c r="BM71" s="60">
        <f t="shared" si="212"/>
        <v>2147.7155243677089</v>
      </c>
      <c r="BN71" s="60">
        <f t="shared" si="213"/>
        <v>858.85414632434731</v>
      </c>
      <c r="BO71" s="60">
        <f t="shared" si="214"/>
        <v>0</v>
      </c>
      <c r="BP71" s="60">
        <f t="shared" si="215"/>
        <v>-858.52619776906067</v>
      </c>
      <c r="BQ71" s="60">
        <f t="shared" si="216"/>
        <v>-2145.6658958841672</v>
      </c>
      <c r="BR71" s="60">
        <f t="shared" si="217"/>
        <v>-4289.034536876261</v>
      </c>
      <c r="BS71" s="60">
        <f t="shared" si="218"/>
        <v>-8567.8936326891526</v>
      </c>
      <c r="BT71" s="60">
        <f t="shared" si="219"/>
        <v>-5272.8828355259338</v>
      </c>
      <c r="BU71" s="60">
        <f t="shared" si="220"/>
        <v>-6534.8250323118236</v>
      </c>
      <c r="BV71" s="60">
        <f t="shared" si="221"/>
        <v>-7380.4194527066102</v>
      </c>
      <c r="BW71" s="60">
        <f t="shared" si="222"/>
        <v>-8228.8383499122356</v>
      </c>
      <c r="BX71" s="60">
        <f t="shared" si="223"/>
        <v>-9505.8451236540568</v>
      </c>
      <c r="BY71" s="60">
        <f t="shared" si="224"/>
        <v>-11643.142036140353</v>
      </c>
      <c r="BZ71" s="60">
        <f t="shared" si="225"/>
        <v>-15938.547821929251</v>
      </c>
      <c r="CA71" s="60">
        <f t="shared" si="226"/>
        <v>-14103.826137161195</v>
      </c>
      <c r="CB71" s="60">
        <f t="shared" si="227"/>
        <v>-15240.150719607209</v>
      </c>
      <c r="CC71" s="60">
        <f t="shared" si="228"/>
        <v>-16013.54852137074</v>
      </c>
      <c r="CD71" s="60">
        <f t="shared" si="229"/>
        <v>-16797.69234182097</v>
      </c>
      <c r="CE71" s="60">
        <f t="shared" si="230"/>
        <v>-17991.123797610409</v>
      </c>
      <c r="CF71" s="60">
        <f t="shared" si="231"/>
        <v>-20017.258080818283</v>
      </c>
      <c r="CG71" s="60">
        <f t="shared" si="232"/>
        <v>-24166.814441822178</v>
      </c>
      <c r="CH71" s="60">
        <f t="shared" si="233"/>
        <v>-34933.084249486361</v>
      </c>
      <c r="CI71" s="60">
        <f t="shared" si="234"/>
        <v>-35681.29062275702</v>
      </c>
      <c r="CJ71" s="60">
        <f t="shared" si="235"/>
        <v>-36219.881136419601</v>
      </c>
      <c r="CK71" s="60">
        <f t="shared" si="236"/>
        <v>-36786.927774718948</v>
      </c>
      <c r="CL71" s="60">
        <f t="shared" si="237"/>
        <v>-37685.189393419452</v>
      </c>
      <c r="CM71" s="60">
        <f t="shared" si="238"/>
        <v>-39290.809525140365</v>
      </c>
      <c r="CN71" s="60">
        <f t="shared" si="239"/>
        <v>-42810.936779173971</v>
      </c>
    </row>
    <row r="72" spans="1:92" x14ac:dyDescent="0.35">
      <c r="A72" s="3" t="s">
        <v>116</v>
      </c>
      <c r="B72" s="4">
        <f>VLOOKUP(A72,PriceData!$K$4:$L$6,2,FALSE)</f>
        <v>10022</v>
      </c>
      <c r="C72" s="46">
        <f>VLOOKUP(A72,PriceData!$K$4:$M$6,3,FALSE)</f>
        <v>5.0000000000000001E-3</v>
      </c>
      <c r="D72" s="4" t="s">
        <v>108</v>
      </c>
      <c r="E72" s="4" t="s">
        <v>117</v>
      </c>
      <c r="F72" s="4">
        <v>10</v>
      </c>
      <c r="G72">
        <v>8519</v>
      </c>
      <c r="H72" s="4" t="s">
        <v>109</v>
      </c>
      <c r="I72" s="5">
        <v>40256</v>
      </c>
      <c r="J72" s="46">
        <f t="shared" si="160"/>
        <v>0.53413924786865796</v>
      </c>
      <c r="K72" s="30">
        <f>VLOOKUP(I72,PriceData!$A$5:$D$7,MATCH($E72,PriceData!$A$4:$D$4,0),FALSE)</f>
        <v>5.0000000000000001E-3</v>
      </c>
      <c r="L72" s="2">
        <f t="shared" si="161"/>
        <v>300.50652353568876</v>
      </c>
      <c r="M72" s="2">
        <f t="shared" si="162"/>
        <v>3005.0652353568876</v>
      </c>
      <c r="N72" s="4" t="s">
        <v>112</v>
      </c>
      <c r="P72" s="60">
        <f t="shared" si="163"/>
        <v>-2063.5656328803757</v>
      </c>
      <c r="Q72" s="60">
        <f t="shared" si="164"/>
        <v>6189.3048272388996</v>
      </c>
      <c r="R72" s="58">
        <f t="shared" si="165"/>
        <v>12.318062603675854</v>
      </c>
      <c r="S72" s="58">
        <f t="shared" si="166"/>
        <v>1114.822410604223</v>
      </c>
      <c r="T72" s="58">
        <f t="shared" si="167"/>
        <v>-4.8337957475203792</v>
      </c>
      <c r="U72" s="2">
        <f t="shared" si="168"/>
        <v>-4.4042988119532156</v>
      </c>
      <c r="V72" s="65">
        <f t="shared" si="169"/>
        <v>-20635.656328803758</v>
      </c>
      <c r="W72" s="65">
        <f t="shared" si="170"/>
        <v>61893.048272388995</v>
      </c>
      <c r="X72" s="78">
        <f t="shared" si="171"/>
        <v>123.18062603675854</v>
      </c>
      <c r="Y72" s="78">
        <f t="shared" si="172"/>
        <v>11148.224106042231</v>
      </c>
      <c r="Z72" s="78">
        <f t="shared" si="173"/>
        <v>-48.337957475203794</v>
      </c>
      <c r="AA72" s="78">
        <f t="shared" si="174"/>
        <v>-44.042988119532154</v>
      </c>
      <c r="AB72" s="78">
        <f t="shared" si="175"/>
        <v>7340.1921788360141</v>
      </c>
      <c r="AC72" s="78">
        <f t="shared" si="176"/>
        <v>2778.0302455608853</v>
      </c>
      <c r="AD72" s="78">
        <f t="shared" si="177"/>
        <v>1198.4245566239724</v>
      </c>
      <c r="AE72" s="78">
        <f t="shared" si="178"/>
        <v>438.2273221950345</v>
      </c>
      <c r="AF72" s="78">
        <f t="shared" si="179"/>
        <v>-388.70218008898746</v>
      </c>
      <c r="AG72" s="78">
        <f t="shared" si="180"/>
        <v>-888.54920082579611</v>
      </c>
      <c r="AH72" s="78">
        <f t="shared" si="181"/>
        <v>-1534.057947375486</v>
      </c>
      <c r="AI72" s="78">
        <f t="shared" si="182"/>
        <v>-2318.2012812653275</v>
      </c>
      <c r="AJ72" s="78">
        <f t="shared" si="183"/>
        <v>-1165.427972420166</v>
      </c>
      <c r="AK72" s="78">
        <f t="shared" si="184"/>
        <v>-600.7382003272528</v>
      </c>
      <c r="AL72" s="78">
        <f t="shared" si="185"/>
        <v>-244.0563608055254</v>
      </c>
      <c r="AM72" s="78">
        <f t="shared" si="186"/>
        <v>-122.61394539753155</v>
      </c>
      <c r="AN72" s="78">
        <f t="shared" si="187"/>
        <v>123.72903008090816</v>
      </c>
      <c r="AO72" s="78">
        <f t="shared" si="188"/>
        <v>248.51984854183229</v>
      </c>
      <c r="AP72" s="78">
        <f t="shared" si="189"/>
        <v>628.77321993176793</v>
      </c>
      <c r="AQ72" s="78">
        <f t="shared" si="190"/>
        <v>1279.5680777717644</v>
      </c>
      <c r="AR72" s="60">
        <f t="shared" si="191"/>
        <v>6660.0621618112473</v>
      </c>
      <c r="AS72" s="60">
        <f t="shared" si="192"/>
        <v>7067.6309661781033</v>
      </c>
      <c r="AT72" s="60">
        <f t="shared" si="193"/>
        <v>7340.1921788360141</v>
      </c>
      <c r="AU72" s="60">
        <f t="shared" si="194"/>
        <v>7613.3258628234671</v>
      </c>
      <c r="AV72" s="60">
        <f t="shared" si="195"/>
        <v>8023.9315278744925</v>
      </c>
      <c r="AW72" s="60">
        <f t="shared" si="196"/>
        <v>8710.1576362211381</v>
      </c>
      <c r="AX72" s="60">
        <f t="shared" si="197"/>
        <v>10086.972654101237</v>
      </c>
      <c r="AY72" s="60">
        <f t="shared" si="198"/>
        <v>2053.5182954942093</v>
      </c>
      <c r="AZ72" s="60">
        <f t="shared" si="199"/>
        <v>2487.7561587790615</v>
      </c>
      <c r="BA72" s="60">
        <f t="shared" si="200"/>
        <v>2778.0302455608853</v>
      </c>
      <c r="BB72" s="60">
        <f t="shared" si="201"/>
        <v>3068.8285452476021</v>
      </c>
      <c r="BC72" s="60">
        <f t="shared" si="202"/>
        <v>3505.8483492467212</v>
      </c>
      <c r="BD72" s="60">
        <f t="shared" si="203"/>
        <v>4235.9009838907286</v>
      </c>
      <c r="BE72" s="60">
        <f t="shared" si="204"/>
        <v>5699.7446636231734</v>
      </c>
      <c r="BF72" s="60">
        <f t="shared" si="205"/>
        <v>521.12818817246534</v>
      </c>
      <c r="BG72" s="60">
        <f t="shared" si="206"/>
        <v>925.57314206219417</v>
      </c>
      <c r="BH72" s="60">
        <f t="shared" si="207"/>
        <v>1198.4245566239724</v>
      </c>
      <c r="BI72" s="60">
        <f t="shared" si="208"/>
        <v>1473.5289685067755</v>
      </c>
      <c r="BJ72" s="60">
        <f t="shared" si="209"/>
        <v>1889.8946499968906</v>
      </c>
      <c r="BK72" s="60">
        <f t="shared" si="210"/>
        <v>2592.0985686038193</v>
      </c>
      <c r="BL72" s="60">
        <f t="shared" si="211"/>
        <v>4019.2067794424247</v>
      </c>
      <c r="BM72" s="60">
        <f t="shared" si="212"/>
        <v>-600.7382003272528</v>
      </c>
      <c r="BN72" s="60">
        <f t="shared" si="213"/>
        <v>-244.0563608055254</v>
      </c>
      <c r="BO72" s="60">
        <f t="shared" si="214"/>
        <v>0</v>
      </c>
      <c r="BP72" s="60">
        <f t="shared" si="215"/>
        <v>248.51984854183229</v>
      </c>
      <c r="BQ72" s="60">
        <f t="shared" si="216"/>
        <v>628.77321993176793</v>
      </c>
      <c r="BR72" s="60">
        <f t="shared" si="217"/>
        <v>1279.5680777717644</v>
      </c>
      <c r="BS72" s="60">
        <f t="shared" si="218"/>
        <v>2630.0071275082246</v>
      </c>
      <c r="BT72" s="60">
        <f t="shared" si="219"/>
        <v>-1398.094321463841</v>
      </c>
      <c r="BU72" s="60">
        <f t="shared" si="220"/>
        <v>-1097.8160181847511</v>
      </c>
      <c r="BV72" s="60">
        <f t="shared" si="221"/>
        <v>-888.54920082579611</v>
      </c>
      <c r="BW72" s="60">
        <f t="shared" si="222"/>
        <v>-672.69746124900394</v>
      </c>
      <c r="BX72" s="60">
        <f t="shared" si="223"/>
        <v>-337.71544401381334</v>
      </c>
      <c r="BY72" s="60">
        <f t="shared" si="224"/>
        <v>246.65868568605219</v>
      </c>
      <c r="BZ72" s="60">
        <f t="shared" si="225"/>
        <v>1492.5408808525162</v>
      </c>
      <c r="CA72" s="60">
        <f t="shared" si="226"/>
        <v>-1950.0753543600308</v>
      </c>
      <c r="CB72" s="60">
        <f t="shared" si="227"/>
        <v>-1707.1239605726032</v>
      </c>
      <c r="CC72" s="60">
        <f t="shared" si="228"/>
        <v>-1534.057947375486</v>
      </c>
      <c r="CD72" s="60">
        <f t="shared" si="229"/>
        <v>-1352.7790039398838</v>
      </c>
      <c r="CE72" s="60">
        <f t="shared" si="230"/>
        <v>-1066.636585788608</v>
      </c>
      <c r="CF72" s="60">
        <f t="shared" si="231"/>
        <v>-555.90578907671897</v>
      </c>
      <c r="CG72" s="60">
        <f t="shared" si="232"/>
        <v>568.87264172060213</v>
      </c>
      <c r="CH72" s="60">
        <f t="shared" si="233"/>
        <v>-2570.7828072591224</v>
      </c>
      <c r="CI72" s="60">
        <f t="shared" si="234"/>
        <v>-2426.5100061141529</v>
      </c>
      <c r="CJ72" s="60">
        <f t="shared" si="235"/>
        <v>-2318.2012812653275</v>
      </c>
      <c r="CK72" s="60">
        <f t="shared" si="236"/>
        <v>-2200.4831942710289</v>
      </c>
      <c r="CL72" s="60">
        <f t="shared" si="237"/>
        <v>-2006.9269690365945</v>
      </c>
      <c r="CM72" s="60">
        <f t="shared" si="238"/>
        <v>-1641.8806704803876</v>
      </c>
      <c r="CN72" s="60">
        <f t="shared" si="239"/>
        <v>-772.56605593309359</v>
      </c>
    </row>
    <row r="73" spans="1:92" x14ac:dyDescent="0.35">
      <c r="A73" s="3" t="s">
        <v>116</v>
      </c>
      <c r="B73" s="4">
        <f>VLOOKUP(A73,PriceData!$K$4:$L$6,2,FALSE)</f>
        <v>10022</v>
      </c>
      <c r="C73" s="46">
        <f>VLOOKUP(A73,PriceData!$K$4:$M$6,3,FALSE)</f>
        <v>5.0000000000000001E-3</v>
      </c>
      <c r="D73" s="4" t="s">
        <v>108</v>
      </c>
      <c r="E73" s="4" t="s">
        <v>117</v>
      </c>
      <c r="F73" s="4">
        <v>-25</v>
      </c>
      <c r="G73">
        <v>10022</v>
      </c>
      <c r="H73" s="4" t="s">
        <v>109</v>
      </c>
      <c r="I73" s="5">
        <v>40347</v>
      </c>
      <c r="J73" s="46">
        <f t="shared" si="160"/>
        <v>0.36000000000000004</v>
      </c>
      <c r="K73" s="30">
        <f>VLOOKUP(I73,PriceData!$A$5:$D$7,MATCH($E73,PriceData!$A$4:$D$4,0),FALSE)</f>
        <v>5.0000000000000001E-3</v>
      </c>
      <c r="L73" s="2">
        <f t="shared" si="161"/>
        <v>945.69811475775714</v>
      </c>
      <c r="M73" s="2">
        <f t="shared" si="162"/>
        <v>-23642.452868943928</v>
      </c>
      <c r="N73" s="4" t="s">
        <v>107</v>
      </c>
      <c r="P73" s="60">
        <f t="shared" si="163"/>
        <v>-4527.2484503304167</v>
      </c>
      <c r="Q73" s="60">
        <f t="shared" si="164"/>
        <v>8336.2186768370284</v>
      </c>
      <c r="R73" s="58">
        <f t="shared" si="165"/>
        <v>26.146036003405563</v>
      </c>
      <c r="S73" s="58">
        <f t="shared" si="166"/>
        <v>-102.50678772842016</v>
      </c>
      <c r="T73" s="58">
        <f t="shared" si="167"/>
        <v>-2.9469738354638091</v>
      </c>
      <c r="U73" s="2">
        <f t="shared" si="168"/>
        <v>-23.841054899973141</v>
      </c>
      <c r="V73" s="65">
        <f t="shared" si="169"/>
        <v>113181.21125826042</v>
      </c>
      <c r="W73" s="65">
        <f t="shared" si="170"/>
        <v>-208405.46692092571</v>
      </c>
      <c r="X73" s="78">
        <f t="shared" si="171"/>
        <v>-653.65090008513903</v>
      </c>
      <c r="Y73" s="78">
        <f t="shared" si="172"/>
        <v>2562.6696932105042</v>
      </c>
      <c r="Z73" s="78">
        <f t="shared" si="173"/>
        <v>73.674345886595233</v>
      </c>
      <c r="AA73" s="78">
        <f t="shared" si="174"/>
        <v>596.02637249932855</v>
      </c>
      <c r="AB73" s="78">
        <f t="shared" si="175"/>
        <v>-31300.755347593484</v>
      </c>
      <c r="AC73" s="78">
        <f t="shared" si="176"/>
        <v>-13478.113184232392</v>
      </c>
      <c r="AD73" s="78">
        <f t="shared" si="177"/>
        <v>-6191.4555031509508</v>
      </c>
      <c r="AE73" s="78">
        <f t="shared" si="178"/>
        <v>-2347.779908069856</v>
      </c>
      <c r="AF73" s="78">
        <f t="shared" si="179"/>
        <v>2181.1331267288551</v>
      </c>
      <c r="AG73" s="78">
        <f t="shared" si="180"/>
        <v>5152.4577101122759</v>
      </c>
      <c r="AH73" s="78">
        <f t="shared" si="181"/>
        <v>9358.3843102093506</v>
      </c>
      <c r="AI73" s="78">
        <f t="shared" si="182"/>
        <v>15393.774765995113</v>
      </c>
      <c r="AJ73" s="78">
        <f t="shared" si="183"/>
        <v>6548.1493900799251</v>
      </c>
      <c r="AK73" s="78">
        <f t="shared" si="184"/>
        <v>3271.311416923345</v>
      </c>
      <c r="AL73" s="78">
        <f t="shared" si="185"/>
        <v>1307.8049712054508</v>
      </c>
      <c r="AM73" s="78">
        <f t="shared" si="186"/>
        <v>653.7778635484301</v>
      </c>
      <c r="AN73" s="78">
        <f t="shared" si="187"/>
        <v>-653.52159727353865</v>
      </c>
      <c r="AO73" s="78">
        <f t="shared" si="188"/>
        <v>-1306.7799144389937</v>
      </c>
      <c r="AP73" s="78">
        <f t="shared" si="189"/>
        <v>-3264.9051766899447</v>
      </c>
      <c r="AQ73" s="78">
        <f t="shared" si="190"/>
        <v>-6522.5296362000563</v>
      </c>
      <c r="AR73" s="60">
        <f t="shared" si="191"/>
        <v>-29545.780513256886</v>
      </c>
      <c r="AS73" s="60">
        <f t="shared" si="192"/>
        <v>-30567.335996819609</v>
      </c>
      <c r="AT73" s="60">
        <f t="shared" si="193"/>
        <v>-31300.755347593484</v>
      </c>
      <c r="AU73" s="60">
        <f t="shared" si="194"/>
        <v>-32070.493874181102</v>
      </c>
      <c r="AV73" s="60">
        <f t="shared" si="195"/>
        <v>-33284.235028470561</v>
      </c>
      <c r="AW73" s="60">
        <f t="shared" si="196"/>
        <v>-35436.628496588834</v>
      </c>
      <c r="AX73" s="60">
        <f t="shared" si="197"/>
        <v>-40087.684032638754</v>
      </c>
      <c r="AY73" s="60">
        <f t="shared" si="198"/>
        <v>-10709.399728838844</v>
      </c>
      <c r="AZ73" s="60">
        <f t="shared" si="199"/>
        <v>-12360.072713908427</v>
      </c>
      <c r="BA73" s="60">
        <f t="shared" si="200"/>
        <v>-13478.113184232392</v>
      </c>
      <c r="BB73" s="60">
        <f t="shared" si="201"/>
        <v>-14607.584315769054</v>
      </c>
      <c r="BC73" s="60">
        <f t="shared" si="202"/>
        <v>-16319.359670311633</v>
      </c>
      <c r="BD73" s="60">
        <f t="shared" si="203"/>
        <v>-19207.943971692977</v>
      </c>
      <c r="BE73" s="60">
        <f t="shared" si="204"/>
        <v>-25067.754577100277</v>
      </c>
      <c r="BF73" s="60">
        <f t="shared" si="205"/>
        <v>-3088.0932454157119</v>
      </c>
      <c r="BG73" s="60">
        <f t="shared" si="206"/>
        <v>-4947.8291663536311</v>
      </c>
      <c r="BH73" s="60">
        <f t="shared" si="207"/>
        <v>-6191.4555031509508</v>
      </c>
      <c r="BI73" s="60">
        <f t="shared" si="208"/>
        <v>-7437.3384271161058</v>
      </c>
      <c r="BJ73" s="60">
        <f t="shared" si="209"/>
        <v>-9309.2459605456716</v>
      </c>
      <c r="BK73" s="60">
        <f t="shared" si="210"/>
        <v>-12433.949594331034</v>
      </c>
      <c r="BL73" s="60">
        <f t="shared" si="211"/>
        <v>-18685.829473631973</v>
      </c>
      <c r="BM73" s="60">
        <f t="shared" si="212"/>
        <v>3271.311416923345</v>
      </c>
      <c r="BN73" s="60">
        <f t="shared" si="213"/>
        <v>1307.8049712054508</v>
      </c>
      <c r="BO73" s="60">
        <f t="shared" si="214"/>
        <v>0</v>
      </c>
      <c r="BP73" s="60">
        <f t="shared" si="215"/>
        <v>-1306.7799144389937</v>
      </c>
      <c r="BQ73" s="60">
        <f t="shared" si="216"/>
        <v>-3264.9051766899447</v>
      </c>
      <c r="BR73" s="60">
        <f t="shared" si="217"/>
        <v>-6522.5296362000563</v>
      </c>
      <c r="BS73" s="60">
        <f t="shared" si="218"/>
        <v>-13012.468738020061</v>
      </c>
      <c r="BT73" s="60">
        <f t="shared" si="219"/>
        <v>8423.4849466188734</v>
      </c>
      <c r="BU73" s="60">
        <f t="shared" si="220"/>
        <v>6462.9757608109121</v>
      </c>
      <c r="BV73" s="60">
        <f t="shared" si="221"/>
        <v>5152.4577101122759</v>
      </c>
      <c r="BW73" s="60">
        <f t="shared" si="222"/>
        <v>3839.8863015847724</v>
      </c>
      <c r="BX73" s="60">
        <f t="shared" si="223"/>
        <v>1868.2864835282544</v>
      </c>
      <c r="BY73" s="60">
        <f t="shared" si="224"/>
        <v>-1421.7734648096211</v>
      </c>
      <c r="BZ73" s="60">
        <f t="shared" si="225"/>
        <v>-8001.8095574131967</v>
      </c>
      <c r="CA73" s="60">
        <f t="shared" si="226"/>
        <v>12483.420037732423</v>
      </c>
      <c r="CB73" s="60">
        <f t="shared" si="227"/>
        <v>10618.021336034486</v>
      </c>
      <c r="CC73" s="60">
        <f t="shared" si="228"/>
        <v>9358.3843102093506</v>
      </c>
      <c r="CD73" s="60">
        <f t="shared" si="229"/>
        <v>8088.3990689786742</v>
      </c>
      <c r="CE73" s="60">
        <f t="shared" si="230"/>
        <v>6167.6358846942321</v>
      </c>
      <c r="CF73" s="60">
        <f t="shared" si="231"/>
        <v>2934.756582393436</v>
      </c>
      <c r="CG73" s="60">
        <f t="shared" si="232"/>
        <v>-3601.9627412808177</v>
      </c>
      <c r="CH73" s="60">
        <f t="shared" si="233"/>
        <v>17940.705140913145</v>
      </c>
      <c r="CI73" s="60">
        <f t="shared" si="234"/>
        <v>16442.782446772799</v>
      </c>
      <c r="CJ73" s="60">
        <f t="shared" si="235"/>
        <v>15393.774765995113</v>
      </c>
      <c r="CK73" s="60">
        <f t="shared" si="236"/>
        <v>14310.641428422525</v>
      </c>
      <c r="CL73" s="60">
        <f t="shared" si="237"/>
        <v>12631.453722710228</v>
      </c>
      <c r="CM73" s="60">
        <f t="shared" si="238"/>
        <v>9716.254263634346</v>
      </c>
      <c r="CN73" s="60">
        <f t="shared" si="239"/>
        <v>3584.9045895452605</v>
      </c>
    </row>
    <row r="74" spans="1:92" x14ac:dyDescent="0.35">
      <c r="A74" s="3" t="s">
        <v>116</v>
      </c>
      <c r="B74" s="4">
        <f>VLOOKUP(A74,PriceData!$K$4:$L$6,2,FALSE)</f>
        <v>10022</v>
      </c>
      <c r="C74" s="46">
        <f>VLOOKUP(A74,PriceData!$K$4:$M$6,3,FALSE)</f>
        <v>5.0000000000000001E-3</v>
      </c>
      <c r="D74" s="4" t="s">
        <v>108</v>
      </c>
      <c r="E74" s="4" t="s">
        <v>117</v>
      </c>
      <c r="F74" s="4">
        <v>-10</v>
      </c>
      <c r="G74">
        <v>9120</v>
      </c>
      <c r="H74" s="4" t="s">
        <v>109</v>
      </c>
      <c r="I74" s="5">
        <v>40347</v>
      </c>
      <c r="J74" s="46">
        <f t="shared" si="160"/>
        <v>0.42216774083559544</v>
      </c>
      <c r="K74" s="30">
        <f>VLOOKUP(I74,PriceData!$A$5:$D$7,MATCH($E74,PriceData!$A$4:$D$4,0),FALSE)</f>
        <v>5.0000000000000001E-3</v>
      </c>
      <c r="L74" s="2">
        <f t="shared" si="161"/>
        <v>667.7534821882723</v>
      </c>
      <c r="M74" s="2">
        <f t="shared" si="162"/>
        <v>-6677.534821882723</v>
      </c>
      <c r="N74" s="4" t="s">
        <v>107</v>
      </c>
      <c r="P74" s="60">
        <f t="shared" si="163"/>
        <v>-3164.0295072936733</v>
      </c>
      <c r="Q74" s="60">
        <f t="shared" si="164"/>
        <v>6386.7291114580748</v>
      </c>
      <c r="R74" s="58">
        <f t="shared" si="165"/>
        <v>23.490799399988845</v>
      </c>
      <c r="S74" s="58">
        <f t="shared" si="166"/>
        <v>529.49939843623292</v>
      </c>
      <c r="T74" s="58">
        <f t="shared" si="167"/>
        <v>-3.109424299922761</v>
      </c>
      <c r="U74" s="2">
        <f t="shared" si="168"/>
        <v>-16.691876584318617</v>
      </c>
      <c r="V74" s="65">
        <f t="shared" si="169"/>
        <v>31640.295072936733</v>
      </c>
      <c r="W74" s="65">
        <f t="shared" si="170"/>
        <v>-63867.291114580745</v>
      </c>
      <c r="X74" s="78">
        <f t="shared" si="171"/>
        <v>-234.90799399988845</v>
      </c>
      <c r="Y74" s="78">
        <f t="shared" si="172"/>
        <v>-5294.9939843623288</v>
      </c>
      <c r="Z74" s="78">
        <f t="shared" si="173"/>
        <v>31.09424299922761</v>
      </c>
      <c r="AA74" s="78">
        <f t="shared" si="174"/>
        <v>166.91876584318618</v>
      </c>
      <c r="AB74" s="78">
        <f t="shared" si="175"/>
        <v>-9282.9912251682654</v>
      </c>
      <c r="AC74" s="78">
        <f t="shared" si="176"/>
        <v>-3857.8910024907191</v>
      </c>
      <c r="AD74" s="78">
        <f t="shared" si="177"/>
        <v>-1748.7808969081834</v>
      </c>
      <c r="AE74" s="78">
        <f t="shared" si="178"/>
        <v>-658.81246516514693</v>
      </c>
      <c r="AF74" s="78">
        <f t="shared" si="179"/>
        <v>607.72340632634496</v>
      </c>
      <c r="AG74" s="78">
        <f t="shared" si="180"/>
        <v>1429.6335744769294</v>
      </c>
      <c r="AH74" s="78">
        <f t="shared" si="181"/>
        <v>2583.7199905202806</v>
      </c>
      <c r="AI74" s="78">
        <f t="shared" si="182"/>
        <v>4233.2779795687311</v>
      </c>
      <c r="AJ74" s="78">
        <f t="shared" si="183"/>
        <v>2312.7009675499812</v>
      </c>
      <c r="AK74" s="78">
        <f t="shared" si="184"/>
        <v>1166.8326591608275</v>
      </c>
      <c r="AL74" s="78">
        <f t="shared" si="185"/>
        <v>468.69199620466588</v>
      </c>
      <c r="AM74" s="78">
        <f t="shared" si="186"/>
        <v>234.63529729053334</v>
      </c>
      <c r="AN74" s="78">
        <f t="shared" si="187"/>
        <v>-235.16512779804088</v>
      </c>
      <c r="AO74" s="78">
        <f t="shared" si="188"/>
        <v>-470.81529933712773</v>
      </c>
      <c r="AP74" s="78">
        <f t="shared" si="189"/>
        <v>-1180.2795467179476</v>
      </c>
      <c r="AQ74" s="78">
        <f t="shared" si="190"/>
        <v>-2369.1301866282038</v>
      </c>
      <c r="AR74" s="60">
        <f t="shared" si="191"/>
        <v>-8296.4228465520719</v>
      </c>
      <c r="AS74" s="60">
        <f t="shared" si="192"/>
        <v>-8885.0494946043582</v>
      </c>
      <c r="AT74" s="60">
        <f t="shared" si="193"/>
        <v>-9282.9912251682654</v>
      </c>
      <c r="AU74" s="60">
        <f t="shared" si="194"/>
        <v>-9684.6228727788948</v>
      </c>
      <c r="AV74" s="60">
        <f t="shared" si="195"/>
        <v>-10292.879053223445</v>
      </c>
      <c r="AW74" s="60">
        <f t="shared" si="196"/>
        <v>-11318.771289624914</v>
      </c>
      <c r="AX74" s="60">
        <f t="shared" si="197"/>
        <v>-13399.959911081391</v>
      </c>
      <c r="AY74" s="60">
        <f t="shared" si="198"/>
        <v>-2677.6797941681298</v>
      </c>
      <c r="AZ74" s="60">
        <f t="shared" si="199"/>
        <v>-3386.082672946427</v>
      </c>
      <c r="BA74" s="60">
        <f t="shared" si="200"/>
        <v>-3857.8910024907191</v>
      </c>
      <c r="BB74" s="60">
        <f t="shared" si="201"/>
        <v>-4329.3008837638763</v>
      </c>
      <c r="BC74" s="60">
        <f t="shared" si="202"/>
        <v>-5035.6147149141225</v>
      </c>
      <c r="BD74" s="60">
        <f t="shared" si="203"/>
        <v>-6210.4725184722884</v>
      </c>
      <c r="BE74" s="60">
        <f t="shared" si="204"/>
        <v>-8550.1929663737337</v>
      </c>
      <c r="BF74" s="60">
        <f t="shared" si="205"/>
        <v>-551.44544489510736</v>
      </c>
      <c r="BG74" s="60">
        <f t="shared" si="206"/>
        <v>-1269.6757318509844</v>
      </c>
      <c r="BH74" s="60">
        <f t="shared" si="207"/>
        <v>-1748.7808969081834</v>
      </c>
      <c r="BI74" s="60">
        <f t="shared" si="208"/>
        <v>-2227.9877885995757</v>
      </c>
      <c r="BJ74" s="60">
        <f t="shared" si="209"/>
        <v>-2946.7924569397701</v>
      </c>
      <c r="BK74" s="60">
        <f t="shared" si="210"/>
        <v>-4144.1690208672298</v>
      </c>
      <c r="BL74" s="60">
        <f t="shared" si="211"/>
        <v>-6533.3648803002916</v>
      </c>
      <c r="BM74" s="60">
        <f t="shared" si="212"/>
        <v>1166.8326591608275</v>
      </c>
      <c r="BN74" s="60">
        <f t="shared" si="213"/>
        <v>468.69199620466588</v>
      </c>
      <c r="BO74" s="60">
        <f t="shared" si="214"/>
        <v>0</v>
      </c>
      <c r="BP74" s="60">
        <f t="shared" si="215"/>
        <v>-470.81529933712773</v>
      </c>
      <c r="BQ74" s="60">
        <f t="shared" si="216"/>
        <v>-1180.2795467179476</v>
      </c>
      <c r="BR74" s="60">
        <f t="shared" si="217"/>
        <v>-2369.1301866282038</v>
      </c>
      <c r="BS74" s="60">
        <f t="shared" si="218"/>
        <v>-4760.1411776733812</v>
      </c>
      <c r="BT74" s="60">
        <f t="shared" si="219"/>
        <v>2528.3143546401561</v>
      </c>
      <c r="BU74" s="60">
        <f t="shared" si="220"/>
        <v>1873.7277941702996</v>
      </c>
      <c r="BV74" s="60">
        <f t="shared" si="221"/>
        <v>1429.6335744769294</v>
      </c>
      <c r="BW74" s="60">
        <f t="shared" si="222"/>
        <v>980.3566339173949</v>
      </c>
      <c r="BX74" s="60">
        <f t="shared" si="223"/>
        <v>298.22108306476366</v>
      </c>
      <c r="BY74" s="60">
        <f t="shared" si="224"/>
        <v>-856.0461114423515</v>
      </c>
      <c r="BZ74" s="60">
        <f t="shared" si="225"/>
        <v>-3207.8921476604501</v>
      </c>
      <c r="CA74" s="60">
        <f t="shared" si="226"/>
        <v>3588.1427522076865</v>
      </c>
      <c r="CB74" s="60">
        <f t="shared" si="227"/>
        <v>2993.1111501935084</v>
      </c>
      <c r="CC74" s="60">
        <f t="shared" si="228"/>
        <v>2583.7199905202806</v>
      </c>
      <c r="CD74" s="60">
        <f t="shared" si="229"/>
        <v>2165.6135019323619</v>
      </c>
      <c r="CE74" s="60">
        <f t="shared" si="230"/>
        <v>1524.3695348640495</v>
      </c>
      <c r="CF74" s="60">
        <f t="shared" si="231"/>
        <v>425.04519655888998</v>
      </c>
      <c r="CG74" s="60">
        <f t="shared" si="232"/>
        <v>-1854.1461301928348</v>
      </c>
      <c r="CH74" s="60">
        <f t="shared" si="233"/>
        <v>5013.7730580043608</v>
      </c>
      <c r="CI74" s="60">
        <f t="shared" si="234"/>
        <v>4558.3310721228481</v>
      </c>
      <c r="CJ74" s="60">
        <f t="shared" si="235"/>
        <v>4233.2779795687311</v>
      </c>
      <c r="CK74" s="60">
        <f t="shared" si="236"/>
        <v>3892.972136836745</v>
      </c>
      <c r="CL74" s="60">
        <f t="shared" si="237"/>
        <v>3357.059942939577</v>
      </c>
      <c r="CM74" s="60">
        <f t="shared" si="238"/>
        <v>2406.3149230511635</v>
      </c>
      <c r="CN74" s="60">
        <f t="shared" si="239"/>
        <v>343.11572046555739</v>
      </c>
    </row>
    <row r="75" spans="1:92" x14ac:dyDescent="0.35">
      <c r="A75" s="3" t="s">
        <v>116</v>
      </c>
      <c r="B75" s="4">
        <f>VLOOKUP(A75,PriceData!$K$4:$L$6,2,FALSE)</f>
        <v>10022</v>
      </c>
      <c r="C75" s="46">
        <f>VLOOKUP(A75,PriceData!$K$4:$M$6,3,FALSE)</f>
        <v>5.0000000000000001E-3</v>
      </c>
      <c r="D75" s="4" t="s">
        <v>108</v>
      </c>
      <c r="E75" s="4" t="s">
        <v>117</v>
      </c>
      <c r="F75" s="4">
        <v>-15</v>
      </c>
      <c r="G75">
        <v>9120</v>
      </c>
      <c r="H75" s="4" t="s">
        <v>109</v>
      </c>
      <c r="I75" s="5">
        <v>40347</v>
      </c>
      <c r="J75" s="46">
        <f t="shared" si="160"/>
        <v>0.42216774083559544</v>
      </c>
      <c r="K75" s="30">
        <f>VLOOKUP(I75,PriceData!$A$5:$D$7,MATCH($E75,PriceData!$A$4:$D$4,0),FALSE)</f>
        <v>5.0000000000000001E-3</v>
      </c>
      <c r="L75" s="2">
        <f t="shared" si="161"/>
        <v>667.7534821882723</v>
      </c>
      <c r="M75" s="2">
        <f t="shared" si="162"/>
        <v>-10016.302232824084</v>
      </c>
      <c r="N75" s="4" t="s">
        <v>110</v>
      </c>
      <c r="P75" s="60">
        <f t="shared" si="163"/>
        <v>-3164.0295072936733</v>
      </c>
      <c r="Q75" s="60">
        <f t="shared" si="164"/>
        <v>6386.7291114580748</v>
      </c>
      <c r="R75" s="58">
        <f t="shared" si="165"/>
        <v>23.490799399988845</v>
      </c>
      <c r="S75" s="58">
        <f t="shared" si="166"/>
        <v>529.49939843623292</v>
      </c>
      <c r="T75" s="58">
        <f t="shared" si="167"/>
        <v>-3.109424299922761</v>
      </c>
      <c r="U75" s="2">
        <f t="shared" si="168"/>
        <v>-16.691876584318617</v>
      </c>
      <c r="V75" s="65">
        <f t="shared" si="169"/>
        <v>47460.442609405101</v>
      </c>
      <c r="W75" s="65">
        <f t="shared" si="170"/>
        <v>-95800.936671871124</v>
      </c>
      <c r="X75" s="78">
        <f t="shared" si="171"/>
        <v>-352.36199099983264</v>
      </c>
      <c r="Y75" s="78">
        <f t="shared" si="172"/>
        <v>-7942.4909765434941</v>
      </c>
      <c r="Z75" s="78">
        <f t="shared" si="173"/>
        <v>46.641364498841412</v>
      </c>
      <c r="AA75" s="78">
        <f t="shared" si="174"/>
        <v>250.37814876477927</v>
      </c>
      <c r="AB75" s="78">
        <f t="shared" si="175"/>
        <v>-13924.4868377524</v>
      </c>
      <c r="AC75" s="78">
        <f t="shared" si="176"/>
        <v>-5786.8365037360782</v>
      </c>
      <c r="AD75" s="78">
        <f t="shared" si="177"/>
        <v>-2623.1713453622751</v>
      </c>
      <c r="AE75" s="78">
        <f t="shared" si="178"/>
        <v>-988.2186977477204</v>
      </c>
      <c r="AF75" s="78">
        <f t="shared" si="179"/>
        <v>911.58510948951744</v>
      </c>
      <c r="AG75" s="78">
        <f t="shared" si="180"/>
        <v>2144.4503617153941</v>
      </c>
      <c r="AH75" s="78">
        <f t="shared" si="181"/>
        <v>3875.5799857804209</v>
      </c>
      <c r="AI75" s="78">
        <f t="shared" si="182"/>
        <v>6349.9169693530976</v>
      </c>
      <c r="AJ75" s="78">
        <f t="shared" si="183"/>
        <v>3469.0514513249718</v>
      </c>
      <c r="AK75" s="78">
        <f t="shared" si="184"/>
        <v>1750.2489887412412</v>
      </c>
      <c r="AL75" s="78">
        <f t="shared" si="185"/>
        <v>703.03799430699883</v>
      </c>
      <c r="AM75" s="78">
        <f t="shared" si="186"/>
        <v>351.95294593580002</v>
      </c>
      <c r="AN75" s="78">
        <f t="shared" si="187"/>
        <v>-352.74769169706133</v>
      </c>
      <c r="AO75" s="78">
        <f t="shared" si="188"/>
        <v>-706.22294900569159</v>
      </c>
      <c r="AP75" s="78">
        <f t="shared" si="189"/>
        <v>-1770.4193200769214</v>
      </c>
      <c r="AQ75" s="78">
        <f t="shared" si="190"/>
        <v>-3553.6952799423057</v>
      </c>
      <c r="AR75" s="60">
        <f t="shared" si="191"/>
        <v>-12444.63426982811</v>
      </c>
      <c r="AS75" s="60">
        <f t="shared" si="192"/>
        <v>-13327.574241906539</v>
      </c>
      <c r="AT75" s="60">
        <f t="shared" si="193"/>
        <v>-13924.4868377524</v>
      </c>
      <c r="AU75" s="60">
        <f t="shared" si="194"/>
        <v>-14526.934309168344</v>
      </c>
      <c r="AV75" s="60">
        <f t="shared" si="195"/>
        <v>-15439.31857983517</v>
      </c>
      <c r="AW75" s="60">
        <f t="shared" si="196"/>
        <v>-16978.156934437371</v>
      </c>
      <c r="AX75" s="60">
        <f t="shared" si="197"/>
        <v>-20099.939866622088</v>
      </c>
      <c r="AY75" s="60">
        <f t="shared" si="198"/>
        <v>-4016.5196912521947</v>
      </c>
      <c r="AZ75" s="60">
        <f t="shared" si="199"/>
        <v>-5079.1240094196401</v>
      </c>
      <c r="BA75" s="60">
        <f t="shared" si="200"/>
        <v>-5786.8365037360782</v>
      </c>
      <c r="BB75" s="60">
        <f t="shared" si="201"/>
        <v>-6493.951325645814</v>
      </c>
      <c r="BC75" s="60">
        <f t="shared" si="202"/>
        <v>-7553.4220723711842</v>
      </c>
      <c r="BD75" s="60">
        <f t="shared" si="203"/>
        <v>-9315.7087777084325</v>
      </c>
      <c r="BE75" s="60">
        <f t="shared" si="204"/>
        <v>-12825.289449560601</v>
      </c>
      <c r="BF75" s="60">
        <f t="shared" si="205"/>
        <v>-827.16816734266104</v>
      </c>
      <c r="BG75" s="60">
        <f t="shared" si="206"/>
        <v>-1904.5135977764767</v>
      </c>
      <c r="BH75" s="60">
        <f t="shared" si="207"/>
        <v>-2623.1713453622751</v>
      </c>
      <c r="BI75" s="60">
        <f t="shared" si="208"/>
        <v>-3341.9816828993635</v>
      </c>
      <c r="BJ75" s="60">
        <f t="shared" si="209"/>
        <v>-4420.1886854096556</v>
      </c>
      <c r="BK75" s="60">
        <f t="shared" si="210"/>
        <v>-6216.2535313008448</v>
      </c>
      <c r="BL75" s="60">
        <f t="shared" si="211"/>
        <v>-9800.0473204504378</v>
      </c>
      <c r="BM75" s="60">
        <f t="shared" si="212"/>
        <v>1750.2489887412412</v>
      </c>
      <c r="BN75" s="60">
        <f t="shared" si="213"/>
        <v>703.03799430699883</v>
      </c>
      <c r="BO75" s="60">
        <f t="shared" si="214"/>
        <v>0</v>
      </c>
      <c r="BP75" s="60">
        <f t="shared" si="215"/>
        <v>-706.22294900569159</v>
      </c>
      <c r="BQ75" s="60">
        <f t="shared" si="216"/>
        <v>-1770.4193200769214</v>
      </c>
      <c r="BR75" s="60">
        <f t="shared" si="217"/>
        <v>-3553.6952799423057</v>
      </c>
      <c r="BS75" s="60">
        <f t="shared" si="218"/>
        <v>-7140.2117665100723</v>
      </c>
      <c r="BT75" s="60">
        <f t="shared" si="219"/>
        <v>3792.4715319602342</v>
      </c>
      <c r="BU75" s="60">
        <f t="shared" si="220"/>
        <v>2810.5916912554494</v>
      </c>
      <c r="BV75" s="60">
        <f t="shared" si="221"/>
        <v>2144.4503617153941</v>
      </c>
      <c r="BW75" s="60">
        <f t="shared" si="222"/>
        <v>1470.5349508760924</v>
      </c>
      <c r="BX75" s="60">
        <f t="shared" si="223"/>
        <v>447.33162459714549</v>
      </c>
      <c r="BY75" s="60">
        <f t="shared" si="224"/>
        <v>-1284.0691671635273</v>
      </c>
      <c r="BZ75" s="60">
        <f t="shared" si="225"/>
        <v>-4811.8382214906751</v>
      </c>
      <c r="CA75" s="60">
        <f t="shared" si="226"/>
        <v>5382.2141283115297</v>
      </c>
      <c r="CB75" s="60">
        <f t="shared" si="227"/>
        <v>4489.6667252902625</v>
      </c>
      <c r="CC75" s="60">
        <f t="shared" si="228"/>
        <v>3875.5799857804209</v>
      </c>
      <c r="CD75" s="60">
        <f t="shared" si="229"/>
        <v>3248.4202528985429</v>
      </c>
      <c r="CE75" s="60">
        <f t="shared" si="230"/>
        <v>2286.5543022960742</v>
      </c>
      <c r="CF75" s="60">
        <f t="shared" si="231"/>
        <v>637.56779483833498</v>
      </c>
      <c r="CG75" s="60">
        <f t="shared" si="232"/>
        <v>-2781.2191952892522</v>
      </c>
      <c r="CH75" s="60">
        <f t="shared" si="233"/>
        <v>7520.6595870065403</v>
      </c>
      <c r="CI75" s="60">
        <f t="shared" si="234"/>
        <v>6837.4966081842731</v>
      </c>
      <c r="CJ75" s="60">
        <f t="shared" si="235"/>
        <v>6349.9169693530976</v>
      </c>
      <c r="CK75" s="60">
        <f t="shared" si="236"/>
        <v>5839.4582052551177</v>
      </c>
      <c r="CL75" s="60">
        <f t="shared" si="237"/>
        <v>5035.5899144093655</v>
      </c>
      <c r="CM75" s="60">
        <f t="shared" si="238"/>
        <v>3609.4723845767453</v>
      </c>
      <c r="CN75" s="60">
        <f t="shared" si="239"/>
        <v>514.67358069833608</v>
      </c>
    </row>
    <row r="76" spans="1:92" x14ac:dyDescent="0.35">
      <c r="A76" s="3" t="s">
        <v>116</v>
      </c>
      <c r="B76" s="4">
        <f>VLOOKUP(A76,PriceData!$K$4:$L$6,2,FALSE)</f>
        <v>10022</v>
      </c>
      <c r="C76" s="46">
        <f>VLOOKUP(A76,PriceData!$K$4:$M$6,3,FALSE)</f>
        <v>5.0000000000000001E-3</v>
      </c>
      <c r="D76" s="4" t="s">
        <v>108</v>
      </c>
      <c r="E76" s="4" t="s">
        <v>117</v>
      </c>
      <c r="F76" s="4">
        <v>-20</v>
      </c>
      <c r="G76">
        <v>11225</v>
      </c>
      <c r="H76" s="4" t="s">
        <v>111</v>
      </c>
      <c r="I76" s="5">
        <v>40347</v>
      </c>
      <c r="J76" s="46">
        <f t="shared" si="160"/>
        <v>0.32950101005471172</v>
      </c>
      <c r="K76" s="30">
        <f>VLOOKUP(I76,PriceData!$A$5:$D$7,MATCH($E76,PriceData!$A$4:$D$4,0),FALSE)</f>
        <v>5.0000000000000001E-3</v>
      </c>
      <c r="L76" s="2">
        <f t="shared" si="161"/>
        <v>438.99639307709685</v>
      </c>
      <c r="M76" s="2">
        <f t="shared" si="162"/>
        <v>-8779.9278615419371</v>
      </c>
      <c r="N76" s="4" t="s">
        <v>107</v>
      </c>
      <c r="P76" s="60">
        <f t="shared" si="163"/>
        <v>3399.8507265051057</v>
      </c>
      <c r="Q76" s="60">
        <f t="shared" si="164"/>
        <v>8424.1630525351666</v>
      </c>
      <c r="R76" s="58">
        <f t="shared" si="165"/>
        <v>24.183422866491583</v>
      </c>
      <c r="S76" s="58">
        <f t="shared" si="166"/>
        <v>1907.420276560372</v>
      </c>
      <c r="T76" s="58">
        <f t="shared" si="167"/>
        <v>-2.4997920932606426</v>
      </c>
      <c r="U76" s="2">
        <f t="shared" si="168"/>
        <v>12.897968192193247</v>
      </c>
      <c r="V76" s="65">
        <f t="shared" si="169"/>
        <v>-67997.014530102111</v>
      </c>
      <c r="W76" s="65">
        <f t="shared" si="170"/>
        <v>-168483.26105070332</v>
      </c>
      <c r="X76" s="78">
        <f t="shared" si="171"/>
        <v>-483.66845732983165</v>
      </c>
      <c r="Y76" s="78">
        <f t="shared" si="172"/>
        <v>-38148.405531207442</v>
      </c>
      <c r="Z76" s="78">
        <f t="shared" si="173"/>
        <v>49.995841865212853</v>
      </c>
      <c r="AA76" s="78">
        <f t="shared" si="174"/>
        <v>-257.95936384386494</v>
      </c>
      <c r="AB76" s="78">
        <f t="shared" si="175"/>
        <v>7702.2948436273646</v>
      </c>
      <c r="AC76" s="78">
        <f t="shared" si="176"/>
        <v>5194.5705720452906</v>
      </c>
      <c r="AD76" s="78">
        <f t="shared" si="177"/>
        <v>2986.7978810937348</v>
      </c>
      <c r="AE76" s="78">
        <f t="shared" si="178"/>
        <v>1292.9976657257703</v>
      </c>
      <c r="AF76" s="78">
        <f t="shared" si="179"/>
        <v>-1427.6889431714608</v>
      </c>
      <c r="AG76" s="78">
        <f t="shared" si="180"/>
        <v>-3825.5067956802395</v>
      </c>
      <c r="AH76" s="78">
        <f t="shared" si="181"/>
        <v>-8505.8477189728819</v>
      </c>
      <c r="AI76" s="78">
        <f t="shared" si="182"/>
        <v>-20303.227693110719</v>
      </c>
      <c r="AJ76" s="78">
        <f t="shared" si="183"/>
        <v>4569.6895961498012</v>
      </c>
      <c r="AK76" s="78">
        <f t="shared" si="184"/>
        <v>2362.5453475026643</v>
      </c>
      <c r="AL76" s="78">
        <f t="shared" si="185"/>
        <v>959.23113133462721</v>
      </c>
      <c r="AM76" s="78">
        <f t="shared" si="186"/>
        <v>481.70312945898331</v>
      </c>
      <c r="AN76" s="78">
        <f t="shared" si="187"/>
        <v>-485.52093879759923</v>
      </c>
      <c r="AO76" s="78">
        <f t="shared" si="188"/>
        <v>-974.5380846376429</v>
      </c>
      <c r="AP76" s="78">
        <f t="shared" si="189"/>
        <v>-2459.8004177877192</v>
      </c>
      <c r="AQ76" s="78">
        <f t="shared" si="190"/>
        <v>-4982.8119152769978</v>
      </c>
      <c r="AR76" s="60">
        <f t="shared" si="191"/>
        <v>8312.3667243301352</v>
      </c>
      <c r="AS76" s="60">
        <f t="shared" si="192"/>
        <v>7979.7801051177621</v>
      </c>
      <c r="AT76" s="60">
        <f t="shared" si="193"/>
        <v>7702.2948436273646</v>
      </c>
      <c r="AU76" s="60">
        <f t="shared" si="194"/>
        <v>7381.5684042538596</v>
      </c>
      <c r="AV76" s="60">
        <f t="shared" si="195"/>
        <v>6823.6968796671454</v>
      </c>
      <c r="AW76" s="60">
        <f t="shared" si="196"/>
        <v>5709.0318933834078</v>
      </c>
      <c r="AX76" s="60">
        <f t="shared" si="197"/>
        <v>2922.9426482399822</v>
      </c>
      <c r="AY76" s="60">
        <f t="shared" si="198"/>
        <v>6645.8762460304615</v>
      </c>
      <c r="AZ76" s="60">
        <f t="shared" si="199"/>
        <v>5808.4691364161472</v>
      </c>
      <c r="BA76" s="60">
        <f t="shared" si="200"/>
        <v>5194.5705720452906</v>
      </c>
      <c r="BB76" s="60">
        <f t="shared" si="201"/>
        <v>4542.1579062380806</v>
      </c>
      <c r="BC76" s="60">
        <f t="shared" si="202"/>
        <v>3501.028992060742</v>
      </c>
      <c r="BD76" s="60">
        <f t="shared" si="203"/>
        <v>1629.7034715848667</v>
      </c>
      <c r="BE76" s="60">
        <f t="shared" si="204"/>
        <v>-2473.1848045811421</v>
      </c>
      <c r="BF76" s="60">
        <f t="shared" si="205"/>
        <v>4915.3261614853227</v>
      </c>
      <c r="BG76" s="60">
        <f t="shared" si="206"/>
        <v>3783.1418961433383</v>
      </c>
      <c r="BH76" s="60">
        <f t="shared" si="207"/>
        <v>2986.7978810937348</v>
      </c>
      <c r="BI76" s="60">
        <f t="shared" si="208"/>
        <v>2162.7590975050953</v>
      </c>
      <c r="BJ76" s="60">
        <f t="shared" si="209"/>
        <v>883.10992772431746</v>
      </c>
      <c r="BK76" s="60">
        <f t="shared" si="210"/>
        <v>-1341.218242967816</v>
      </c>
      <c r="BL76" s="60">
        <f t="shared" si="211"/>
        <v>-6020.1472826161444</v>
      </c>
      <c r="BM76" s="60">
        <f t="shared" si="212"/>
        <v>2362.5453475026643</v>
      </c>
      <c r="BN76" s="60">
        <f t="shared" si="213"/>
        <v>959.23113133462721</v>
      </c>
      <c r="BO76" s="60">
        <f t="shared" si="214"/>
        <v>0</v>
      </c>
      <c r="BP76" s="60">
        <f t="shared" si="215"/>
        <v>-974.5380846376429</v>
      </c>
      <c r="BQ76" s="60">
        <f t="shared" si="216"/>
        <v>-2459.8004177877192</v>
      </c>
      <c r="BR76" s="60">
        <f t="shared" si="217"/>
        <v>-4982.8119152769978</v>
      </c>
      <c r="BS76" s="60">
        <f t="shared" si="218"/>
        <v>-10141.047913416241</v>
      </c>
      <c r="BT76" s="60">
        <f t="shared" si="219"/>
        <v>-1128.2598116755707</v>
      </c>
      <c r="BU76" s="60">
        <f t="shared" si="220"/>
        <v>-2741.7118871186176</v>
      </c>
      <c r="BV76" s="60">
        <f t="shared" si="221"/>
        <v>-3825.5067956802395</v>
      </c>
      <c r="BW76" s="60">
        <f t="shared" si="222"/>
        <v>-4914.3559017409734</v>
      </c>
      <c r="BX76" s="60">
        <f t="shared" si="223"/>
        <v>-6555.0198598386032</v>
      </c>
      <c r="BY76" s="60">
        <f t="shared" si="224"/>
        <v>-9303.2717381229304</v>
      </c>
      <c r="BZ76" s="60">
        <f t="shared" si="225"/>
        <v>-14825.518456954051</v>
      </c>
      <c r="CA76" s="60">
        <f t="shared" si="226"/>
        <v>-5609.6926803209408</v>
      </c>
      <c r="CB76" s="60">
        <f t="shared" si="227"/>
        <v>-7347.509114366394</v>
      </c>
      <c r="CC76" s="60">
        <f t="shared" si="228"/>
        <v>-8505.8477189728819</v>
      </c>
      <c r="CD76" s="60">
        <f t="shared" si="229"/>
        <v>-9663.8412182757111</v>
      </c>
      <c r="CE76" s="60">
        <f t="shared" si="230"/>
        <v>-11399.906327139388</v>
      </c>
      <c r="CF76" s="60">
        <f t="shared" si="231"/>
        <v>-14290.002585885914</v>
      </c>
      <c r="CG76" s="60">
        <f t="shared" si="232"/>
        <v>-20052.918013979914</v>
      </c>
      <c r="CH76" s="60">
        <f t="shared" si="233"/>
        <v>-17440.730418400592</v>
      </c>
      <c r="CI76" s="60">
        <f t="shared" si="234"/>
        <v>-19152.22125530542</v>
      </c>
      <c r="CJ76" s="60">
        <f t="shared" si="235"/>
        <v>-20303.227693110719</v>
      </c>
      <c r="CK76" s="60">
        <f t="shared" si="236"/>
        <v>-21460.475170383586</v>
      </c>
      <c r="CL76" s="60">
        <f t="shared" si="237"/>
        <v>-23205.543962074378</v>
      </c>
      <c r="CM76" s="60">
        <f t="shared" si="238"/>
        <v>-26131.446627903453</v>
      </c>
      <c r="CN76" s="60">
        <f t="shared" si="239"/>
        <v>-32017.5382320102</v>
      </c>
    </row>
    <row r="77" spans="1:92" x14ac:dyDescent="0.35">
      <c r="A77" s="3" t="s">
        <v>116</v>
      </c>
      <c r="B77" s="4">
        <f>VLOOKUP(A77,PriceData!$K$4:$L$6,2,FALSE)</f>
        <v>10022</v>
      </c>
      <c r="C77" s="46">
        <f>VLOOKUP(A77,PriceData!$K$4:$M$6,3,FALSE)</f>
        <v>5.0000000000000001E-3</v>
      </c>
      <c r="D77" s="4" t="s">
        <v>108</v>
      </c>
      <c r="E77" s="4" t="s">
        <v>117</v>
      </c>
      <c r="F77" s="4">
        <v>-10</v>
      </c>
      <c r="G77">
        <v>11225</v>
      </c>
      <c r="H77" s="4" t="s">
        <v>109</v>
      </c>
      <c r="I77" s="5">
        <v>40347</v>
      </c>
      <c r="J77" s="46">
        <f t="shared" si="160"/>
        <v>0.32950101005471172</v>
      </c>
      <c r="K77" s="30">
        <f>VLOOKUP(I77,PriceData!$A$5:$D$7,MATCH($E77,PriceData!$A$4:$D$4,0),FALSE)</f>
        <v>5.0000000000000001E-3</v>
      </c>
      <c r="L77" s="2">
        <f t="shared" si="161"/>
        <v>1639.3790116710452</v>
      </c>
      <c r="M77" s="2">
        <f t="shared" si="162"/>
        <v>-16393.79011671045</v>
      </c>
      <c r="N77" s="4" t="s">
        <v>115</v>
      </c>
      <c r="P77" s="60">
        <f t="shared" si="163"/>
        <v>-6600.3442889134849</v>
      </c>
      <c r="Q77" s="60">
        <f t="shared" si="164"/>
        <v>8424.1630525351666</v>
      </c>
      <c r="R77" s="58">
        <f t="shared" si="165"/>
        <v>24.183422866491583</v>
      </c>
      <c r="S77" s="58">
        <f t="shared" si="166"/>
        <v>1907.420276560372</v>
      </c>
      <c r="T77" s="58">
        <f t="shared" si="167"/>
        <v>-2.4833484957456569</v>
      </c>
      <c r="U77" s="2">
        <f t="shared" si="168"/>
        <v>-35.893589172409321</v>
      </c>
      <c r="V77" s="65">
        <f t="shared" si="169"/>
        <v>66003.442889134851</v>
      </c>
      <c r="W77" s="65">
        <f t="shared" si="170"/>
        <v>-84241.630525351662</v>
      </c>
      <c r="X77" s="78">
        <f t="shared" si="171"/>
        <v>-241.83422866491583</v>
      </c>
      <c r="Y77" s="78">
        <f t="shared" si="172"/>
        <v>-19074.202765603721</v>
      </c>
      <c r="Z77" s="78">
        <f t="shared" si="173"/>
        <v>24.833484957456569</v>
      </c>
      <c r="AA77" s="78">
        <f t="shared" si="174"/>
        <v>358.93589172409321</v>
      </c>
      <c r="AB77" s="78">
        <f t="shared" si="175"/>
        <v>-16149.242609023495</v>
      </c>
      <c r="AC77" s="78">
        <f t="shared" si="176"/>
        <v>-7402.9097293959239</v>
      </c>
      <c r="AD77" s="78">
        <f t="shared" si="177"/>
        <v>-3506.6985671624388</v>
      </c>
      <c r="AE77" s="78">
        <f t="shared" si="178"/>
        <v>-1353.5401702208492</v>
      </c>
      <c r="AF77" s="78">
        <f t="shared" si="179"/>
        <v>1286.1945314979766</v>
      </c>
      <c r="AG77" s="78">
        <f t="shared" si="180"/>
        <v>3087.3441098691637</v>
      </c>
      <c r="AH77" s="78">
        <f t="shared" si="181"/>
        <v>5747.2711559321397</v>
      </c>
      <c r="AI77" s="78">
        <f t="shared" si="182"/>
        <v>9848.7761842818109</v>
      </c>
      <c r="AJ77" s="78">
        <f t="shared" si="183"/>
        <v>2284.8447980748824</v>
      </c>
      <c r="AK77" s="78">
        <f t="shared" si="184"/>
        <v>1181.2726737513185</v>
      </c>
      <c r="AL77" s="78">
        <f t="shared" si="185"/>
        <v>479.61556566731815</v>
      </c>
      <c r="AM77" s="78">
        <f t="shared" si="186"/>
        <v>240.85156472947347</v>
      </c>
      <c r="AN77" s="78">
        <f t="shared" si="187"/>
        <v>-242.7604693988178</v>
      </c>
      <c r="AO77" s="78">
        <f t="shared" si="188"/>
        <v>-487.26904231883054</v>
      </c>
      <c r="AP77" s="78">
        <f t="shared" si="189"/>
        <v>-1229.9002088938596</v>
      </c>
      <c r="AQ77" s="78">
        <f t="shared" si="190"/>
        <v>-2491.405957638508</v>
      </c>
      <c r="AR77" s="60">
        <f t="shared" si="191"/>
        <v>-15844.206668672114</v>
      </c>
      <c r="AS77" s="60">
        <f t="shared" si="192"/>
        <v>-16010.499978278303</v>
      </c>
      <c r="AT77" s="60">
        <f t="shared" si="193"/>
        <v>-16149.242609023495</v>
      </c>
      <c r="AU77" s="60">
        <f t="shared" si="194"/>
        <v>-16309.605828710246</v>
      </c>
      <c r="AV77" s="60">
        <f t="shared" si="195"/>
        <v>-16588.541591003595</v>
      </c>
      <c r="AW77" s="60">
        <f t="shared" si="196"/>
        <v>-17145.874084145489</v>
      </c>
      <c r="AX77" s="60">
        <f t="shared" si="197"/>
        <v>-18538.918706717177</v>
      </c>
      <c r="AY77" s="60">
        <f t="shared" si="198"/>
        <v>-6677.2568924033476</v>
      </c>
      <c r="AZ77" s="60">
        <f t="shared" si="199"/>
        <v>-7095.9604472105002</v>
      </c>
      <c r="BA77" s="60">
        <f t="shared" si="200"/>
        <v>-7402.9097293959239</v>
      </c>
      <c r="BB77" s="60">
        <f t="shared" si="201"/>
        <v>-7729.1160622995358</v>
      </c>
      <c r="BC77" s="60">
        <f t="shared" si="202"/>
        <v>-8249.6805193881937</v>
      </c>
      <c r="BD77" s="60">
        <f t="shared" si="203"/>
        <v>-9185.3432796261313</v>
      </c>
      <c r="BE77" s="60">
        <f t="shared" si="204"/>
        <v>-11236.787417709156</v>
      </c>
      <c r="BF77" s="60">
        <f t="shared" si="205"/>
        <v>-2542.4344269666381</v>
      </c>
      <c r="BG77" s="60">
        <f t="shared" si="206"/>
        <v>-3108.5265596376485</v>
      </c>
      <c r="BH77" s="60">
        <f t="shared" si="207"/>
        <v>-3506.6985671624388</v>
      </c>
      <c r="BI77" s="60">
        <f t="shared" si="208"/>
        <v>-3918.7179589567495</v>
      </c>
      <c r="BJ77" s="60">
        <f t="shared" si="209"/>
        <v>-4558.5425438471611</v>
      </c>
      <c r="BK77" s="60">
        <f t="shared" si="210"/>
        <v>-5670.7066291932188</v>
      </c>
      <c r="BL77" s="60">
        <f t="shared" si="211"/>
        <v>-8010.1711490173784</v>
      </c>
      <c r="BM77" s="60">
        <f t="shared" si="212"/>
        <v>1181.2726737513185</v>
      </c>
      <c r="BN77" s="60">
        <f t="shared" si="213"/>
        <v>479.61556566731815</v>
      </c>
      <c r="BO77" s="60">
        <f t="shared" si="214"/>
        <v>0</v>
      </c>
      <c r="BP77" s="60">
        <f t="shared" si="215"/>
        <v>-487.26904231883054</v>
      </c>
      <c r="BQ77" s="60">
        <f t="shared" si="216"/>
        <v>-1229.9002088938596</v>
      </c>
      <c r="BR77" s="60">
        <f t="shared" si="217"/>
        <v>-2491.405957638508</v>
      </c>
      <c r="BS77" s="60">
        <f t="shared" si="218"/>
        <v>-5070.5239567081298</v>
      </c>
      <c r="BT77" s="60">
        <f t="shared" si="219"/>
        <v>4435.9676018714981</v>
      </c>
      <c r="BU77" s="60">
        <f t="shared" si="220"/>
        <v>3629.2415641499792</v>
      </c>
      <c r="BV77" s="60">
        <f t="shared" si="221"/>
        <v>3087.3441098691637</v>
      </c>
      <c r="BW77" s="60">
        <f t="shared" si="222"/>
        <v>2542.9195568387968</v>
      </c>
      <c r="BX77" s="60">
        <f t="shared" si="223"/>
        <v>1722.587577789991</v>
      </c>
      <c r="BY77" s="60">
        <f t="shared" si="224"/>
        <v>348.46163864781374</v>
      </c>
      <c r="BZ77" s="60">
        <f t="shared" si="225"/>
        <v>-2412.6617207677464</v>
      </c>
      <c r="CA77" s="60">
        <f t="shared" si="226"/>
        <v>7195.3486752581284</v>
      </c>
      <c r="CB77" s="60">
        <f t="shared" si="227"/>
        <v>6326.4404582353927</v>
      </c>
      <c r="CC77" s="60">
        <f t="shared" si="228"/>
        <v>5747.2711559321397</v>
      </c>
      <c r="CD77" s="60">
        <f t="shared" si="229"/>
        <v>5168.2744062807342</v>
      </c>
      <c r="CE77" s="60">
        <f t="shared" si="230"/>
        <v>4300.2418518489048</v>
      </c>
      <c r="CF77" s="60">
        <f t="shared" si="231"/>
        <v>2855.193722475633</v>
      </c>
      <c r="CG77" s="60">
        <f t="shared" si="232"/>
        <v>-26.263991571368024</v>
      </c>
      <c r="CH77" s="60">
        <f t="shared" si="233"/>
        <v>11280.024821636871</v>
      </c>
      <c r="CI77" s="60">
        <f t="shared" si="234"/>
        <v>10424.279403184455</v>
      </c>
      <c r="CJ77" s="60">
        <f t="shared" si="235"/>
        <v>9848.7761842818109</v>
      </c>
      <c r="CK77" s="60">
        <f t="shared" si="236"/>
        <v>9270.1524456453808</v>
      </c>
      <c r="CL77" s="60">
        <f t="shared" si="237"/>
        <v>8397.6180497999758</v>
      </c>
      <c r="CM77" s="60">
        <f t="shared" si="238"/>
        <v>6934.6667168854492</v>
      </c>
      <c r="CN77" s="60">
        <f t="shared" si="239"/>
        <v>3991.620914832074</v>
      </c>
    </row>
    <row r="78" spans="1:92" x14ac:dyDescent="0.35">
      <c r="A78" s="3" t="s">
        <v>116</v>
      </c>
      <c r="B78" s="4">
        <f>VLOOKUP(A78,PriceData!$K$4:$L$6,2,FALSE)</f>
        <v>10022</v>
      </c>
      <c r="C78" s="46">
        <f>VLOOKUP(A78,PriceData!$K$4:$M$6,3,FALSE)</f>
        <v>5.0000000000000001E-3</v>
      </c>
      <c r="D78" s="4" t="s">
        <v>108</v>
      </c>
      <c r="E78" s="4" t="s">
        <v>117</v>
      </c>
      <c r="F78" s="4">
        <v>-15</v>
      </c>
      <c r="G78">
        <v>10323</v>
      </c>
      <c r="H78" s="4" t="s">
        <v>111</v>
      </c>
      <c r="I78" s="5">
        <v>40347</v>
      </c>
      <c r="J78" s="46">
        <f t="shared" si="160"/>
        <v>0.34753782583952536</v>
      </c>
      <c r="K78" s="30">
        <f>VLOOKUP(I78,PriceData!$A$5:$D$7,MATCH($E78,PriceData!$A$4:$D$4,0),FALSE)</f>
        <v>5.0000000000000001E-3</v>
      </c>
      <c r="L78" s="2">
        <f t="shared" si="161"/>
        <v>784.31358243083378</v>
      </c>
      <c r="M78" s="2">
        <f t="shared" si="162"/>
        <v>-11764.703736462507</v>
      </c>
      <c r="N78" s="4" t="s">
        <v>107</v>
      </c>
      <c r="P78" s="60">
        <f t="shared" si="163"/>
        <v>4942.9768123679669</v>
      </c>
      <c r="Q78" s="60">
        <f t="shared" si="164"/>
        <v>8695.4049438432685</v>
      </c>
      <c r="R78" s="58">
        <f t="shared" si="165"/>
        <v>26.328501836023584</v>
      </c>
      <c r="S78" s="58">
        <f t="shared" si="166"/>
        <v>26.434128603088269</v>
      </c>
      <c r="T78" s="58">
        <f t="shared" si="167"/>
        <v>-2.8666617285441185</v>
      </c>
      <c r="U78" s="2">
        <f t="shared" si="168"/>
        <v>18.115820645479566</v>
      </c>
      <c r="V78" s="65">
        <f t="shared" si="169"/>
        <v>-74144.652185519502</v>
      </c>
      <c r="W78" s="65">
        <f t="shared" si="170"/>
        <v>-130431.07415764903</v>
      </c>
      <c r="X78" s="78">
        <f t="shared" si="171"/>
        <v>-394.92752754035376</v>
      </c>
      <c r="Y78" s="78">
        <f t="shared" si="172"/>
        <v>-396.51192904632404</v>
      </c>
      <c r="Z78" s="78">
        <f t="shared" si="173"/>
        <v>42.99992592816178</v>
      </c>
      <c r="AA78" s="78">
        <f t="shared" si="174"/>
        <v>-271.73730968219348</v>
      </c>
      <c r="AB78" s="78">
        <f t="shared" si="175"/>
        <v>9638.3496118468975</v>
      </c>
      <c r="AC78" s="78">
        <f t="shared" si="176"/>
        <v>6090.123821716661</v>
      </c>
      <c r="AD78" s="78">
        <f t="shared" si="177"/>
        <v>3377.2954995147074</v>
      </c>
      <c r="AE78" s="78">
        <f t="shared" si="178"/>
        <v>1430.4251224767404</v>
      </c>
      <c r="AF78" s="78">
        <f t="shared" si="179"/>
        <v>-1534.7102162929832</v>
      </c>
      <c r="AG78" s="78">
        <f t="shared" si="180"/>
        <v>-4027.1208194458541</v>
      </c>
      <c r="AH78" s="78">
        <f t="shared" si="181"/>
        <v>-8661.7284555519072</v>
      </c>
      <c r="AI78" s="78">
        <f t="shared" si="182"/>
        <v>-19498.409806003801</v>
      </c>
      <c r="AJ78" s="78">
        <f t="shared" si="183"/>
        <v>3942.7649519475494</v>
      </c>
      <c r="AK78" s="78">
        <f t="shared" si="184"/>
        <v>1973.6555042749023</v>
      </c>
      <c r="AL78" s="78">
        <f t="shared" si="185"/>
        <v>789.7469322386587</v>
      </c>
      <c r="AM78" s="78">
        <f t="shared" si="186"/>
        <v>394.90418454955488</v>
      </c>
      <c r="AN78" s="78">
        <f t="shared" si="187"/>
        <v>-394.94399193406935</v>
      </c>
      <c r="AO78" s="78">
        <f t="shared" si="188"/>
        <v>-789.90804217496134</v>
      </c>
      <c r="AP78" s="78">
        <f t="shared" si="189"/>
        <v>-1974.7463427023149</v>
      </c>
      <c r="AQ78" s="78">
        <f t="shared" si="190"/>
        <v>-3948.4283831316998</v>
      </c>
      <c r="AR78" s="60">
        <f t="shared" si="191"/>
        <v>10517.332318098903</v>
      </c>
      <c r="AS78" s="60">
        <f t="shared" si="192"/>
        <v>10012.67941932806</v>
      </c>
      <c r="AT78" s="60">
        <f t="shared" si="193"/>
        <v>9638.3496118468975</v>
      </c>
      <c r="AU78" s="60">
        <f t="shared" si="194"/>
        <v>9237.1714458542629</v>
      </c>
      <c r="AV78" s="60">
        <f t="shared" si="195"/>
        <v>8590.9548256453545</v>
      </c>
      <c r="AW78" s="60">
        <f t="shared" si="196"/>
        <v>7414.7773370244058</v>
      </c>
      <c r="AX78" s="60">
        <f t="shared" si="197"/>
        <v>4790.7931497422451</v>
      </c>
      <c r="AY78" s="60">
        <f t="shared" si="198"/>
        <v>7634.9767724378262</v>
      </c>
      <c r="AZ78" s="60">
        <f t="shared" si="199"/>
        <v>6719.1937349027376</v>
      </c>
      <c r="BA78" s="60">
        <f t="shared" si="200"/>
        <v>6090.123821716661</v>
      </c>
      <c r="BB78" s="60">
        <f t="shared" si="201"/>
        <v>5448.8442181584514</v>
      </c>
      <c r="BC78" s="60">
        <f t="shared" si="202"/>
        <v>4467.9054055405031</v>
      </c>
      <c r="BD78" s="60">
        <f t="shared" si="203"/>
        <v>2793.5930619645501</v>
      </c>
      <c r="BE78" s="60">
        <f t="shared" si="204"/>
        <v>-651.51150941905371</v>
      </c>
      <c r="BF78" s="60">
        <f t="shared" si="205"/>
        <v>5183.7361583339971</v>
      </c>
      <c r="BG78" s="60">
        <f t="shared" si="206"/>
        <v>4104.2972217125243</v>
      </c>
      <c r="BH78" s="60">
        <f t="shared" si="207"/>
        <v>3377.2954995147074</v>
      </c>
      <c r="BI78" s="60">
        <f t="shared" si="208"/>
        <v>2645.6100349524718</v>
      </c>
      <c r="BJ78" s="60">
        <f t="shared" si="209"/>
        <v>1541.0517323647559</v>
      </c>
      <c r="BK78" s="60">
        <f t="shared" si="210"/>
        <v>-313.60213272254896</v>
      </c>
      <c r="BL78" s="60">
        <f t="shared" si="211"/>
        <v>-4051.8473739745127</v>
      </c>
      <c r="BM78" s="60">
        <f t="shared" si="212"/>
        <v>1973.6555042749023</v>
      </c>
      <c r="BN78" s="60">
        <f t="shared" si="213"/>
        <v>789.7469322386587</v>
      </c>
      <c r="BO78" s="60">
        <f t="shared" si="214"/>
        <v>0</v>
      </c>
      <c r="BP78" s="60">
        <f t="shared" si="215"/>
        <v>-789.90804217496134</v>
      </c>
      <c r="BQ78" s="60">
        <f t="shared" si="216"/>
        <v>-1974.7463427023149</v>
      </c>
      <c r="BR78" s="60">
        <f t="shared" si="217"/>
        <v>-3948.4283831316998</v>
      </c>
      <c r="BS78" s="60">
        <f t="shared" si="218"/>
        <v>-7886.9471963252563</v>
      </c>
      <c r="BT78" s="60">
        <f t="shared" si="219"/>
        <v>-1993.310314616424</v>
      </c>
      <c r="BU78" s="60">
        <f t="shared" si="220"/>
        <v>-3213.7226144590159</v>
      </c>
      <c r="BV78" s="60">
        <f t="shared" si="221"/>
        <v>-4027.1208194458541</v>
      </c>
      <c r="BW78" s="60">
        <f t="shared" si="222"/>
        <v>-4840.2323619121807</v>
      </c>
      <c r="BX78" s="60">
        <f t="shared" si="223"/>
        <v>-6059.1764458639955</v>
      </c>
      <c r="BY78" s="60">
        <f t="shared" si="224"/>
        <v>-8088.2260339203503</v>
      </c>
      <c r="BZ78" s="60">
        <f t="shared" si="225"/>
        <v>-12133.605590786578</v>
      </c>
      <c r="CA78" s="60">
        <f t="shared" si="226"/>
        <v>-6669.3486954161654</v>
      </c>
      <c r="CB78" s="60">
        <f t="shared" si="227"/>
        <v>-7861.6984369220881</v>
      </c>
      <c r="CC78" s="60">
        <f t="shared" si="228"/>
        <v>-8661.7284555519072</v>
      </c>
      <c r="CD78" s="60">
        <f t="shared" si="229"/>
        <v>-9464.95076164495</v>
      </c>
      <c r="CE78" s="60">
        <f t="shared" si="230"/>
        <v>-10674.457944061611</v>
      </c>
      <c r="CF78" s="60">
        <f t="shared" si="231"/>
        <v>-12698.998447025488</v>
      </c>
      <c r="CG78" s="60">
        <f t="shared" si="232"/>
        <v>-16763.662987637344</v>
      </c>
      <c r="CH78" s="60">
        <f t="shared" si="233"/>
        <v>-17812.839283970723</v>
      </c>
      <c r="CI78" s="60">
        <f t="shared" si="234"/>
        <v>-18808.523448756965</v>
      </c>
      <c r="CJ78" s="60">
        <f t="shared" si="235"/>
        <v>-19498.409806003801</v>
      </c>
      <c r="CK78" s="60">
        <f t="shared" si="236"/>
        <v>-20205.641796428008</v>
      </c>
      <c r="CL78" s="60">
        <f t="shared" si="237"/>
        <v>-21293.740984805663</v>
      </c>
      <c r="CM78" s="60">
        <f t="shared" si="238"/>
        <v>-23164.357751232717</v>
      </c>
      <c r="CN78" s="60">
        <f t="shared" si="239"/>
        <v>-27048.363475075952</v>
      </c>
    </row>
    <row r="79" spans="1:92" x14ac:dyDescent="0.35">
      <c r="A79" s="3" t="s">
        <v>116</v>
      </c>
      <c r="B79" s="4">
        <f>VLOOKUP(A79,PriceData!$K$4:$L$6,2,FALSE)</f>
        <v>10022</v>
      </c>
      <c r="C79" s="46">
        <f>VLOOKUP(A79,PriceData!$K$4:$M$6,3,FALSE)</f>
        <v>5.0000000000000001E-3</v>
      </c>
      <c r="D79" s="4" t="s">
        <v>108</v>
      </c>
      <c r="E79" s="4" t="s">
        <v>117</v>
      </c>
      <c r="F79" s="4">
        <v>-20</v>
      </c>
      <c r="G79">
        <v>10022</v>
      </c>
      <c r="H79" s="4" t="s">
        <v>109</v>
      </c>
      <c r="I79" s="5">
        <v>40347</v>
      </c>
      <c r="J79" s="46">
        <f t="shared" si="160"/>
        <v>0.36000000000000004</v>
      </c>
      <c r="K79" s="30">
        <f>VLOOKUP(I79,PriceData!$A$5:$D$7,MATCH($E79,PriceData!$A$4:$D$4,0),FALSE)</f>
        <v>5.0000000000000001E-3</v>
      </c>
      <c r="L79" s="2">
        <f t="shared" si="161"/>
        <v>945.69811475775714</v>
      </c>
      <c r="M79" s="2">
        <f t="shared" si="162"/>
        <v>-18913.962295155143</v>
      </c>
      <c r="N79" s="4" t="s">
        <v>107</v>
      </c>
      <c r="P79" s="60">
        <f t="shared" si="163"/>
        <v>-4527.2484503304167</v>
      </c>
      <c r="Q79" s="60">
        <f t="shared" si="164"/>
        <v>8336.2186768370284</v>
      </c>
      <c r="R79" s="58">
        <f t="shared" si="165"/>
        <v>26.146036003405563</v>
      </c>
      <c r="S79" s="58">
        <f t="shared" si="166"/>
        <v>-102.50678772842016</v>
      </c>
      <c r="T79" s="58">
        <f t="shared" si="167"/>
        <v>-2.9469738354638091</v>
      </c>
      <c r="U79" s="2">
        <f t="shared" si="168"/>
        <v>-23.841054899973141</v>
      </c>
      <c r="V79" s="65">
        <f t="shared" si="169"/>
        <v>90544.969006608328</v>
      </c>
      <c r="W79" s="65">
        <f t="shared" si="170"/>
        <v>-166724.37353674058</v>
      </c>
      <c r="X79" s="78">
        <f t="shared" si="171"/>
        <v>-522.92072006811122</v>
      </c>
      <c r="Y79" s="78">
        <f t="shared" si="172"/>
        <v>2050.1357545684032</v>
      </c>
      <c r="Z79" s="78">
        <f t="shared" si="173"/>
        <v>58.939476709276178</v>
      </c>
      <c r="AA79" s="78">
        <f t="shared" si="174"/>
        <v>476.82109799946284</v>
      </c>
      <c r="AB79" s="78">
        <f t="shared" si="175"/>
        <v>-25040.604278074788</v>
      </c>
      <c r="AC79" s="78">
        <f t="shared" si="176"/>
        <v>-10782.490547385914</v>
      </c>
      <c r="AD79" s="78">
        <f t="shared" si="177"/>
        <v>-4953.1644025207606</v>
      </c>
      <c r="AE79" s="78">
        <f t="shared" si="178"/>
        <v>-1878.2239264558848</v>
      </c>
      <c r="AF79" s="78">
        <f t="shared" si="179"/>
        <v>1744.9065013830841</v>
      </c>
      <c r="AG79" s="78">
        <f t="shared" si="180"/>
        <v>4121.9661680898207</v>
      </c>
      <c r="AH79" s="78">
        <f t="shared" si="181"/>
        <v>7486.7074481674808</v>
      </c>
      <c r="AI79" s="78">
        <f t="shared" si="182"/>
        <v>12315.01981279609</v>
      </c>
      <c r="AJ79" s="78">
        <f t="shared" si="183"/>
        <v>5238.5195120639401</v>
      </c>
      <c r="AK79" s="78">
        <f t="shared" si="184"/>
        <v>2617.049133538676</v>
      </c>
      <c r="AL79" s="78">
        <f t="shared" si="185"/>
        <v>1046.2439769643606</v>
      </c>
      <c r="AM79" s="78">
        <f t="shared" si="186"/>
        <v>523.02229083874408</v>
      </c>
      <c r="AN79" s="78">
        <f t="shared" si="187"/>
        <v>-522.81727781883092</v>
      </c>
      <c r="AO79" s="78">
        <f t="shared" si="188"/>
        <v>-1045.423931551195</v>
      </c>
      <c r="AP79" s="78">
        <f t="shared" si="189"/>
        <v>-2611.9241413519558</v>
      </c>
      <c r="AQ79" s="78">
        <f t="shared" si="190"/>
        <v>-5218.023708960045</v>
      </c>
      <c r="AR79" s="60">
        <f t="shared" si="191"/>
        <v>-23636.624410605509</v>
      </c>
      <c r="AS79" s="60">
        <f t="shared" si="192"/>
        <v>-24453.868797455689</v>
      </c>
      <c r="AT79" s="60">
        <f t="shared" si="193"/>
        <v>-25040.604278074788</v>
      </c>
      <c r="AU79" s="60">
        <f t="shared" si="194"/>
        <v>-25656.395099344882</v>
      </c>
      <c r="AV79" s="60">
        <f t="shared" si="195"/>
        <v>-26627.388022776449</v>
      </c>
      <c r="AW79" s="60">
        <f t="shared" si="196"/>
        <v>-28349.302797271066</v>
      </c>
      <c r="AX79" s="60">
        <f t="shared" si="197"/>
        <v>-32070.147226111003</v>
      </c>
      <c r="AY79" s="60">
        <f t="shared" si="198"/>
        <v>-8567.5197830710749</v>
      </c>
      <c r="AZ79" s="60">
        <f t="shared" si="199"/>
        <v>-9888.0581711267405</v>
      </c>
      <c r="BA79" s="60">
        <f t="shared" si="200"/>
        <v>-10782.490547385914</v>
      </c>
      <c r="BB79" s="60">
        <f t="shared" si="201"/>
        <v>-11686.067452615243</v>
      </c>
      <c r="BC79" s="60">
        <f t="shared" si="202"/>
        <v>-13055.487736249306</v>
      </c>
      <c r="BD79" s="60">
        <f t="shared" si="203"/>
        <v>-15366.35517735438</v>
      </c>
      <c r="BE79" s="60">
        <f t="shared" si="204"/>
        <v>-20054.203661680222</v>
      </c>
      <c r="BF79" s="60">
        <f t="shared" si="205"/>
        <v>-2470.4745963325695</v>
      </c>
      <c r="BG79" s="60">
        <f t="shared" si="206"/>
        <v>-3958.2633330829049</v>
      </c>
      <c r="BH79" s="60">
        <f t="shared" si="207"/>
        <v>-4953.1644025207606</v>
      </c>
      <c r="BI79" s="60">
        <f t="shared" si="208"/>
        <v>-5949.8707416928846</v>
      </c>
      <c r="BJ79" s="60">
        <f t="shared" si="209"/>
        <v>-7447.396768436538</v>
      </c>
      <c r="BK79" s="60">
        <f t="shared" si="210"/>
        <v>-9947.1596754648272</v>
      </c>
      <c r="BL79" s="60">
        <f t="shared" si="211"/>
        <v>-14948.66357890558</v>
      </c>
      <c r="BM79" s="60">
        <f t="shared" si="212"/>
        <v>2617.049133538676</v>
      </c>
      <c r="BN79" s="60">
        <f t="shared" si="213"/>
        <v>1046.2439769643606</v>
      </c>
      <c r="BO79" s="60">
        <f t="shared" si="214"/>
        <v>0</v>
      </c>
      <c r="BP79" s="60">
        <f t="shared" si="215"/>
        <v>-1045.423931551195</v>
      </c>
      <c r="BQ79" s="60">
        <f t="shared" si="216"/>
        <v>-2611.9241413519558</v>
      </c>
      <c r="BR79" s="60">
        <f t="shared" si="217"/>
        <v>-5218.023708960045</v>
      </c>
      <c r="BS79" s="60">
        <f t="shared" si="218"/>
        <v>-10409.974990416049</v>
      </c>
      <c r="BT79" s="60">
        <f t="shared" si="219"/>
        <v>6738.7879572950987</v>
      </c>
      <c r="BU79" s="60">
        <f t="shared" si="220"/>
        <v>5170.3806086487293</v>
      </c>
      <c r="BV79" s="60">
        <f t="shared" si="221"/>
        <v>4121.9661680898207</v>
      </c>
      <c r="BW79" s="60">
        <f t="shared" si="222"/>
        <v>3071.9090412678179</v>
      </c>
      <c r="BX79" s="60">
        <f t="shared" si="223"/>
        <v>1494.6291868226035</v>
      </c>
      <c r="BY79" s="60">
        <f t="shared" si="224"/>
        <v>-1137.4187718476969</v>
      </c>
      <c r="BZ79" s="60">
        <f t="shared" si="225"/>
        <v>-6401.447645930557</v>
      </c>
      <c r="CA79" s="60">
        <f t="shared" si="226"/>
        <v>9986.7360301859389</v>
      </c>
      <c r="CB79" s="60">
        <f t="shared" si="227"/>
        <v>8494.4170688275881</v>
      </c>
      <c r="CC79" s="60">
        <f t="shared" si="228"/>
        <v>7486.7074481674808</v>
      </c>
      <c r="CD79" s="60">
        <f t="shared" si="229"/>
        <v>6470.7192551829394</v>
      </c>
      <c r="CE79" s="60">
        <f t="shared" si="230"/>
        <v>4934.1087077553857</v>
      </c>
      <c r="CF79" s="60">
        <f t="shared" si="231"/>
        <v>2347.8052659147488</v>
      </c>
      <c r="CG79" s="60">
        <f t="shared" si="232"/>
        <v>-2881.5701930246541</v>
      </c>
      <c r="CH79" s="60">
        <f t="shared" si="233"/>
        <v>14352.564112730515</v>
      </c>
      <c r="CI79" s="60">
        <f t="shared" si="234"/>
        <v>13154.225957418239</v>
      </c>
      <c r="CJ79" s="60">
        <f t="shared" si="235"/>
        <v>12315.01981279609</v>
      </c>
      <c r="CK79" s="60">
        <f t="shared" si="236"/>
        <v>11448.51314273802</v>
      </c>
      <c r="CL79" s="60">
        <f t="shared" si="237"/>
        <v>10105.162978168182</v>
      </c>
      <c r="CM79" s="60">
        <f t="shared" si="238"/>
        <v>7773.0034109074768</v>
      </c>
      <c r="CN79" s="60">
        <f t="shared" si="239"/>
        <v>2867.9236716362084</v>
      </c>
    </row>
    <row r="80" spans="1:92" x14ac:dyDescent="0.35">
      <c r="A80" s="3" t="s">
        <v>116</v>
      </c>
      <c r="B80" s="4">
        <f>VLOOKUP(A80,PriceData!$K$4:$L$6,2,FALSE)</f>
        <v>10022</v>
      </c>
      <c r="C80" s="46">
        <f>VLOOKUP(A80,PriceData!$K$4:$M$6,3,FALSE)</f>
        <v>5.0000000000000001E-3</v>
      </c>
      <c r="D80" s="4" t="s">
        <v>108</v>
      </c>
      <c r="E80" s="4" t="s">
        <v>117</v>
      </c>
      <c r="F80" s="4">
        <v>-20</v>
      </c>
      <c r="G80">
        <v>11525</v>
      </c>
      <c r="H80" s="4" t="s">
        <v>111</v>
      </c>
      <c r="I80" s="5">
        <v>40347</v>
      </c>
      <c r="J80" s="46">
        <f t="shared" si="160"/>
        <v>0.32811057320454412</v>
      </c>
      <c r="K80" s="30">
        <f>VLOOKUP(I80,PriceData!$A$5:$D$7,MATCH($E80,PriceData!$A$4:$D$4,0),FALSE)</f>
        <v>5.0000000000000001E-3</v>
      </c>
      <c r="L80" s="2">
        <f t="shared" si="161"/>
        <v>362.50006316623876</v>
      </c>
      <c r="M80" s="2">
        <f t="shared" si="162"/>
        <v>-7250.0012633247752</v>
      </c>
      <c r="N80" s="4" t="s">
        <v>112</v>
      </c>
      <c r="P80" s="60">
        <f t="shared" si="163"/>
        <v>2956.4549297354911</v>
      </c>
      <c r="Q80" s="60">
        <f t="shared" si="164"/>
        <v>7974.4667038571006</v>
      </c>
      <c r="R80" s="58">
        <f t="shared" si="165"/>
        <v>22.795867821988697</v>
      </c>
      <c r="S80" s="58">
        <f t="shared" si="166"/>
        <v>2811.2702220085002</v>
      </c>
      <c r="T80" s="58">
        <f t="shared" si="167"/>
        <v>-2.3470987921778925</v>
      </c>
      <c r="U80" s="2">
        <f t="shared" si="168"/>
        <v>11.299693802315376</v>
      </c>
      <c r="V80" s="65">
        <f t="shared" si="169"/>
        <v>-59129.098594709823</v>
      </c>
      <c r="W80" s="65">
        <f t="shared" si="170"/>
        <v>-159489.334077142</v>
      </c>
      <c r="X80" s="78">
        <f t="shared" si="171"/>
        <v>-455.91735643977393</v>
      </c>
      <c r="Y80" s="78">
        <f t="shared" si="172"/>
        <v>-56225.404440170008</v>
      </c>
      <c r="Z80" s="78">
        <f t="shared" si="173"/>
        <v>46.941975843557849</v>
      </c>
      <c r="AA80" s="78">
        <f t="shared" si="174"/>
        <v>-225.99387604630752</v>
      </c>
      <c r="AB80" s="78">
        <f t="shared" si="175"/>
        <v>6447.5887461481288</v>
      </c>
      <c r="AC80" s="78">
        <f t="shared" si="176"/>
        <v>4422.6108358431293</v>
      </c>
      <c r="AD80" s="78">
        <f t="shared" si="177"/>
        <v>2569.2409316128123</v>
      </c>
      <c r="AE80" s="78">
        <f t="shared" si="178"/>
        <v>1119.4590658547077</v>
      </c>
      <c r="AF80" s="78">
        <f t="shared" si="179"/>
        <v>-1246.9629425838593</v>
      </c>
      <c r="AG80" s="78">
        <f t="shared" si="180"/>
        <v>-3363.2825043471439</v>
      </c>
      <c r="AH80" s="78">
        <f t="shared" si="181"/>
        <v>-7558.8382184998773</v>
      </c>
      <c r="AI80" s="78">
        <f t="shared" si="182"/>
        <v>-18405.098475527666</v>
      </c>
      <c r="AJ80" s="78">
        <f t="shared" si="183"/>
        <v>4176.2334093593381</v>
      </c>
      <c r="AK80" s="78">
        <f t="shared" si="184"/>
        <v>2198.2869778552868</v>
      </c>
      <c r="AL80" s="78">
        <f t="shared" si="185"/>
        <v>899.93830887415243</v>
      </c>
      <c r="AM80" s="78">
        <f t="shared" si="186"/>
        <v>453.02670794784717</v>
      </c>
      <c r="AN80" s="78">
        <f t="shared" si="187"/>
        <v>-458.65304921976531</v>
      </c>
      <c r="AO80" s="78">
        <f t="shared" si="188"/>
        <v>-922.48936920848791</v>
      </c>
      <c r="AP80" s="78">
        <f t="shared" si="189"/>
        <v>-2341.252678896617</v>
      </c>
      <c r="AQ80" s="78">
        <f t="shared" si="190"/>
        <v>-4778.2495585415109</v>
      </c>
      <c r="AR80" s="60">
        <f t="shared" si="191"/>
        <v>6933.0813579000896</v>
      </c>
      <c r="AS80" s="60">
        <f t="shared" si="192"/>
        <v>6673.1973663634599</v>
      </c>
      <c r="AT80" s="60">
        <f t="shared" si="193"/>
        <v>6447.5887461481288</v>
      </c>
      <c r="AU80" s="60">
        <f t="shared" si="194"/>
        <v>6180.0054877241064</v>
      </c>
      <c r="AV80" s="60">
        <f t="shared" si="195"/>
        <v>5702.1084593704036</v>
      </c>
      <c r="AW80" s="60">
        <f t="shared" si="196"/>
        <v>4715.9295036759613</v>
      </c>
      <c r="AX80" s="60">
        <f t="shared" si="197"/>
        <v>2151.4359255616091</v>
      </c>
      <c r="AY80" s="60">
        <f t="shared" si="198"/>
        <v>5677.8002778623504</v>
      </c>
      <c r="AZ80" s="60">
        <f t="shared" si="199"/>
        <v>4961.5305263849632</v>
      </c>
      <c r="BA80" s="60">
        <f t="shared" si="200"/>
        <v>4422.6108358431293</v>
      </c>
      <c r="BB80" s="60">
        <f t="shared" si="201"/>
        <v>3840.2271099575955</v>
      </c>
      <c r="BC80" s="60">
        <f t="shared" si="202"/>
        <v>2894.8714361998964</v>
      </c>
      <c r="BD80" s="60">
        <f t="shared" si="203"/>
        <v>1159.9041429043564</v>
      </c>
      <c r="BE80" s="60">
        <f t="shared" si="204"/>
        <v>-2742.8018682670518</v>
      </c>
      <c r="BF80" s="60">
        <f t="shared" si="205"/>
        <v>4301.2805685745479</v>
      </c>
      <c r="BG80" s="60">
        <f t="shared" si="206"/>
        <v>3292.7629782247095</v>
      </c>
      <c r="BH80" s="60">
        <f t="shared" si="207"/>
        <v>2569.2409316128123</v>
      </c>
      <c r="BI80" s="60">
        <f t="shared" si="208"/>
        <v>1811.0083580317541</v>
      </c>
      <c r="BJ80" s="60">
        <f t="shared" si="209"/>
        <v>618.24766726936105</v>
      </c>
      <c r="BK80" s="60">
        <f t="shared" si="210"/>
        <v>-1488.058350068568</v>
      </c>
      <c r="BL80" s="60">
        <f t="shared" si="211"/>
        <v>-6005.764398968231</v>
      </c>
      <c r="BM80" s="60">
        <f t="shared" si="212"/>
        <v>2198.2869778552868</v>
      </c>
      <c r="BN80" s="60">
        <f t="shared" si="213"/>
        <v>899.93830887415243</v>
      </c>
      <c r="BO80" s="60">
        <f t="shared" si="214"/>
        <v>0</v>
      </c>
      <c r="BP80" s="60">
        <f t="shared" si="215"/>
        <v>-922.48936920848791</v>
      </c>
      <c r="BQ80" s="60">
        <f t="shared" si="216"/>
        <v>-2341.252678896617</v>
      </c>
      <c r="BR80" s="60">
        <f t="shared" si="217"/>
        <v>-4778.2495585415109</v>
      </c>
      <c r="BS80" s="60">
        <f t="shared" si="218"/>
        <v>-9829.4126322491866</v>
      </c>
      <c r="BT80" s="60">
        <f t="shared" si="219"/>
        <v>-768.70177674480146</v>
      </c>
      <c r="BU80" s="60">
        <f t="shared" si="220"/>
        <v>-2315.4469633083681</v>
      </c>
      <c r="BV80" s="60">
        <f t="shared" si="221"/>
        <v>-3363.2825043471439</v>
      </c>
      <c r="BW80" s="60">
        <f t="shared" si="222"/>
        <v>-4421.7275738686567</v>
      </c>
      <c r="BX80" s="60">
        <f t="shared" si="223"/>
        <v>-6025.4087438773968</v>
      </c>
      <c r="BY80" s="60">
        <f t="shared" si="224"/>
        <v>-8729.9461092209003</v>
      </c>
      <c r="BZ80" s="60">
        <f t="shared" si="225"/>
        <v>-14209.936124805354</v>
      </c>
      <c r="CA80" s="60">
        <f t="shared" si="226"/>
        <v>-4684.4073513355761</v>
      </c>
      <c r="CB80" s="60">
        <f t="shared" si="227"/>
        <v>-6406.8588248859669</v>
      </c>
      <c r="CC80" s="60">
        <f t="shared" si="228"/>
        <v>-7558.8382184998773</v>
      </c>
      <c r="CD80" s="60">
        <f t="shared" si="229"/>
        <v>-8712.9624167097609</v>
      </c>
      <c r="CE80" s="60">
        <f t="shared" si="230"/>
        <v>-10447.03504033585</v>
      </c>
      <c r="CF80" s="60">
        <f t="shared" si="231"/>
        <v>-13341.610083826745</v>
      </c>
      <c r="CG80" s="60">
        <f t="shared" si="232"/>
        <v>-19132.740572595376</v>
      </c>
      <c r="CH80" s="60">
        <f t="shared" si="233"/>
        <v>-15396.802012488042</v>
      </c>
      <c r="CI80" s="60">
        <f t="shared" si="234"/>
        <v>-17199.706076765233</v>
      </c>
      <c r="CJ80" s="60">
        <f t="shared" si="235"/>
        <v>-18405.098475527666</v>
      </c>
      <c r="CK80" s="60">
        <f t="shared" si="236"/>
        <v>-19612.482918254045</v>
      </c>
      <c r="CL80" s="60">
        <f t="shared" si="237"/>
        <v>-21426.193166095854</v>
      </c>
      <c r="CM80" s="60">
        <f t="shared" si="238"/>
        <v>-24452.912360794835</v>
      </c>
      <c r="CN80" s="60">
        <f t="shared" si="239"/>
        <v>-30506.469593350903</v>
      </c>
    </row>
    <row r="81" spans="1:92" x14ac:dyDescent="0.35">
      <c r="A81" s="3" t="s">
        <v>116</v>
      </c>
      <c r="B81" s="4">
        <f>VLOOKUP(A81,PriceData!$K$4:$L$6,2,FALSE)</f>
        <v>10022</v>
      </c>
      <c r="C81" s="46">
        <f>VLOOKUP(A81,PriceData!$K$4:$M$6,3,FALSE)</f>
        <v>5.0000000000000001E-3</v>
      </c>
      <c r="D81" s="4" t="s">
        <v>108</v>
      </c>
      <c r="E81" s="4" t="s">
        <v>117</v>
      </c>
      <c r="F81" s="4">
        <v>5</v>
      </c>
      <c r="G81">
        <v>8519</v>
      </c>
      <c r="H81" s="4" t="s">
        <v>109</v>
      </c>
      <c r="I81" s="5">
        <v>40347</v>
      </c>
      <c r="J81" s="46">
        <f t="shared" si="160"/>
        <v>0.48413924786865792</v>
      </c>
      <c r="K81" s="30">
        <f>VLOOKUP(I81,PriceData!$A$5:$D$7,MATCH($E81,PriceData!$A$4:$D$4,0),FALSE)</f>
        <v>5.0000000000000001E-3</v>
      </c>
      <c r="L81" s="2">
        <f t="shared" si="161"/>
        <v>571.29818452504742</v>
      </c>
      <c r="M81" s="2">
        <f t="shared" si="162"/>
        <v>2856.4909226252371</v>
      </c>
      <c r="N81" s="4" t="s">
        <v>107</v>
      </c>
      <c r="P81" s="60">
        <f t="shared" si="163"/>
        <v>-2519.8719715572929</v>
      </c>
      <c r="Q81" s="60">
        <f t="shared" si="164"/>
        <v>4993.3610176188577</v>
      </c>
      <c r="R81" s="58">
        <f t="shared" si="165"/>
        <v>21.061898385625238</v>
      </c>
      <c r="S81" s="58">
        <f t="shared" si="166"/>
        <v>1013.8209279742146</v>
      </c>
      <c r="T81" s="58">
        <f t="shared" si="167"/>
        <v>-3.1987436965611598</v>
      </c>
      <c r="U81" s="2">
        <f t="shared" si="168"/>
        <v>-13.465645337454575</v>
      </c>
      <c r="V81" s="65">
        <f t="shared" si="169"/>
        <v>-12599.359857786465</v>
      </c>
      <c r="W81" s="65">
        <f t="shared" si="170"/>
        <v>24966.80508809429</v>
      </c>
      <c r="X81" s="78">
        <f t="shared" si="171"/>
        <v>105.30949192812619</v>
      </c>
      <c r="Y81" s="78">
        <f t="shared" si="172"/>
        <v>5069.1046398710732</v>
      </c>
      <c r="Z81" s="78">
        <f t="shared" si="173"/>
        <v>-15.993718482805798</v>
      </c>
      <c r="AA81" s="78">
        <f t="shared" si="174"/>
        <v>-67.328226687272874</v>
      </c>
      <c r="AB81" s="78">
        <f t="shared" si="175"/>
        <v>3723.8645277164483</v>
      </c>
      <c r="AC81" s="78">
        <f t="shared" si="176"/>
        <v>1535.6536798475736</v>
      </c>
      <c r="AD81" s="78">
        <f t="shared" si="177"/>
        <v>695.63014172626254</v>
      </c>
      <c r="AE81" s="78">
        <f t="shared" si="178"/>
        <v>262.18060868355224</v>
      </c>
      <c r="AF81" s="78">
        <f t="shared" si="179"/>
        <v>-242.20526928958861</v>
      </c>
      <c r="AG81" s="78">
        <f t="shared" si="180"/>
        <v>-570.72305158942982</v>
      </c>
      <c r="AH81" s="78">
        <f t="shared" si="181"/>
        <v>-1035.2038068987292</v>
      </c>
      <c r="AI81" s="78">
        <f t="shared" si="182"/>
        <v>-1712.1695290011519</v>
      </c>
      <c r="AJ81" s="78">
        <f t="shared" si="183"/>
        <v>-1020.9580948295229</v>
      </c>
      <c r="AK81" s="78">
        <f t="shared" si="184"/>
        <v>-519.44421816853037</v>
      </c>
      <c r="AL81" s="78">
        <f t="shared" si="185"/>
        <v>-209.55877944503982</v>
      </c>
      <c r="AM81" s="78">
        <f t="shared" si="186"/>
        <v>-105.05034303243065</v>
      </c>
      <c r="AN81" s="78">
        <f t="shared" si="187"/>
        <v>105.55745117050492</v>
      </c>
      <c r="AO81" s="78">
        <f t="shared" si="188"/>
        <v>211.58958693930344</v>
      </c>
      <c r="AP81" s="78">
        <f t="shared" si="189"/>
        <v>532.24142184170432</v>
      </c>
      <c r="AQ81" s="78">
        <f t="shared" si="190"/>
        <v>1073.6860226907675</v>
      </c>
      <c r="AR81" s="60">
        <f t="shared" si="191"/>
        <v>3197.9006770579167</v>
      </c>
      <c r="AS81" s="60">
        <f t="shared" si="192"/>
        <v>3513.3641050472784</v>
      </c>
      <c r="AT81" s="60">
        <f t="shared" si="193"/>
        <v>3723.8645277164483</v>
      </c>
      <c r="AU81" s="60">
        <f t="shared" si="194"/>
        <v>3934.4569120732876</v>
      </c>
      <c r="AV81" s="60">
        <f t="shared" si="195"/>
        <v>4250.4207282705102</v>
      </c>
      <c r="AW81" s="60">
        <f t="shared" si="196"/>
        <v>4776.917665505739</v>
      </c>
      <c r="AX81" s="60">
        <f t="shared" si="197"/>
        <v>5827.8718850898877</v>
      </c>
      <c r="AY81" s="60">
        <f t="shared" si="198"/>
        <v>976.51433426070753</v>
      </c>
      <c r="AZ81" s="60">
        <f t="shared" si="199"/>
        <v>1311.9086994951135</v>
      </c>
      <c r="BA81" s="60">
        <f t="shared" si="200"/>
        <v>1535.6536798475736</v>
      </c>
      <c r="BB81" s="60">
        <f t="shared" si="201"/>
        <v>1759.4586223950546</v>
      </c>
      <c r="BC81" s="60">
        <f t="shared" si="202"/>
        <v>2095.184428909065</v>
      </c>
      <c r="BD81" s="60">
        <f t="shared" si="203"/>
        <v>2654.4751639790388</v>
      </c>
      <c r="BE81" s="60">
        <f t="shared" si="204"/>
        <v>3770.5150161561437</v>
      </c>
      <c r="BF81" s="60">
        <f t="shared" si="205"/>
        <v>149.01625560522007</v>
      </c>
      <c r="BG81" s="60">
        <f t="shared" si="206"/>
        <v>476.1947994283787</v>
      </c>
      <c r="BH81" s="60">
        <f t="shared" si="207"/>
        <v>695.63014172626254</v>
      </c>
      <c r="BI81" s="60">
        <f t="shared" si="208"/>
        <v>915.93526847406793</v>
      </c>
      <c r="BJ81" s="60">
        <f t="shared" si="209"/>
        <v>1247.7376989613458</v>
      </c>
      <c r="BK81" s="60">
        <f t="shared" si="210"/>
        <v>1803.4368050403873</v>
      </c>
      <c r="BL81" s="60">
        <f t="shared" si="211"/>
        <v>2920.477762104922</v>
      </c>
      <c r="BM81" s="60">
        <f t="shared" si="212"/>
        <v>-519.44421816853037</v>
      </c>
      <c r="BN81" s="60">
        <f t="shared" si="213"/>
        <v>-209.55877944503982</v>
      </c>
      <c r="BO81" s="60">
        <f t="shared" si="214"/>
        <v>0</v>
      </c>
      <c r="BP81" s="60">
        <f t="shared" si="215"/>
        <v>211.58958693930344</v>
      </c>
      <c r="BQ81" s="60">
        <f t="shared" si="216"/>
        <v>532.24142184170432</v>
      </c>
      <c r="BR81" s="60">
        <f t="shared" si="217"/>
        <v>1073.6860226907675</v>
      </c>
      <c r="BS81" s="60">
        <f t="shared" si="218"/>
        <v>2174.4706373232884</v>
      </c>
      <c r="BT81" s="60">
        <f t="shared" si="219"/>
        <v>-1052.5778015164474</v>
      </c>
      <c r="BU81" s="60">
        <f t="shared" si="220"/>
        <v>-766.36018365579503</v>
      </c>
      <c r="BV81" s="60">
        <f t="shared" si="221"/>
        <v>-570.72305158942982</v>
      </c>
      <c r="BW81" s="60">
        <f t="shared" si="222"/>
        <v>-371.72515942151222</v>
      </c>
      <c r="BX81" s="60">
        <f t="shared" si="223"/>
        <v>-67.723294782392713</v>
      </c>
      <c r="BY81" s="60">
        <f t="shared" si="224"/>
        <v>451.10473130264381</v>
      </c>
      <c r="BZ81" s="60">
        <f t="shared" si="225"/>
        <v>1521.55347839265</v>
      </c>
      <c r="CA81" s="60">
        <f t="shared" si="226"/>
        <v>-1473.0542329291904</v>
      </c>
      <c r="CB81" s="60">
        <f t="shared" si="227"/>
        <v>-1214.3278639218408</v>
      </c>
      <c r="CC81" s="60">
        <f t="shared" si="228"/>
        <v>-1035.2038068987292</v>
      </c>
      <c r="CD81" s="60">
        <f t="shared" si="229"/>
        <v>-851.38493468933689</v>
      </c>
      <c r="CE81" s="60">
        <f t="shared" si="230"/>
        <v>-567.85847528130716</v>
      </c>
      <c r="CF81" s="60">
        <f t="shared" si="231"/>
        <v>-77.763364726542932</v>
      </c>
      <c r="CG81" s="60">
        <f t="shared" si="232"/>
        <v>951.39044507455992</v>
      </c>
      <c r="CH81" s="60">
        <f t="shared" si="233"/>
        <v>-2055.8150689972454</v>
      </c>
      <c r="CI81" s="60">
        <f t="shared" si="234"/>
        <v>-1855.3108205573221</v>
      </c>
      <c r="CJ81" s="60">
        <f t="shared" si="235"/>
        <v>-1712.1695290011519</v>
      </c>
      <c r="CK81" s="60">
        <f t="shared" si="236"/>
        <v>-1562.1240853806546</v>
      </c>
      <c r="CL81" s="60">
        <f t="shared" si="237"/>
        <v>-1325.2776240063031</v>
      </c>
      <c r="CM81" s="60">
        <f t="shared" si="238"/>
        <v>-903.11675047820017</v>
      </c>
      <c r="CN81" s="60">
        <f t="shared" si="239"/>
        <v>21.805455057743757</v>
      </c>
    </row>
    <row r="82" spans="1:92" x14ac:dyDescent="0.35">
      <c r="A82" s="3" t="s">
        <v>116</v>
      </c>
      <c r="B82" s="4">
        <f>VLOOKUP(A82,PriceData!$K$4:$L$6,2,FALSE)</f>
        <v>10022</v>
      </c>
      <c r="C82" s="46">
        <f>VLOOKUP(A82,PriceData!$K$4:$M$6,3,FALSE)</f>
        <v>5.0000000000000001E-3</v>
      </c>
      <c r="D82" s="4" t="s">
        <v>108</v>
      </c>
      <c r="E82" s="4" t="s">
        <v>117</v>
      </c>
      <c r="F82" s="4">
        <v>-20</v>
      </c>
      <c r="G82">
        <v>11525</v>
      </c>
      <c r="H82" s="4" t="s">
        <v>111</v>
      </c>
      <c r="I82" s="5">
        <v>40347</v>
      </c>
      <c r="J82" s="46">
        <f t="shared" si="160"/>
        <v>0.32811057320454412</v>
      </c>
      <c r="K82" s="30">
        <f>VLOOKUP(I82,PriceData!$A$5:$D$7,MATCH($E82,PriceData!$A$4:$D$4,0),FALSE)</f>
        <v>5.0000000000000001E-3</v>
      </c>
      <c r="L82" s="2">
        <f t="shared" si="161"/>
        <v>362.50006316623876</v>
      </c>
      <c r="M82" s="2">
        <f t="shared" si="162"/>
        <v>-7250.0012633247752</v>
      </c>
      <c r="N82" s="4" t="s">
        <v>107</v>
      </c>
      <c r="P82" s="60">
        <f t="shared" si="163"/>
        <v>2956.4549297354911</v>
      </c>
      <c r="Q82" s="60">
        <f t="shared" si="164"/>
        <v>7974.4667038571006</v>
      </c>
      <c r="R82" s="58">
        <f t="shared" si="165"/>
        <v>22.795867821988697</v>
      </c>
      <c r="S82" s="58">
        <f t="shared" si="166"/>
        <v>2811.2702220085002</v>
      </c>
      <c r="T82" s="58">
        <f t="shared" si="167"/>
        <v>-2.3470987921778925</v>
      </c>
      <c r="U82" s="2">
        <f t="shared" si="168"/>
        <v>11.299693802315376</v>
      </c>
      <c r="V82" s="65">
        <f t="shared" si="169"/>
        <v>-59129.098594709823</v>
      </c>
      <c r="W82" s="65">
        <f t="shared" si="170"/>
        <v>-159489.334077142</v>
      </c>
      <c r="X82" s="78">
        <f t="shared" si="171"/>
        <v>-455.91735643977393</v>
      </c>
      <c r="Y82" s="78">
        <f t="shared" si="172"/>
        <v>-56225.404440170008</v>
      </c>
      <c r="Z82" s="78">
        <f t="shared" si="173"/>
        <v>46.941975843557849</v>
      </c>
      <c r="AA82" s="78">
        <f t="shared" si="174"/>
        <v>-225.99387604630752</v>
      </c>
      <c r="AB82" s="78">
        <f t="shared" si="175"/>
        <v>6447.5887461481288</v>
      </c>
      <c r="AC82" s="78">
        <f t="shared" si="176"/>
        <v>4422.6108358431293</v>
      </c>
      <c r="AD82" s="78">
        <f t="shared" si="177"/>
        <v>2569.2409316128123</v>
      </c>
      <c r="AE82" s="78">
        <f t="shared" si="178"/>
        <v>1119.4590658547077</v>
      </c>
      <c r="AF82" s="78">
        <f t="shared" si="179"/>
        <v>-1246.9629425838593</v>
      </c>
      <c r="AG82" s="78">
        <f t="shared" si="180"/>
        <v>-3363.2825043471439</v>
      </c>
      <c r="AH82" s="78">
        <f t="shared" si="181"/>
        <v>-7558.8382184998773</v>
      </c>
      <c r="AI82" s="78">
        <f t="shared" si="182"/>
        <v>-18405.098475527666</v>
      </c>
      <c r="AJ82" s="78">
        <f t="shared" si="183"/>
        <v>4176.2334093593381</v>
      </c>
      <c r="AK82" s="78">
        <f t="shared" si="184"/>
        <v>2198.2869778552868</v>
      </c>
      <c r="AL82" s="78">
        <f t="shared" si="185"/>
        <v>899.93830887415243</v>
      </c>
      <c r="AM82" s="78">
        <f t="shared" si="186"/>
        <v>453.02670794784717</v>
      </c>
      <c r="AN82" s="78">
        <f t="shared" si="187"/>
        <v>-458.65304921976531</v>
      </c>
      <c r="AO82" s="78">
        <f t="shared" si="188"/>
        <v>-922.48936920848791</v>
      </c>
      <c r="AP82" s="78">
        <f t="shared" si="189"/>
        <v>-2341.252678896617</v>
      </c>
      <c r="AQ82" s="78">
        <f t="shared" si="190"/>
        <v>-4778.2495585415109</v>
      </c>
      <c r="AR82" s="60">
        <f t="shared" si="191"/>
        <v>6933.0813579000896</v>
      </c>
      <c r="AS82" s="60">
        <f t="shared" si="192"/>
        <v>6673.1973663634599</v>
      </c>
      <c r="AT82" s="60">
        <f t="shared" si="193"/>
        <v>6447.5887461481288</v>
      </c>
      <c r="AU82" s="60">
        <f t="shared" si="194"/>
        <v>6180.0054877241064</v>
      </c>
      <c r="AV82" s="60">
        <f t="shared" si="195"/>
        <v>5702.1084593704036</v>
      </c>
      <c r="AW82" s="60">
        <f t="shared" si="196"/>
        <v>4715.9295036759613</v>
      </c>
      <c r="AX82" s="60">
        <f t="shared" si="197"/>
        <v>2151.4359255616091</v>
      </c>
      <c r="AY82" s="60">
        <f t="shared" si="198"/>
        <v>5677.8002778623504</v>
      </c>
      <c r="AZ82" s="60">
        <f t="shared" si="199"/>
        <v>4961.5305263849632</v>
      </c>
      <c r="BA82" s="60">
        <f t="shared" si="200"/>
        <v>4422.6108358431293</v>
      </c>
      <c r="BB82" s="60">
        <f t="shared" si="201"/>
        <v>3840.2271099575955</v>
      </c>
      <c r="BC82" s="60">
        <f t="shared" si="202"/>
        <v>2894.8714361998964</v>
      </c>
      <c r="BD82" s="60">
        <f t="shared" si="203"/>
        <v>1159.9041429043564</v>
      </c>
      <c r="BE82" s="60">
        <f t="shared" si="204"/>
        <v>-2742.8018682670518</v>
      </c>
      <c r="BF82" s="60">
        <f t="shared" si="205"/>
        <v>4301.2805685745479</v>
      </c>
      <c r="BG82" s="60">
        <f t="shared" si="206"/>
        <v>3292.7629782247095</v>
      </c>
      <c r="BH82" s="60">
        <f t="shared" si="207"/>
        <v>2569.2409316128123</v>
      </c>
      <c r="BI82" s="60">
        <f t="shared" si="208"/>
        <v>1811.0083580317541</v>
      </c>
      <c r="BJ82" s="60">
        <f t="shared" si="209"/>
        <v>618.24766726936105</v>
      </c>
      <c r="BK82" s="60">
        <f t="shared" si="210"/>
        <v>-1488.058350068568</v>
      </c>
      <c r="BL82" s="60">
        <f t="shared" si="211"/>
        <v>-6005.764398968231</v>
      </c>
      <c r="BM82" s="60">
        <f t="shared" si="212"/>
        <v>2198.2869778552868</v>
      </c>
      <c r="BN82" s="60">
        <f t="shared" si="213"/>
        <v>899.93830887415243</v>
      </c>
      <c r="BO82" s="60">
        <f t="shared" si="214"/>
        <v>0</v>
      </c>
      <c r="BP82" s="60">
        <f t="shared" si="215"/>
        <v>-922.48936920848791</v>
      </c>
      <c r="BQ82" s="60">
        <f t="shared" si="216"/>
        <v>-2341.252678896617</v>
      </c>
      <c r="BR82" s="60">
        <f t="shared" si="217"/>
        <v>-4778.2495585415109</v>
      </c>
      <c r="BS82" s="60">
        <f t="shared" si="218"/>
        <v>-9829.4126322491866</v>
      </c>
      <c r="BT82" s="60">
        <f t="shared" si="219"/>
        <v>-768.70177674480146</v>
      </c>
      <c r="BU82" s="60">
        <f t="shared" si="220"/>
        <v>-2315.4469633083681</v>
      </c>
      <c r="BV82" s="60">
        <f t="shared" si="221"/>
        <v>-3363.2825043471439</v>
      </c>
      <c r="BW82" s="60">
        <f t="shared" si="222"/>
        <v>-4421.7275738686567</v>
      </c>
      <c r="BX82" s="60">
        <f t="shared" si="223"/>
        <v>-6025.4087438773968</v>
      </c>
      <c r="BY82" s="60">
        <f t="shared" si="224"/>
        <v>-8729.9461092209003</v>
      </c>
      <c r="BZ82" s="60">
        <f t="shared" si="225"/>
        <v>-14209.936124805354</v>
      </c>
      <c r="CA82" s="60">
        <f t="shared" si="226"/>
        <v>-4684.4073513355761</v>
      </c>
      <c r="CB82" s="60">
        <f t="shared" si="227"/>
        <v>-6406.8588248859669</v>
      </c>
      <c r="CC82" s="60">
        <f t="shared" si="228"/>
        <v>-7558.8382184998773</v>
      </c>
      <c r="CD82" s="60">
        <f t="shared" si="229"/>
        <v>-8712.9624167097609</v>
      </c>
      <c r="CE82" s="60">
        <f t="shared" si="230"/>
        <v>-10447.03504033585</v>
      </c>
      <c r="CF82" s="60">
        <f t="shared" si="231"/>
        <v>-13341.610083826745</v>
      </c>
      <c r="CG82" s="60">
        <f t="shared" si="232"/>
        <v>-19132.740572595376</v>
      </c>
      <c r="CH82" s="60">
        <f t="shared" si="233"/>
        <v>-15396.802012488042</v>
      </c>
      <c r="CI82" s="60">
        <f t="shared" si="234"/>
        <v>-17199.706076765233</v>
      </c>
      <c r="CJ82" s="60">
        <f t="shared" si="235"/>
        <v>-18405.098475527666</v>
      </c>
      <c r="CK82" s="60">
        <f t="shared" si="236"/>
        <v>-19612.482918254045</v>
      </c>
      <c r="CL82" s="60">
        <f t="shared" si="237"/>
        <v>-21426.193166095854</v>
      </c>
      <c r="CM82" s="60">
        <f t="shared" si="238"/>
        <v>-24452.912360794835</v>
      </c>
      <c r="CN82" s="60">
        <f t="shared" si="239"/>
        <v>-30506.469593350903</v>
      </c>
    </row>
    <row r="83" spans="1:92" x14ac:dyDescent="0.35">
      <c r="A83" s="3" t="s">
        <v>116</v>
      </c>
      <c r="B83" s="4">
        <f>VLOOKUP(A83,PriceData!$K$4:$L$6,2,FALSE)</f>
        <v>10022</v>
      </c>
      <c r="C83" s="46">
        <f>VLOOKUP(A83,PriceData!$K$4:$M$6,3,FALSE)</f>
        <v>5.0000000000000001E-3</v>
      </c>
      <c r="D83" s="4" t="s">
        <v>108</v>
      </c>
      <c r="E83" s="4" t="s">
        <v>117</v>
      </c>
      <c r="F83" s="4">
        <v>-10</v>
      </c>
      <c r="G83">
        <v>9721</v>
      </c>
      <c r="H83" s="4" t="s">
        <v>109</v>
      </c>
      <c r="I83" s="5">
        <v>40438</v>
      </c>
      <c r="J83" s="46">
        <f t="shared" si="160"/>
        <v>0.34752036702571659</v>
      </c>
      <c r="K83" s="30">
        <f>VLOOKUP(I83,PriceData!$A$5:$D$7,MATCH($E83,PriceData!$A$4:$D$4,0),FALSE)</f>
        <v>7.4999999999999997E-3</v>
      </c>
      <c r="L83" s="2">
        <f t="shared" si="161"/>
        <v>972.67276766229679</v>
      </c>
      <c r="M83" s="2">
        <f t="shared" si="162"/>
        <v>-9726.7276766229679</v>
      </c>
      <c r="N83" s="4" t="s">
        <v>113</v>
      </c>
      <c r="P83" s="60">
        <f t="shared" si="163"/>
        <v>-3985.6913428553635</v>
      </c>
      <c r="Q83" s="60">
        <f t="shared" si="164"/>
        <v>6704.0350970420877</v>
      </c>
      <c r="R83" s="58">
        <f t="shared" si="165"/>
        <v>31.914914212018527</v>
      </c>
      <c r="S83" s="58">
        <f t="shared" si="166"/>
        <v>-74.758062721330873</v>
      </c>
      <c r="T83" s="58">
        <f t="shared" si="167"/>
        <v>-2.1709308576052182</v>
      </c>
      <c r="U83" s="2">
        <f t="shared" si="168"/>
        <v>-33.96139801724425</v>
      </c>
      <c r="V83" s="65">
        <f t="shared" si="169"/>
        <v>39856.913428553635</v>
      </c>
      <c r="W83" s="65">
        <f t="shared" si="170"/>
        <v>-67040.35097042087</v>
      </c>
      <c r="X83" s="78">
        <f t="shared" si="171"/>
        <v>-319.14914212018527</v>
      </c>
      <c r="Y83" s="78">
        <f t="shared" si="172"/>
        <v>747.58062721330873</v>
      </c>
      <c r="Z83" s="78">
        <f t="shared" si="173"/>
        <v>21.70930857605218</v>
      </c>
      <c r="AA83" s="78">
        <f t="shared" si="174"/>
        <v>339.6139801724425</v>
      </c>
      <c r="AB83" s="78">
        <f t="shared" si="175"/>
        <v>-10899.866026612299</v>
      </c>
      <c r="AC83" s="78">
        <f t="shared" si="176"/>
        <v>-4693.6383208820644</v>
      </c>
      <c r="AD83" s="78">
        <f t="shared" si="177"/>
        <v>-2165.4627776124562</v>
      </c>
      <c r="AE83" s="78">
        <f t="shared" si="178"/>
        <v>-824.28594725390212</v>
      </c>
      <c r="AF83" s="78">
        <f t="shared" si="179"/>
        <v>770.66552556094393</v>
      </c>
      <c r="AG83" s="78">
        <f t="shared" si="180"/>
        <v>1830.7255315455768</v>
      </c>
      <c r="AH83" s="78">
        <f t="shared" si="181"/>
        <v>3360.3334768149216</v>
      </c>
      <c r="AI83" s="78">
        <f t="shared" si="182"/>
        <v>5660.6270515304641</v>
      </c>
      <c r="AJ83" s="78">
        <f t="shared" si="183"/>
        <v>3191.9925542524516</v>
      </c>
      <c r="AK83" s="78">
        <f t="shared" si="184"/>
        <v>1596.3245464438387</v>
      </c>
      <c r="AL83" s="78">
        <f t="shared" si="185"/>
        <v>638.42646614033129</v>
      </c>
      <c r="AM83" s="78">
        <f t="shared" si="186"/>
        <v>319.18390687798365</v>
      </c>
      <c r="AN83" s="78">
        <f t="shared" si="187"/>
        <v>-319.10924514771978</v>
      </c>
      <c r="AO83" s="78">
        <f t="shared" si="188"/>
        <v>-638.12897896570121</v>
      </c>
      <c r="AP83" s="78">
        <f t="shared" si="189"/>
        <v>-1594.5169971405676</v>
      </c>
      <c r="AQ83" s="78">
        <f t="shared" si="190"/>
        <v>-3185.5641389443599</v>
      </c>
    </row>
    <row r="84" spans="1:92" x14ac:dyDescent="0.35">
      <c r="A84" s="3" t="s">
        <v>116</v>
      </c>
      <c r="B84" s="4">
        <f>VLOOKUP(A84,PriceData!$K$4:$L$6,2,FALSE)</f>
        <v>10022</v>
      </c>
      <c r="C84" s="46">
        <f>VLOOKUP(A84,PriceData!$K$4:$M$6,3,FALSE)</f>
        <v>5.0000000000000001E-3</v>
      </c>
      <c r="D84" s="4" t="s">
        <v>108</v>
      </c>
      <c r="E84" s="4" t="s">
        <v>117</v>
      </c>
      <c r="F84" s="4">
        <v>-5</v>
      </c>
      <c r="G84">
        <v>7617</v>
      </c>
      <c r="H84" s="4" t="s">
        <v>109</v>
      </c>
      <c r="I84" s="5">
        <v>40438</v>
      </c>
      <c r="J84" s="46">
        <f t="shared" si="160"/>
        <v>0.5752835905302579</v>
      </c>
      <c r="K84" s="30">
        <f>VLOOKUP(I84,PriceData!$A$5:$D$7,MATCH($E84,PriceData!$A$4:$D$4,0),FALSE)</f>
        <v>7.4999999999999997E-3</v>
      </c>
      <c r="L84" s="2">
        <f t="shared" si="161"/>
        <v>710.92406048627072</v>
      </c>
      <c r="M84" s="2">
        <f t="shared" si="162"/>
        <v>-3554.6203024313536</v>
      </c>
      <c r="N84" s="4" t="s">
        <v>107</v>
      </c>
      <c r="P84" s="60">
        <f t="shared" si="163"/>
        <v>-2064.2786200217561</v>
      </c>
      <c r="Q84" s="60">
        <f t="shared" si="164"/>
        <v>2994.6533813990309</v>
      </c>
      <c r="R84" s="58">
        <f t="shared" si="165"/>
        <v>23.599656844449488</v>
      </c>
      <c r="S84" s="58">
        <f t="shared" si="166"/>
        <v>1147.2250857243289</v>
      </c>
      <c r="T84" s="58">
        <f t="shared" si="167"/>
        <v>-2.6865521416535634</v>
      </c>
      <c r="U84" s="2">
        <f t="shared" si="168"/>
        <v>-19.008237537726213</v>
      </c>
      <c r="V84" s="65">
        <f t="shared" si="169"/>
        <v>10321.39310010878</v>
      </c>
      <c r="W84" s="65">
        <f t="shared" si="170"/>
        <v>-14973.266906995155</v>
      </c>
      <c r="X84" s="78">
        <f t="shared" si="171"/>
        <v>-117.99828422224743</v>
      </c>
      <c r="Y84" s="78">
        <f t="shared" si="172"/>
        <v>-5736.1254286216445</v>
      </c>
      <c r="Z84" s="78">
        <f t="shared" si="173"/>
        <v>13.432760708267818</v>
      </c>
      <c r="AA84" s="78">
        <f t="shared" si="174"/>
        <v>95.041187688631069</v>
      </c>
      <c r="AB84" s="78">
        <f t="shared" si="175"/>
        <v>-2782.5442581276047</v>
      </c>
      <c r="AC84" s="78">
        <f t="shared" si="176"/>
        <v>-1196.1388060561967</v>
      </c>
      <c r="AD84" s="78">
        <f t="shared" si="177"/>
        <v>-555.24279372653837</v>
      </c>
      <c r="AE84" s="78">
        <f t="shared" si="178"/>
        <v>-212.52683338490215</v>
      </c>
      <c r="AF84" s="78">
        <f t="shared" si="179"/>
        <v>200.54594680744458</v>
      </c>
      <c r="AG84" s="78">
        <f t="shared" si="180"/>
        <v>480.28780919706037</v>
      </c>
      <c r="AH84" s="78">
        <f t="shared" si="181"/>
        <v>895.26320140453663</v>
      </c>
      <c r="AI84" s="78">
        <f t="shared" si="182"/>
        <v>1562.6567727896497</v>
      </c>
      <c r="AJ84" s="78">
        <f t="shared" si="183"/>
        <v>1144.4861486031061</v>
      </c>
      <c r="AK84" s="78">
        <f t="shared" si="184"/>
        <v>582.03290806376003</v>
      </c>
      <c r="AL84" s="78">
        <f t="shared" si="185"/>
        <v>234.80105656497699</v>
      </c>
      <c r="AM84" s="78">
        <f t="shared" si="186"/>
        <v>117.70552734298462</v>
      </c>
      <c r="AN84" s="78">
        <f t="shared" si="187"/>
        <v>-118.27930331470498</v>
      </c>
      <c r="AO84" s="78">
        <f t="shared" si="188"/>
        <v>-237.09812303578019</v>
      </c>
      <c r="AP84" s="78">
        <f t="shared" si="189"/>
        <v>-596.47581482905935</v>
      </c>
      <c r="AQ84" s="78">
        <f t="shared" si="190"/>
        <v>-1203.5116178882117</v>
      </c>
    </row>
    <row r="85" spans="1:92" x14ac:dyDescent="0.35">
      <c r="A85" s="3" t="s">
        <v>116</v>
      </c>
      <c r="B85" s="4">
        <f>VLOOKUP(A85,PriceData!$K$4:$L$6,2,FALSE)</f>
        <v>10022</v>
      </c>
      <c r="C85" s="46">
        <f>VLOOKUP(A85,PriceData!$K$4:$M$6,3,FALSE)</f>
        <v>5.0000000000000001E-3</v>
      </c>
      <c r="D85" s="4" t="s">
        <v>108</v>
      </c>
      <c r="E85" s="4" t="s">
        <v>117</v>
      </c>
      <c r="F85" s="4">
        <v>-10</v>
      </c>
      <c r="G85">
        <v>9721</v>
      </c>
      <c r="H85" s="4" t="s">
        <v>109</v>
      </c>
      <c r="I85" s="5">
        <v>40438</v>
      </c>
      <c r="J85" s="46">
        <f t="shared" si="160"/>
        <v>0.34752036702571659</v>
      </c>
      <c r="K85" s="30">
        <f>VLOOKUP(I85,PriceData!$A$5:$D$7,MATCH($E85,PriceData!$A$4:$D$4,0),FALSE)</f>
        <v>7.4999999999999997E-3</v>
      </c>
      <c r="L85" s="2">
        <f t="shared" si="161"/>
        <v>972.67276766229679</v>
      </c>
      <c r="M85" s="2">
        <f t="shared" si="162"/>
        <v>-9726.7276766229679</v>
      </c>
      <c r="N85" s="4" t="s">
        <v>112</v>
      </c>
      <c r="P85" s="60">
        <f t="shared" si="163"/>
        <v>-3985.6913428553635</v>
      </c>
      <c r="Q85" s="60">
        <f t="shared" si="164"/>
        <v>6704.0350970420877</v>
      </c>
      <c r="R85" s="58">
        <f t="shared" si="165"/>
        <v>31.914914212018527</v>
      </c>
      <c r="S85" s="58">
        <f t="shared" si="166"/>
        <v>-74.758062721330873</v>
      </c>
      <c r="T85" s="58">
        <f t="shared" si="167"/>
        <v>-2.1709308576052182</v>
      </c>
      <c r="U85" s="2">
        <f t="shared" si="168"/>
        <v>-33.96139801724425</v>
      </c>
      <c r="V85" s="65">
        <f t="shared" si="169"/>
        <v>39856.913428553635</v>
      </c>
      <c r="W85" s="65">
        <f t="shared" si="170"/>
        <v>-67040.35097042087</v>
      </c>
      <c r="X85" s="78">
        <f t="shared" si="171"/>
        <v>-319.14914212018527</v>
      </c>
      <c r="Y85" s="78">
        <f t="shared" si="172"/>
        <v>747.58062721330873</v>
      </c>
      <c r="Z85" s="78">
        <f t="shared" si="173"/>
        <v>21.70930857605218</v>
      </c>
      <c r="AA85" s="78">
        <f t="shared" si="174"/>
        <v>339.6139801724425</v>
      </c>
      <c r="AB85" s="78">
        <f t="shared" si="175"/>
        <v>-10899.866026612299</v>
      </c>
      <c r="AC85" s="78">
        <f t="shared" si="176"/>
        <v>-4693.6383208820644</v>
      </c>
      <c r="AD85" s="78">
        <f t="shared" si="177"/>
        <v>-2165.4627776124562</v>
      </c>
      <c r="AE85" s="78">
        <f t="shared" si="178"/>
        <v>-824.28594725390212</v>
      </c>
      <c r="AF85" s="78">
        <f t="shared" si="179"/>
        <v>770.66552556094393</v>
      </c>
      <c r="AG85" s="78">
        <f t="shared" si="180"/>
        <v>1830.7255315455768</v>
      </c>
      <c r="AH85" s="78">
        <f t="shared" si="181"/>
        <v>3360.3334768149216</v>
      </c>
      <c r="AI85" s="78">
        <f t="shared" si="182"/>
        <v>5660.6270515304641</v>
      </c>
      <c r="AJ85" s="78">
        <f t="shared" si="183"/>
        <v>3191.9925542524516</v>
      </c>
      <c r="AK85" s="78">
        <f t="shared" si="184"/>
        <v>1596.3245464438387</v>
      </c>
      <c r="AL85" s="78">
        <f t="shared" si="185"/>
        <v>638.42646614033129</v>
      </c>
      <c r="AM85" s="78">
        <f t="shared" si="186"/>
        <v>319.18390687798365</v>
      </c>
      <c r="AN85" s="78">
        <f t="shared" si="187"/>
        <v>-319.10924514771978</v>
      </c>
      <c r="AO85" s="78">
        <f t="shared" si="188"/>
        <v>-638.12897896570121</v>
      </c>
      <c r="AP85" s="78">
        <f t="shared" si="189"/>
        <v>-1594.5169971405676</v>
      </c>
      <c r="AQ85" s="78">
        <f t="shared" si="190"/>
        <v>-3185.5641389443599</v>
      </c>
    </row>
    <row r="86" spans="1:92" x14ac:dyDescent="0.35">
      <c r="A86" s="3" t="s">
        <v>116</v>
      </c>
      <c r="B86" s="4">
        <f>VLOOKUP(A86,PriceData!$K$4:$L$6,2,FALSE)</f>
        <v>10022</v>
      </c>
      <c r="C86" s="46">
        <f>VLOOKUP(A86,PriceData!$K$4:$M$6,3,FALSE)</f>
        <v>5.0000000000000001E-3</v>
      </c>
      <c r="D86" s="4" t="s">
        <v>108</v>
      </c>
      <c r="E86" s="4" t="s">
        <v>117</v>
      </c>
      <c r="F86" s="4">
        <v>-10</v>
      </c>
      <c r="G86">
        <v>8819</v>
      </c>
      <c r="H86" s="4" t="s">
        <v>109</v>
      </c>
      <c r="I86" s="5">
        <v>40438</v>
      </c>
      <c r="J86" s="46">
        <f t="shared" si="160"/>
        <v>0.42285122533835773</v>
      </c>
      <c r="K86" s="30">
        <f>VLOOKUP(I86,PriceData!$A$5:$D$7,MATCH($E86,PriceData!$A$4:$D$4,0),FALSE)</f>
        <v>7.4999999999999997E-3</v>
      </c>
      <c r="L86" s="2">
        <f t="shared" si="161"/>
        <v>783.32650300920295</v>
      </c>
      <c r="M86" s="2">
        <f t="shared" si="162"/>
        <v>-7833.2650300920295</v>
      </c>
      <c r="N86" s="4" t="s">
        <v>107</v>
      </c>
      <c r="P86" s="60">
        <f t="shared" si="163"/>
        <v>-2924.2391611836733</v>
      </c>
      <c r="Q86" s="60">
        <f t="shared" si="164"/>
        <v>4906.516391216428</v>
      </c>
      <c r="R86" s="58">
        <f t="shared" si="165"/>
        <v>28.420910522857589</v>
      </c>
      <c r="S86" s="58">
        <f t="shared" si="166"/>
        <v>715.82661409033005</v>
      </c>
      <c r="T86" s="58">
        <f t="shared" si="167"/>
        <v>-2.3674385825520252</v>
      </c>
      <c r="U86" s="2">
        <f t="shared" si="168"/>
        <v>-25.394285371184083</v>
      </c>
      <c r="V86" s="65">
        <f t="shared" si="169"/>
        <v>29242.391611836734</v>
      </c>
      <c r="W86" s="65">
        <f t="shared" si="170"/>
        <v>-49065.16391216428</v>
      </c>
      <c r="X86" s="78">
        <f t="shared" si="171"/>
        <v>-284.20910522857588</v>
      </c>
      <c r="Y86" s="78">
        <f t="shared" si="172"/>
        <v>-7158.2661409033008</v>
      </c>
      <c r="Z86" s="78">
        <f t="shared" si="173"/>
        <v>23.674385825520254</v>
      </c>
      <c r="AA86" s="78">
        <f t="shared" si="174"/>
        <v>253.94285371184083</v>
      </c>
      <c r="AB86" s="78">
        <f t="shared" si="175"/>
        <v>-8136.6754964565871</v>
      </c>
      <c r="AC86" s="78">
        <f t="shared" si="176"/>
        <v>-3456.6882513161863</v>
      </c>
      <c r="AD86" s="78">
        <f t="shared" si="177"/>
        <v>-1590.0237703509265</v>
      </c>
      <c r="AE86" s="78">
        <f t="shared" si="178"/>
        <v>-604.80909432849785</v>
      </c>
      <c r="AF86" s="78">
        <f t="shared" si="179"/>
        <v>565.55574377974608</v>
      </c>
      <c r="AG86" s="78">
        <f t="shared" si="180"/>
        <v>1344.6515884753308</v>
      </c>
      <c r="AH86" s="78">
        <f t="shared" si="181"/>
        <v>2474.7154966174594</v>
      </c>
      <c r="AI86" s="78">
        <f t="shared" si="182"/>
        <v>4205.2924759260759</v>
      </c>
      <c r="AJ86" s="78">
        <f t="shared" si="183"/>
        <v>2791.8760028156294</v>
      </c>
      <c r="AK86" s="78">
        <f t="shared" si="184"/>
        <v>1410.5062168743098</v>
      </c>
      <c r="AL86" s="78">
        <f t="shared" si="185"/>
        <v>566.89134638492305</v>
      </c>
      <c r="AM86" s="78">
        <f t="shared" si="186"/>
        <v>283.83954266266755</v>
      </c>
      <c r="AN86" s="78">
        <f t="shared" si="187"/>
        <v>-284.55584107642153</v>
      </c>
      <c r="AO86" s="78">
        <f t="shared" si="188"/>
        <v>-569.76221236814581</v>
      </c>
      <c r="AP86" s="78">
        <f t="shared" si="189"/>
        <v>-1428.7001420105435</v>
      </c>
      <c r="AQ86" s="78">
        <f t="shared" si="190"/>
        <v>-2868.4077051191298</v>
      </c>
    </row>
    <row r="87" spans="1:92" x14ac:dyDescent="0.35">
      <c r="A87" s="3" t="s">
        <v>116</v>
      </c>
      <c r="B87" s="4">
        <f>VLOOKUP(A87,PriceData!$K$4:$L$6,2,FALSE)</f>
        <v>10022</v>
      </c>
      <c r="C87" s="46">
        <f>VLOOKUP(A87,PriceData!$K$4:$M$6,3,FALSE)</f>
        <v>5.0000000000000001E-3</v>
      </c>
      <c r="D87" s="4" t="s">
        <v>108</v>
      </c>
      <c r="E87" s="4" t="s">
        <v>117</v>
      </c>
      <c r="F87" s="4">
        <v>-10</v>
      </c>
      <c r="G87">
        <v>8819</v>
      </c>
      <c r="H87" s="4" t="s">
        <v>109</v>
      </c>
      <c r="I87" s="5">
        <v>40438</v>
      </c>
      <c r="J87" s="46">
        <f t="shared" si="160"/>
        <v>0.42285122533835773</v>
      </c>
      <c r="K87" s="30">
        <f>VLOOKUP(I87,PriceData!$A$5:$D$7,MATCH($E87,PriceData!$A$4:$D$4,0),FALSE)</f>
        <v>7.4999999999999997E-3</v>
      </c>
      <c r="L87" s="2">
        <f t="shared" si="161"/>
        <v>783.32650300920295</v>
      </c>
      <c r="M87" s="2">
        <f t="shared" si="162"/>
        <v>-7833.2650300920295</v>
      </c>
      <c r="N87" s="4" t="s">
        <v>107</v>
      </c>
      <c r="P87" s="60">
        <f t="shared" si="163"/>
        <v>-2924.2391611836733</v>
      </c>
      <c r="Q87" s="60">
        <f t="shared" si="164"/>
        <v>4906.516391216428</v>
      </c>
      <c r="R87" s="58">
        <f t="shared" si="165"/>
        <v>28.420910522857589</v>
      </c>
      <c r="S87" s="58">
        <f t="shared" si="166"/>
        <v>715.82661409033005</v>
      </c>
      <c r="T87" s="58">
        <f t="shared" si="167"/>
        <v>-2.3674385825520252</v>
      </c>
      <c r="U87" s="2">
        <f t="shared" si="168"/>
        <v>-25.394285371184083</v>
      </c>
      <c r="V87" s="65">
        <f t="shared" si="169"/>
        <v>29242.391611836734</v>
      </c>
      <c r="W87" s="65">
        <f t="shared" si="170"/>
        <v>-49065.16391216428</v>
      </c>
      <c r="X87" s="78">
        <f t="shared" si="171"/>
        <v>-284.20910522857588</v>
      </c>
      <c r="Y87" s="78">
        <f t="shared" si="172"/>
        <v>-7158.2661409033008</v>
      </c>
      <c r="Z87" s="78">
        <f t="shared" si="173"/>
        <v>23.674385825520254</v>
      </c>
      <c r="AA87" s="78">
        <f t="shared" si="174"/>
        <v>253.94285371184083</v>
      </c>
      <c r="AB87" s="78">
        <f t="shared" si="175"/>
        <v>-8136.6754964565871</v>
      </c>
      <c r="AC87" s="78">
        <f t="shared" si="176"/>
        <v>-3456.6882513161863</v>
      </c>
      <c r="AD87" s="78">
        <f t="shared" si="177"/>
        <v>-1590.0237703509265</v>
      </c>
      <c r="AE87" s="78">
        <f t="shared" si="178"/>
        <v>-604.80909432849785</v>
      </c>
      <c r="AF87" s="78">
        <f t="shared" si="179"/>
        <v>565.55574377974608</v>
      </c>
      <c r="AG87" s="78">
        <f t="shared" si="180"/>
        <v>1344.6515884753308</v>
      </c>
      <c r="AH87" s="78">
        <f t="shared" si="181"/>
        <v>2474.7154966174594</v>
      </c>
      <c r="AI87" s="78">
        <f t="shared" si="182"/>
        <v>4205.2924759260759</v>
      </c>
      <c r="AJ87" s="78">
        <f t="shared" si="183"/>
        <v>2791.8760028156294</v>
      </c>
      <c r="AK87" s="78">
        <f t="shared" si="184"/>
        <v>1410.5062168743098</v>
      </c>
      <c r="AL87" s="78">
        <f t="shared" si="185"/>
        <v>566.89134638492305</v>
      </c>
      <c r="AM87" s="78">
        <f t="shared" si="186"/>
        <v>283.83954266266755</v>
      </c>
      <c r="AN87" s="78">
        <f t="shared" si="187"/>
        <v>-284.55584107642153</v>
      </c>
      <c r="AO87" s="78">
        <f t="shared" si="188"/>
        <v>-569.76221236814581</v>
      </c>
      <c r="AP87" s="78">
        <f t="shared" si="189"/>
        <v>-1428.7001420105435</v>
      </c>
      <c r="AQ87" s="78">
        <f t="shared" si="190"/>
        <v>-2868.4077051191298</v>
      </c>
    </row>
  </sheetData>
  <mergeCells count="2">
    <mergeCell ref="AJ3:AQ3"/>
    <mergeCell ref="AB3:AI3"/>
  </mergeCell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V35"/>
  <sheetViews>
    <sheetView showGridLines="0" workbookViewId="0">
      <selection activeCell="G30" sqref="G30"/>
    </sheetView>
  </sheetViews>
  <sheetFormatPr defaultRowHeight="12.75" x14ac:dyDescent="0.35"/>
  <cols>
    <col min="1" max="1" width="10" bestFit="1" customWidth="1"/>
    <col min="2" max="2" width="9.265625" bestFit="1" customWidth="1"/>
    <col min="8" max="8" width="11.3984375" customWidth="1"/>
    <col min="11" max="11" width="11.3984375" bestFit="1" customWidth="1"/>
    <col min="14" max="14" width="12.3984375" bestFit="1" customWidth="1"/>
  </cols>
  <sheetData>
    <row r="2" spans="1:22" ht="13.15" customHeight="1" thickBot="1" x14ac:dyDescent="0.4"/>
    <row r="3" spans="1:22" ht="13.5" customHeight="1" thickBot="1" x14ac:dyDescent="0.45">
      <c r="B3" s="99" t="s">
        <v>118</v>
      </c>
      <c r="C3" s="97"/>
      <c r="D3" s="98"/>
      <c r="F3" s="6"/>
      <c r="G3" s="99" t="s">
        <v>119</v>
      </c>
      <c r="H3" s="98"/>
      <c r="K3" s="31"/>
      <c r="L3" s="32" t="s">
        <v>120</v>
      </c>
      <c r="M3" s="33" t="s">
        <v>121</v>
      </c>
    </row>
    <row r="4" spans="1:22" ht="13.5" customHeight="1" thickBot="1" x14ac:dyDescent="0.45">
      <c r="A4" s="18" t="s">
        <v>3</v>
      </c>
      <c r="B4" s="24" t="s">
        <v>106</v>
      </c>
      <c r="C4" s="24" t="s">
        <v>114</v>
      </c>
      <c r="D4" s="25" t="s">
        <v>117</v>
      </c>
      <c r="F4" s="6"/>
      <c r="G4" s="26" t="s">
        <v>122</v>
      </c>
      <c r="H4" s="19">
        <v>1.55</v>
      </c>
      <c r="K4" s="34" t="s">
        <v>104</v>
      </c>
      <c r="L4" s="1">
        <v>1100</v>
      </c>
      <c r="M4" s="15">
        <v>0.02</v>
      </c>
    </row>
    <row r="5" spans="1:22" ht="13.5" customHeight="1" thickBot="1" x14ac:dyDescent="0.45">
      <c r="A5" s="9">
        <v>40256</v>
      </c>
      <c r="B5" s="12">
        <v>1.0999999999999999E-2</v>
      </c>
      <c r="C5" s="12">
        <v>2.1999999999999999E-2</v>
      </c>
      <c r="D5" s="13">
        <v>5.0000000000000001E-3</v>
      </c>
      <c r="F5" s="6"/>
      <c r="G5" s="27" t="s">
        <v>123</v>
      </c>
      <c r="H5" s="51">
        <f>1/110</f>
        <v>9.0909090909090905E-3</v>
      </c>
      <c r="K5" s="34" t="s">
        <v>1</v>
      </c>
      <c r="L5" s="1">
        <v>2905</v>
      </c>
      <c r="M5" s="15">
        <v>2.1999999999999999E-2</v>
      </c>
    </row>
    <row r="6" spans="1:22" ht="13.5" customHeight="1" thickBot="1" x14ac:dyDescent="0.45">
      <c r="A6" s="10">
        <v>40347</v>
      </c>
      <c r="B6" s="14">
        <v>1.4999999999999999E-2</v>
      </c>
      <c r="C6" s="14">
        <v>2.3E-2</v>
      </c>
      <c r="D6" s="15">
        <v>5.0000000000000001E-3</v>
      </c>
      <c r="F6" s="6"/>
      <c r="K6" s="35" t="s">
        <v>116</v>
      </c>
      <c r="L6" s="20">
        <v>10022</v>
      </c>
      <c r="M6" s="17">
        <v>5.0000000000000001E-3</v>
      </c>
    </row>
    <row r="7" spans="1:22" ht="13.15" customHeight="1" thickBot="1" x14ac:dyDescent="0.4">
      <c r="A7" s="11">
        <v>40438</v>
      </c>
      <c r="B7" s="16">
        <v>1.7500000000000002E-2</v>
      </c>
      <c r="C7" s="16">
        <v>2.5000000000000001E-2</v>
      </c>
      <c r="D7" s="17">
        <v>7.4999999999999997E-3</v>
      </c>
      <c r="F7" s="6"/>
    </row>
    <row r="12" spans="1:22" ht="13.15" customHeight="1" thickBot="1" x14ac:dyDescent="0.4"/>
    <row r="13" spans="1:22" ht="13.5" customHeight="1" thickBot="1" x14ac:dyDescent="0.45">
      <c r="B13" s="99" t="s">
        <v>124</v>
      </c>
      <c r="C13" s="97"/>
      <c r="D13" s="97"/>
      <c r="E13" s="98"/>
    </row>
    <row r="14" spans="1:22" ht="13.5" customHeight="1" thickBot="1" x14ac:dyDescent="0.45">
      <c r="A14" s="18" t="s">
        <v>3</v>
      </c>
      <c r="B14" s="39">
        <f>ROUND((0.7+COUNTA($A$14:A14)*0.03)*$L$4,0)</f>
        <v>803</v>
      </c>
      <c r="C14" s="40">
        <f>ROUND((0.7+COUNTA($A$14:B14)*0.03)*$L$4,0)</f>
        <v>836</v>
      </c>
      <c r="D14" s="40">
        <f>ROUND((0.7+COUNTA($A$14:C14)*0.03)*$L$4,0)</f>
        <v>869</v>
      </c>
      <c r="E14" s="40">
        <f>ROUND((0.7+COUNTA($A$14:D14)*0.03)*$L$4,0)</f>
        <v>902</v>
      </c>
      <c r="F14" s="40">
        <f>ROUND((0.7+COUNTA($A$14:E14)*0.03)*$L$4,0)</f>
        <v>935</v>
      </c>
      <c r="G14" s="40">
        <f>ROUND((0.7+COUNTA($A$14:F14)*0.03)*$L$4,0)</f>
        <v>968</v>
      </c>
      <c r="H14" s="40">
        <f>ROUND((0.7+COUNTA($A$14:G14)*0.03)*$L$4,0)</f>
        <v>1001</v>
      </c>
      <c r="I14" s="40">
        <f>ROUND((0.7+COUNTA($A$14:H14)*0.03)*$L$4,0)</f>
        <v>1034</v>
      </c>
      <c r="J14" s="40">
        <f>ROUND((0.7+COUNTA($A$14:I14)*0.03)*$L$4,0)</f>
        <v>1067</v>
      </c>
      <c r="K14" s="40">
        <f>ROUND((0.7+COUNTA($A$14:J14)*0.03)*$L$4,0)</f>
        <v>1100</v>
      </c>
      <c r="L14" s="40">
        <f>ROUND((0.7+COUNTA($A$14:K14)*0.03)*$L$4,0)</f>
        <v>1133</v>
      </c>
      <c r="M14" s="40">
        <f>ROUND((0.7+COUNTA($A$14:L14)*0.03)*$L$4,0)</f>
        <v>1166</v>
      </c>
      <c r="N14" s="40">
        <f>ROUND((0.7+COUNTA($A$14:M14)*0.03)*$L$4,0)</f>
        <v>1199</v>
      </c>
      <c r="O14" s="40">
        <f>ROUND((0.7+COUNTA($A$14:N14)*0.03)*$L$4,0)</f>
        <v>1232</v>
      </c>
      <c r="P14" s="40">
        <f>ROUND((0.7+COUNTA($A$14:O14)*0.03)*$L$4,0)</f>
        <v>1265</v>
      </c>
      <c r="Q14" s="40">
        <f>ROUND((0.7+COUNTA($A$14:P14)*0.03)*$L$4,0)</f>
        <v>1298</v>
      </c>
      <c r="R14" s="40">
        <f>ROUND((0.7+COUNTA($A$14:Q14)*0.03)*$L$4,0)</f>
        <v>1331</v>
      </c>
      <c r="S14" s="40">
        <f>ROUND((0.7+COUNTA($A$14:R14)*0.03)*$L$4,0)</f>
        <v>1364</v>
      </c>
      <c r="T14" s="40">
        <f>ROUND((0.7+COUNTA($A$14:S14)*0.03)*$L$4,0)</f>
        <v>1397</v>
      </c>
      <c r="U14" s="40">
        <f>ROUND((0.7+COUNTA($A$14:T14)*0.03)*$L$4,0)</f>
        <v>1430</v>
      </c>
      <c r="V14" s="41">
        <f>ROUND((0.7+COUNTA($A$14:U14)*0.03)*$L$4,0)</f>
        <v>1463</v>
      </c>
    </row>
    <row r="15" spans="1:22" x14ac:dyDescent="0.35">
      <c r="A15" s="36">
        <v>40256</v>
      </c>
      <c r="B15" s="42">
        <f>ComputeSVIImpliedVol($L$4, $B5, $M$4, ($A15-OptionsData!$B$1)/365, B$14)</f>
        <v>0.69743270668214874</v>
      </c>
      <c r="C15" s="43">
        <f>ComputeSVIImpliedVol($L$4, $B5, $M$4, ($A15-OptionsData!$B$1)/365, C$14)</f>
        <v>0.65150715802383286</v>
      </c>
      <c r="D15" s="43">
        <f>ComputeSVIImpliedVol($L$4, $B5, $M$4, ($A15-OptionsData!$B$1)/365, D$14)</f>
        <v>0.60862934363298282</v>
      </c>
      <c r="E15" s="43">
        <f>ComputeSVIImpliedVol($L$4, $B5, $M$4, ($A15-OptionsData!$B$1)/365, E$14)</f>
        <v>0.56890844311500222</v>
      </c>
      <c r="F15" s="43">
        <f>ComputeSVIImpliedVol($L$4, $B5, $M$4, ($A15-OptionsData!$B$1)/365, F$14)</f>
        <v>0.53252581704856539</v>
      </c>
      <c r="G15" s="43">
        <f>ComputeSVIImpliedVol($L$4, $B5, $M$4, ($A15-OptionsData!$B$1)/365, G$14)</f>
        <v>0.49972686896832741</v>
      </c>
      <c r="H15" s="43">
        <f>ComputeSVIImpliedVol($L$4, $B5, $M$4, ($A15-OptionsData!$B$1)/365, H$14)</f>
        <v>0.47079318216922272</v>
      </c>
      <c r="I15" s="43">
        <f>ComputeSVIImpliedVol($L$4, $B5, $M$4, ($A15-OptionsData!$B$1)/365, I$14)</f>
        <v>0.44598602021318745</v>
      </c>
      <c r="J15" s="43">
        <f>ComputeSVIImpliedVol($L$4, $B5, $M$4, ($A15-OptionsData!$B$1)/365, J$14)</f>
        <v>0.4254639706871936</v>
      </c>
      <c r="K15" s="43">
        <f>ComputeSVIImpliedVol($L$4, $B5, $M$4, ($A15-OptionsData!$B$1)/365, K$14)</f>
        <v>0.4092008007118651</v>
      </c>
      <c r="L15" s="43">
        <f>ComputeSVIImpliedVol($L$4, $B5, $M$4, ($A15-OptionsData!$B$1)/365, L$14)</f>
        <v>0.39694651184565882</v>
      </c>
      <c r="M15" s="43">
        <f>ComputeSVIImpliedVol($L$4, $B5, $M$4, ($A15-OptionsData!$B$1)/365, M$14)</f>
        <v>0.38825851084440738</v>
      </c>
      <c r="N15" s="43">
        <f>ComputeSVIImpliedVol($L$4, $B5, $M$4, ($A15-OptionsData!$B$1)/365, N$14)</f>
        <v>0.38258621180424129</v>
      </c>
      <c r="O15" s="43">
        <f>ComputeSVIImpliedVol($L$4, $B5, $M$4, ($A15-OptionsData!$B$1)/365, O$14)</f>
        <v>0.37936391354619808</v>
      </c>
      <c r="P15" s="43">
        <f>ComputeSVIImpliedVol($L$4, $B5, $M$4, ($A15-OptionsData!$B$1)/365, P$14)</f>
        <v>0.37807661531001052</v>
      </c>
      <c r="Q15" s="43">
        <f>ComputeSVIImpliedVol($L$4, $B5, $M$4, ($A15-OptionsData!$B$1)/365, Q$14)</f>
        <v>0.37829043466652862</v>
      </c>
      <c r="R15" s="43">
        <f>ComputeSVIImpliedVol($L$4, $B5, $M$4, ($A15-OptionsData!$B$1)/365, R$14)</f>
        <v>0.37965691727444678</v>
      </c>
      <c r="S15" s="43">
        <f>ComputeSVIImpliedVol($L$4, $B5, $M$4, ($A15-OptionsData!$B$1)/365, S$14)</f>
        <v>0.38190385087516521</v>
      </c>
      <c r="T15" s="43">
        <f>ComputeSVIImpliedVol($L$4, $B5, $M$4, ($A15-OptionsData!$B$1)/365, T$14)</f>
        <v>0.38482158599751609</v>
      </c>
      <c r="U15" s="43">
        <f>ComputeSVIImpliedVol($L$4, $B5, $M$4, ($A15-OptionsData!$B$1)/365, U$14)</f>
        <v>0.38824955347261891</v>
      </c>
      <c r="V15" s="44">
        <f>ComputeSVIImpliedVol($L$4, $B5, $M$4, ($A15-OptionsData!$B$1)/365, V$14)</f>
        <v>0.39206479798958238</v>
      </c>
    </row>
    <row r="16" spans="1:22" x14ac:dyDescent="0.35">
      <c r="A16" s="37">
        <v>40347</v>
      </c>
      <c r="B16" s="45">
        <f>ComputeSVIImpliedVol($L$4, $B6, $M$4, ($A16-OptionsData!$B$1)/365, B$14)</f>
        <v>0.6468541286496805</v>
      </c>
      <c r="C16" s="46">
        <f>ComputeSVIImpliedVol($L$4, $B6, $M$4, ($A16-OptionsData!$B$1)/365, C$14)</f>
        <v>0.60094314520302972</v>
      </c>
      <c r="D16" s="46">
        <f>ComputeSVIImpliedVol($L$4, $B6, $M$4, ($A16-OptionsData!$B$1)/365, D$14)</f>
        <v>0.5580838967147288</v>
      </c>
      <c r="E16" s="46">
        <f>ComputeSVIImpliedVol($L$4, $B6, $M$4, ($A16-OptionsData!$B$1)/365, E$14)</f>
        <v>0.51838666539148304</v>
      </c>
      <c r="F16" s="46">
        <f>ComputeSVIImpliedVol($L$4, $B6, $M$4, ($A16-OptionsData!$B$1)/365, F$14)</f>
        <v>0.48203403334483652</v>
      </c>
      <c r="G16" s="46">
        <f>ComputeSVIImpliedVol($L$4, $B6, $M$4, ($A16-OptionsData!$B$1)/365, G$14)</f>
        <v>0.44927252655649913</v>
      </c>
      <c r="H16" s="46">
        <f>ComputeSVIImpliedVol($L$4, $B6, $M$4, ($A16-OptionsData!$B$1)/365, H$14)</f>
        <v>0.42038432876631615</v>
      </c>
      <c r="I16" s="46">
        <f>ComputeSVIImpliedVol($L$4, $B6, $M$4, ($A16-OptionsData!$B$1)/365, I$14)</f>
        <v>0.3956302003368482</v>
      </c>
      <c r="J16" s="46">
        <f>ComputeSVIImpliedVol($L$4, $B6, $M$4, ($A16-OptionsData!$B$1)/365, J$14)</f>
        <v>0.37516666675621507</v>
      </c>
      <c r="K16" s="46">
        <f>ComputeSVIImpliedVol($L$4, $B6, $M$4, ($A16-OptionsData!$B$1)/365, K$14)</f>
        <v>0.35896400835070608</v>
      </c>
      <c r="L16" s="46">
        <f>ComputeSVIImpliedVol($L$4, $B6, $M$4, ($A16-OptionsData!$B$1)/365, L$14)</f>
        <v>0.34676823093409004</v>
      </c>
      <c r="M16" s="46">
        <f>ComputeSVIImpliedVol($L$4, $B6, $M$4, ($A16-OptionsData!$B$1)/365, M$14)</f>
        <v>0.33813345309744364</v>
      </c>
      <c r="N16" s="46">
        <f>ComputeSVIImpliedVol($L$4, $B6, $M$4, ($A16-OptionsData!$B$1)/365, N$14)</f>
        <v>0.33250725256103891</v>
      </c>
      <c r="O16" s="46">
        <f>ComputeSVIImpliedVol($L$4, $B6, $M$4, ($A16-OptionsData!$B$1)/365, O$14)</f>
        <v>0.32932352495643258</v>
      </c>
      <c r="P16" s="46">
        <f>ComputeSVIImpliedVol($L$4, $B6, $M$4, ($A16-OptionsData!$B$1)/365, P$14)</f>
        <v>0.3280678227809285</v>
      </c>
      <c r="Q16" s="46">
        <f>ComputeSVIImpliedVol($L$4, $B6, $M$4, ($A16-OptionsData!$B$1)/365, Q$14)</f>
        <v>0.32830725519482734</v>
      </c>
      <c r="R16" s="46">
        <f>ComputeSVIImpliedVol($L$4, $B6, $M$4, ($A16-OptionsData!$B$1)/365, R$14)</f>
        <v>0.32969444289961214</v>
      </c>
      <c r="S16" s="46">
        <f>ComputeSVIImpliedVol($L$4, $B6, $M$4, ($A16-OptionsData!$B$1)/365, S$14)</f>
        <v>0.33195815248223176</v>
      </c>
      <c r="T16" s="46">
        <f>ComputeSVIImpliedVol($L$4, $B6, $M$4, ($A16-OptionsData!$B$1)/365, T$14)</f>
        <v>0.33488955396448539</v>
      </c>
      <c r="U16" s="46">
        <f>ComputeSVIImpliedVol($L$4, $B6, $M$4, ($A16-OptionsData!$B$1)/365, U$14)</f>
        <v>0.33832873495019178</v>
      </c>
      <c r="V16" s="47">
        <f>ComputeSVIImpliedVol($L$4, $B6, $M$4, ($A16-OptionsData!$B$1)/365, V$14)</f>
        <v>0.34215325490040699</v>
      </c>
    </row>
    <row r="17" spans="1:22" ht="13.15" customHeight="1" thickBot="1" x14ac:dyDescent="0.4">
      <c r="A17" s="38">
        <v>40438</v>
      </c>
      <c r="B17" s="48">
        <f>ComputeSVIImpliedVol($L$4, $B7, $M$4, ($A17-OptionsData!$B$1)/365, B$14)</f>
        <v>0.6173916003262292</v>
      </c>
      <c r="C17" s="49">
        <f>ComputeSVIImpliedVol($L$4, $B7, $M$4, ($A17-OptionsData!$B$1)/365, C$14)</f>
        <v>0.5714670846709099</v>
      </c>
      <c r="D17" s="49">
        <f>ComputeSVIImpliedVol($L$4, $B7, $M$4, ($A17-OptionsData!$B$1)/365, D$14)</f>
        <v>0.52859058692922001</v>
      </c>
      <c r="E17" s="49">
        <f>ComputeSVIImpliedVol($L$4, $B7, $M$4, ($A17-OptionsData!$B$1)/365, E$14)</f>
        <v>0.48887136490471972</v>
      </c>
      <c r="F17" s="49">
        <f>ComputeSVIImpliedVol($L$4, $B7, $M$4, ($A17-OptionsData!$B$1)/365, F$14)</f>
        <v>0.45249086587384618</v>
      </c>
      <c r="G17" s="49">
        <f>ComputeSVIImpliedVol($L$4, $B7, $M$4, ($A17-OptionsData!$B$1)/365, G$14)</f>
        <v>0.41969457317980446</v>
      </c>
      <c r="H17" s="49">
        <f>ComputeSVIImpliedVol($L$4, $B7, $M$4, ($A17-OptionsData!$B$1)/365, H$14)</f>
        <v>0.39076411312591419</v>
      </c>
      <c r="I17" s="49">
        <f>ComputeSVIImpliedVol($L$4, $B7, $M$4, ($A17-OptionsData!$B$1)/365, I$14)</f>
        <v>0.36596071423984056</v>
      </c>
      <c r="J17" s="49">
        <f>ComputeSVIImpliedVol($L$4, $B7, $M$4, ($A17-OptionsData!$B$1)/365, J$14)</f>
        <v>0.3454428185513545</v>
      </c>
      <c r="K17" s="49">
        <f>ComputeSVIImpliedVol($L$4, $B7, $M$4, ($A17-OptionsData!$B$1)/365, K$14)</f>
        <v>0.32918394622393538</v>
      </c>
      <c r="L17" s="49">
        <f>ComputeSVIImpliedVol($L$4, $B7, $M$4, ($A17-OptionsData!$B$1)/365, L$14)</f>
        <v>0.31693381509550361</v>
      </c>
      <c r="M17" s="49">
        <f>ComputeSVIImpliedVol($L$4, $B7, $M$4, ($A17-OptionsData!$B$1)/365, M$14)</f>
        <v>0.30824959782184991</v>
      </c>
      <c r="N17" s="49">
        <f>ComputeSVIImpliedVol($L$4, $B7, $M$4, ($A17-OptionsData!$B$1)/365, N$14)</f>
        <v>0.30258057724054765</v>
      </c>
      <c r="O17" s="49">
        <f>ComputeSVIImpliedVol($L$4, $B7, $M$4, ($A17-OptionsData!$B$1)/365, O$14)</f>
        <v>0.29936102282234395</v>
      </c>
      <c r="P17" s="49">
        <f>ComputeSVIImpliedVol($L$4, $B7, $M$4, ($A17-OptionsData!$B$1)/365, P$14)</f>
        <v>0.2980759726699227</v>
      </c>
      <c r="Q17" s="49">
        <f>ComputeSVIImpliedVol($L$4, $B7, $M$4, ($A17-OptionsData!$B$1)/365, Q$14)</f>
        <v>0.2982916146036767</v>
      </c>
      <c r="R17" s="49">
        <f>ComputeSVIImpliedVol($L$4, $B7, $M$4, ($A17-OptionsData!$B$1)/365, R$14)</f>
        <v>0.29965957061864001</v>
      </c>
      <c r="S17" s="49">
        <f>ComputeSVIImpliedVol($L$4, $B7, $M$4, ($A17-OptionsData!$B$1)/365, S$14)</f>
        <v>0.30190769803665674</v>
      </c>
      <c r="T17" s="49">
        <f>ComputeSVIImpliedVol($L$4, $B7, $M$4, ($A17-OptionsData!$B$1)/365, T$14)</f>
        <v>0.30482640567421132</v>
      </c>
      <c r="U17" s="49">
        <f>ComputeSVIImpliedVol($L$4, $B7, $M$4, ($A17-OptionsData!$B$1)/365, U$14)</f>
        <v>0.30825517109257683</v>
      </c>
      <c r="V17" s="50">
        <f>ComputeSVIImpliedVol($L$4, $B7, $M$4, ($A17-OptionsData!$B$1)/365, V$14)</f>
        <v>0.31207107561496195</v>
      </c>
    </row>
    <row r="21" spans="1:22" ht="13.15" customHeight="1" thickBot="1" x14ac:dyDescent="0.4"/>
    <row r="22" spans="1:22" ht="13.5" customHeight="1" thickBot="1" x14ac:dyDescent="0.45">
      <c r="B22" s="99" t="s">
        <v>125</v>
      </c>
      <c r="C22" s="97"/>
      <c r="D22" s="97"/>
      <c r="E22" s="98"/>
    </row>
    <row r="23" spans="1:22" ht="13.5" customHeight="1" thickBot="1" x14ac:dyDescent="0.45">
      <c r="A23" s="18" t="s">
        <v>3</v>
      </c>
      <c r="B23" s="39">
        <f>ROUND((0.7+COUNTA($A$23:A23)*0.03)*$L$5,0)</f>
        <v>2121</v>
      </c>
      <c r="C23" s="40">
        <f>ROUND((0.7+COUNTA($A$23:B23)*0.03)*$L$5,0)</f>
        <v>2208</v>
      </c>
      <c r="D23" s="40">
        <f>ROUND((0.7+COUNTA($A$23:C23)*0.03)*$L$5,0)</f>
        <v>2295</v>
      </c>
      <c r="E23" s="40">
        <f>ROUND((0.7+COUNTA($A$23:D23)*0.03)*$L$5,0)</f>
        <v>2382</v>
      </c>
      <c r="F23" s="40">
        <f>ROUND((0.7+COUNTA($A$23:E23)*0.03)*$L$5,0)</f>
        <v>2469</v>
      </c>
      <c r="G23" s="40">
        <f>ROUND((0.7+COUNTA($A$23:F23)*0.03)*$L$5,0)</f>
        <v>2556</v>
      </c>
      <c r="H23" s="40">
        <f>ROUND((0.7+COUNTA($A$23:G23)*0.03)*$L$5,0)</f>
        <v>2644</v>
      </c>
      <c r="I23" s="40">
        <f>ROUND((0.7+COUNTA($A$23:H23)*0.03)*$L$5,0)</f>
        <v>2731</v>
      </c>
      <c r="J23" s="40">
        <f>ROUND((0.7+COUNTA($A$23:I23)*0.03)*$L$5,0)</f>
        <v>2818</v>
      </c>
      <c r="K23" s="40">
        <f>ROUND((0.7+COUNTA($A$23:J23)*0.03)*$L$5,0)</f>
        <v>2905</v>
      </c>
      <c r="L23" s="40">
        <f>ROUND((0.7+COUNTA($A$23:K23)*0.03)*$L$5,0)</f>
        <v>2992</v>
      </c>
      <c r="M23" s="40">
        <f>ROUND((0.7+COUNTA($A$23:L23)*0.03)*$L$5,0)</f>
        <v>3079</v>
      </c>
      <c r="N23" s="40">
        <f>ROUND((0.7+COUNTA($A$23:M23)*0.03)*$L$5,0)</f>
        <v>3166</v>
      </c>
      <c r="O23" s="40">
        <f>ROUND((0.7+COUNTA($A$23:N23)*0.03)*$L$5,0)</f>
        <v>3254</v>
      </c>
      <c r="P23" s="40">
        <f>ROUND((0.7+COUNTA($A$23:O23)*0.03)*$L$5,0)</f>
        <v>3341</v>
      </c>
      <c r="Q23" s="40">
        <f>ROUND((0.7+COUNTA($A$23:P23)*0.03)*$L$5,0)</f>
        <v>3428</v>
      </c>
      <c r="R23" s="40">
        <f>ROUND((0.7+COUNTA($A$23:Q23)*0.03)*$L$5,0)</f>
        <v>3515</v>
      </c>
      <c r="S23" s="40">
        <f>ROUND((0.7+COUNTA($A$23:R23)*0.03)*$L$5,0)</f>
        <v>3602</v>
      </c>
      <c r="T23" s="40">
        <f>ROUND((0.7+COUNTA($A$23:S23)*0.03)*$L$5,0)</f>
        <v>3689</v>
      </c>
      <c r="U23" s="40">
        <f>ROUND((0.7+COUNTA($A$23:T23)*0.03)*$L$5,0)</f>
        <v>3777</v>
      </c>
      <c r="V23" s="41">
        <f>ROUND((0.7+COUNTA($A$23:U23)*0.03)*$L$5,0)</f>
        <v>3864</v>
      </c>
    </row>
    <row r="24" spans="1:22" x14ac:dyDescent="0.35">
      <c r="A24" s="36">
        <v>40256</v>
      </c>
      <c r="B24" s="42">
        <f>ComputeSVIImpliedVol($L$5, $C5, $M$5, ($A24-OptionsData!$B$1)/365, B$23)</f>
        <v>0.6991781272398675</v>
      </c>
      <c r="C24" s="43">
        <f>ComputeSVIImpliedVol($L$5, $C5, $M$5, ($A24-OptionsData!$B$1)/365, C$23)</f>
        <v>0.65329282879237871</v>
      </c>
      <c r="D24" s="43">
        <f>ComputeSVIImpliedVol($L$5, $C5, $M$5, ($A24-OptionsData!$B$1)/365, D$23)</f>
        <v>0.61043171038593336</v>
      </c>
      <c r="E24" s="43">
        <f>ComputeSVIImpliedVol($L$5, $C5, $M$5, ($A24-OptionsData!$B$1)/365, E$23)</f>
        <v>0.57069984984569611</v>
      </c>
      <c r="F24" s="43">
        <f>ComputeSVIImpliedVol($L$5, $C5, $M$5, ($A24-OptionsData!$B$1)/365, F$23)</f>
        <v>0.53427360882026176</v>
      </c>
      <c r="G24" s="43">
        <f>ComputeSVIImpliedVol($L$5, $C5, $M$5, ($A24-OptionsData!$B$1)/365, G$23)</f>
        <v>0.50139327707893011</v>
      </c>
      <c r="H24" s="43">
        <f>ComputeSVIImpliedVol($L$5, $C5, $M$5, ($A24-OptionsData!$B$1)/365, H$23)</f>
        <v>0.47202620384025112</v>
      </c>
      <c r="I24" s="43">
        <f>ComputeSVIImpliedVol($L$5, $C5, $M$5, ($A24-OptionsData!$B$1)/365, I$23)</f>
        <v>0.44710369321260829</v>
      </c>
      <c r="J24" s="43">
        <f>ComputeSVIImpliedVol($L$5, $C5, $M$5, ($A24-OptionsData!$B$1)/365, J$23)</f>
        <v>0.4264333531544322</v>
      </c>
      <c r="K24" s="43">
        <f>ComputeSVIImpliedVol($L$5, $C5, $M$5, ($A24-OptionsData!$B$1)/365, K$23)</f>
        <v>0.41000000000000003</v>
      </c>
      <c r="L24" s="43">
        <f>ComputeSVIImpliedVol($L$5, $C5, $M$5, ($A24-OptionsData!$B$1)/365, L$23)</f>
        <v>0.39756798563679596</v>
      </c>
      <c r="M24" s="43">
        <f>ComputeSVIImpliedVol($L$5, $C5, $M$5, ($A24-OptionsData!$B$1)/365, M$23)</f>
        <v>0.38870814783338209</v>
      </c>
      <c r="N24" s="43">
        <f>ComputeSVIImpliedVol($L$5, $C5, $M$5, ($A24-OptionsData!$B$1)/365, N$23)</f>
        <v>0.38287914834035391</v>
      </c>
      <c r="O24" s="43">
        <f>ComputeSVIImpliedVol($L$5, $C5, $M$5, ($A24-OptionsData!$B$1)/365, O$23)</f>
        <v>0.37949325066550765</v>
      </c>
      <c r="P24" s="43">
        <f>ComputeSVIImpliedVol($L$5, $C5, $M$5, ($A24-OptionsData!$B$1)/365, P$23)</f>
        <v>0.37810838448875234</v>
      </c>
      <c r="Q24" s="43">
        <f>ComputeSVIImpliedVol($L$5, $C5, $M$5, ($A24-OptionsData!$B$1)/365, Q$23)</f>
        <v>0.3782383680292763</v>
      </c>
      <c r="R24" s="43">
        <f>ComputeSVIImpliedVol($L$5, $C5, $M$5, ($A24-OptionsData!$B$1)/365, R$23)</f>
        <v>0.37953314249922887</v>
      </c>
      <c r="S24" s="43">
        <f>ComputeSVIImpliedVol($L$5, $C5, $M$5, ($A24-OptionsData!$B$1)/365, S$23)</f>
        <v>0.38171865851726589</v>
      </c>
      <c r="T24" s="43">
        <f>ComputeSVIImpliedVol($L$5, $C5, $M$5, ($A24-OptionsData!$B$1)/365, T$23)</f>
        <v>0.38458353078877761</v>
      </c>
      <c r="U24" s="43">
        <f>ComputeSVIImpliedVol($L$5, $C5, $M$5, ($A24-OptionsData!$B$1)/365, U$23)</f>
        <v>0.38800705243256683</v>
      </c>
      <c r="V24" s="44">
        <f>ComputeSVIImpliedVol($L$5, $C5, $M$5, ($A24-OptionsData!$B$1)/365, V$23)</f>
        <v>0.39178619863445485</v>
      </c>
    </row>
    <row r="25" spans="1:22" x14ac:dyDescent="0.35">
      <c r="A25" s="37">
        <v>40347</v>
      </c>
      <c r="B25" s="45">
        <f>ComputeSVIImpliedVol($L$5, $C6, $M$5, ($A25-OptionsData!$B$1)/365, B$23)</f>
        <v>0.64968136199349635</v>
      </c>
      <c r="C25" s="46">
        <f>ComputeSVIImpliedVol($L$5, $C6, $M$5, ($A25-OptionsData!$B$1)/365, C$23)</f>
        <v>0.60378360884951388</v>
      </c>
      <c r="D25" s="46">
        <f>ComputeSVIImpliedVol($L$5, $C6, $M$5, ($A25-OptionsData!$B$1)/365, D$23)</f>
        <v>0.56090663168336818</v>
      </c>
      <c r="E25" s="46">
        <f>ComputeSVIImpliedVol($L$5, $C6, $M$5, ($A25-OptionsData!$B$1)/365, E$23)</f>
        <v>0.52115456945450056</v>
      </c>
      <c r="F25" s="46">
        <f>ComputeSVIImpliedVol($L$5, $C6, $M$5, ($A25-OptionsData!$B$1)/365, F$23)</f>
        <v>0.48470273685574106</v>
      </c>
      <c r="G25" s="46">
        <f>ComputeSVIImpliedVol($L$5, $C6, $M$5, ($A25-OptionsData!$B$1)/365, G$23)</f>
        <v>0.45179044549235903</v>
      </c>
      <c r="H25" s="46">
        <f>ComputeSVIImpliedVol($L$5, $C6, $M$5, ($A25-OptionsData!$B$1)/365, H$23)</f>
        <v>0.42238399740380983</v>
      </c>
      <c r="I25" s="46">
        <f>ComputeSVIImpliedVol($L$5, $C6, $M$5, ($A25-OptionsData!$B$1)/365, I$23)</f>
        <v>0.39741595217249831</v>
      </c>
      <c r="J25" s="46">
        <f>ComputeSVIImpliedVol($L$5, $C6, $M$5, ($A25-OptionsData!$B$1)/365, J$23)</f>
        <v>0.37669519516657596</v>
      </c>
      <c r="K25" s="46">
        <f>ComputeSVIImpliedVol($L$5, $C6, $M$5, ($A25-OptionsData!$B$1)/365, K$23)</f>
        <v>0.36020947541332365</v>
      </c>
      <c r="L25" s="46">
        <f>ComputeSVIImpliedVol($L$5, $C6, $M$5, ($A25-OptionsData!$B$1)/365, L$23)</f>
        <v>0.34772658193908196</v>
      </c>
      <c r="M25" s="46">
        <f>ComputeSVIImpliedVol($L$5, $C6, $M$5, ($A25-OptionsData!$B$1)/365, M$23)</f>
        <v>0.33882025143471611</v>
      </c>
      <c r="N25" s="46">
        <f>ComputeSVIImpliedVol($L$5, $C6, $M$5, ($A25-OptionsData!$B$1)/365, N$23)</f>
        <v>0.33295082614007965</v>
      </c>
      <c r="O25" s="46">
        <f>ComputeSVIImpliedVol($L$5, $C6, $M$5, ($A25-OptionsData!$B$1)/365, O$23)</f>
        <v>0.32953064934971316</v>
      </c>
      <c r="P25" s="46">
        <f>ComputeSVIImpliedVol($L$5, $C6, $M$5, ($A25-OptionsData!$B$1)/365, P$23)</f>
        <v>0.32811799827176868</v>
      </c>
      <c r="Q25" s="46">
        <f>ComputeSVIImpliedVol($L$5, $C6, $M$5, ($A25-OptionsData!$B$1)/365, Q$23)</f>
        <v>0.32822542861494541</v>
      </c>
      <c r="R25" s="46">
        <f>ComputeSVIImpliedVol($L$5, $C6, $M$5, ($A25-OptionsData!$B$1)/365, R$23)</f>
        <v>0.32950195647908764</v>
      </c>
      <c r="S25" s="46">
        <f>ComputeSVIImpliedVol($L$5, $C6, $M$5, ($A25-OptionsData!$B$1)/365, S$23)</f>
        <v>0.33167268159516239</v>
      </c>
      <c r="T25" s="46">
        <f>ComputeSVIImpliedVol($L$5, $C6, $M$5, ($A25-OptionsData!$B$1)/365, T$23)</f>
        <v>0.33452550208744714</v>
      </c>
      <c r="U25" s="46">
        <f>ComputeSVIImpliedVol($L$5, $C6, $M$5, ($A25-OptionsData!$B$1)/365, U$23)</f>
        <v>0.33793903168465805</v>
      </c>
      <c r="V25" s="47">
        <f>ComputeSVIImpliedVol($L$5, $C6, $M$5, ($A25-OptionsData!$B$1)/365, V$23)</f>
        <v>0.34171001606489826</v>
      </c>
    </row>
    <row r="26" spans="1:22" ht="13.15" customHeight="1" thickBot="1" x14ac:dyDescent="0.4">
      <c r="A26" s="38">
        <v>40438</v>
      </c>
      <c r="B26" s="48">
        <f>ComputeSVIImpliedVol($L$5, $C7, $M$5, ($A26-OptionsData!$B$1)/365, B$23)</f>
        <v>0.62155289819763493</v>
      </c>
      <c r="C26" s="49">
        <f>ComputeSVIImpliedVol($L$5, $C7, $M$5, ($A26-OptionsData!$B$1)/365, C$23)</f>
        <v>0.57560918132534866</v>
      </c>
      <c r="D26" s="49">
        <f>ComputeSVIImpliedVol($L$5, $C7, $M$5, ($A26-OptionsData!$B$1)/365, D$23)</f>
        <v>0.5326736963684795</v>
      </c>
      <c r="E26" s="49">
        <f>ComputeSVIImpliedVol($L$5, $C7, $M$5, ($A26-OptionsData!$B$1)/365, E$23)</f>
        <v>0.49284711824804434</v>
      </c>
      <c r="F26" s="49">
        <f>ComputeSVIImpliedVol($L$5, $C7, $M$5, ($A26-OptionsData!$B$1)/365, F$23)</f>
        <v>0.45630088682293557</v>
      </c>
      <c r="G26" s="49">
        <f>ComputeSVIImpliedVol($L$5, $C7, $M$5, ($A26-OptionsData!$B$1)/365, G$23)</f>
        <v>0.42327066685481735</v>
      </c>
      <c r="H26" s="49">
        <f>ComputeSVIImpliedVol($L$5, $C7, $M$5, ($A26-OptionsData!$B$1)/365, H$23)</f>
        <v>0.39371881423368227</v>
      </c>
      <c r="I26" s="49">
        <f>ComputeSVIImpliedVol($L$5, $C7, $M$5, ($A26-OptionsData!$B$1)/365, I$23)</f>
        <v>0.36858239664855386</v>
      </c>
      <c r="J26" s="49">
        <f>ComputeSVIImpliedVol($L$5, $C7, $M$5, ($A26-OptionsData!$B$1)/365, J$23)</f>
        <v>0.34767487485320769</v>
      </c>
      <c r="K26" s="49">
        <f>ComputeSVIImpliedVol($L$5, $C7, $M$5, ($A26-OptionsData!$B$1)/365, K$23)</f>
        <v>0.33099474550808305</v>
      </c>
      <c r="L26" s="49">
        <f>ComputeSVIImpliedVol($L$5, $C7, $M$5, ($A26-OptionsData!$B$1)/365, L$23)</f>
        <v>0.31832253543946004</v>
      </c>
      <c r="M26" s="49">
        <f>ComputeSVIImpliedVol($L$5, $C7, $M$5, ($A26-OptionsData!$B$1)/365, M$23)</f>
        <v>0.30924284897681759</v>
      </c>
      <c r="N26" s="49">
        <f>ComputeSVIImpliedVol($L$5, $C7, $M$5, ($A26-OptionsData!$B$1)/365, N$23)</f>
        <v>0.30322243251129011</v>
      </c>
      <c r="O26" s="49">
        <f>ComputeSVIImpliedVol($L$5, $C7, $M$5, ($A26-OptionsData!$B$1)/365, O$23)</f>
        <v>0.29967406175911204</v>
      </c>
      <c r="P26" s="49">
        <f>ComputeSVIImpliedVol($L$5, $C7, $M$5, ($A26-OptionsData!$B$1)/365, P$23)</f>
        <v>0.29815741679134772</v>
      </c>
      <c r="Q26" s="49">
        <f>ComputeSVIImpliedVol($L$5, $C7, $M$5, ($A26-OptionsData!$B$1)/365, Q$23)</f>
        <v>0.29818039364376403</v>
      </c>
      <c r="R26" s="49">
        <f>ComputeSVIImpliedVol($L$5, $C7, $M$5, ($A26-OptionsData!$B$1)/365, R$23)</f>
        <v>0.2993885786495244</v>
      </c>
      <c r="S26" s="49">
        <f>ComputeSVIImpliedVol($L$5, $C7, $M$5, ($A26-OptionsData!$B$1)/365, S$23)</f>
        <v>0.30150390095604862</v>
      </c>
      <c r="T26" s="49">
        <f>ComputeSVIImpliedVol($L$5, $C7, $M$5, ($A26-OptionsData!$B$1)/365, T$23)</f>
        <v>0.30431158113173035</v>
      </c>
      <c r="U26" s="49">
        <f>ComputeSVIImpliedVol($L$5, $C7, $M$5, ($A26-OptionsData!$B$1)/365, U$23)</f>
        <v>0.30768768998056056</v>
      </c>
      <c r="V26" s="50">
        <f>ComputeSVIImpliedVol($L$5, $C7, $M$5, ($A26-OptionsData!$B$1)/365, V$23)</f>
        <v>0.31142811312811658</v>
      </c>
    </row>
    <row r="30" spans="1:22" ht="13.15" customHeight="1" thickBot="1" x14ac:dyDescent="0.4"/>
    <row r="31" spans="1:22" ht="13.5" customHeight="1" thickBot="1" x14ac:dyDescent="0.45">
      <c r="B31" s="99" t="s">
        <v>126</v>
      </c>
      <c r="C31" s="97"/>
      <c r="D31" s="97"/>
      <c r="E31" s="98"/>
    </row>
    <row r="32" spans="1:22" ht="13.5" customHeight="1" thickBot="1" x14ac:dyDescent="0.45">
      <c r="A32" s="18" t="s">
        <v>3</v>
      </c>
      <c r="B32" s="39">
        <f>ROUND((0.7+COUNTA($A$32:A32)*0.03)*$L$6,0)</f>
        <v>7316</v>
      </c>
      <c r="C32" s="40">
        <f>ROUND((0.7+COUNTA($A$32:B32)*0.03)*$L$6,0)</f>
        <v>7617</v>
      </c>
      <c r="D32" s="40">
        <f>ROUND((0.7+COUNTA($A$32:C32)*0.03)*$L$6,0)</f>
        <v>7917</v>
      </c>
      <c r="E32" s="40">
        <f>ROUND((0.7+COUNTA($A$32:D32)*0.03)*$L$6,0)</f>
        <v>8218</v>
      </c>
      <c r="F32" s="40">
        <f>ROUND((0.7+COUNTA($A$32:E32)*0.03)*$L$6,0)</f>
        <v>8519</v>
      </c>
      <c r="G32" s="40">
        <f>ROUND((0.7+COUNTA($A$32:F32)*0.03)*$L$6,0)</f>
        <v>8819</v>
      </c>
      <c r="H32" s="40">
        <f>ROUND((0.7+COUNTA($A$32:G32)*0.03)*$L$6,0)</f>
        <v>9120</v>
      </c>
      <c r="I32" s="40">
        <f>ROUND((0.7+COUNTA($A$32:H32)*0.03)*$L$6,0)</f>
        <v>9421</v>
      </c>
      <c r="J32" s="40">
        <f>ROUND((0.7+COUNTA($A$32:I32)*0.03)*$L$6,0)</f>
        <v>9721</v>
      </c>
      <c r="K32" s="40">
        <f>ROUND((0.7+COUNTA($A$32:J32)*0.03)*$L$6,0)</f>
        <v>10022</v>
      </c>
      <c r="L32" s="40">
        <f>ROUND((0.7+COUNTA($A$32:K32)*0.03)*$L$6,0)</f>
        <v>10323</v>
      </c>
      <c r="M32" s="40">
        <f>ROUND((0.7+COUNTA($A$32:L32)*0.03)*$L$6,0)</f>
        <v>10623</v>
      </c>
      <c r="N32" s="40">
        <f>ROUND((0.7+COUNTA($A$32:M32)*0.03)*$L$6,0)</f>
        <v>10924</v>
      </c>
      <c r="O32" s="40">
        <f>ROUND((0.7+COUNTA($A$32:N32)*0.03)*$L$6,0)</f>
        <v>11225</v>
      </c>
      <c r="P32" s="40">
        <f>ROUND((0.7+COUNTA($A$32:O32)*0.03)*$L$6,0)</f>
        <v>11525</v>
      </c>
      <c r="Q32" s="40">
        <f>ROUND((0.7+COUNTA($A$32:P32)*0.03)*$L$6,0)</f>
        <v>11826</v>
      </c>
      <c r="R32" s="40">
        <f>ROUND((0.7+COUNTA($A$32:Q32)*0.03)*$L$6,0)</f>
        <v>12127</v>
      </c>
      <c r="S32" s="40">
        <f>ROUND((0.7+COUNTA($A$32:R32)*0.03)*$L$6,0)</f>
        <v>12427</v>
      </c>
      <c r="T32" s="40">
        <f>ROUND((0.7+COUNTA($A$32:S32)*0.03)*$L$6,0)</f>
        <v>12728</v>
      </c>
      <c r="U32" s="40">
        <f>ROUND((0.7+COUNTA($A$32:T32)*0.03)*$L$6,0)</f>
        <v>13029</v>
      </c>
      <c r="V32" s="41">
        <f>ROUND((0.7+COUNTA($A$32:U32)*0.03)*$L$6,0)</f>
        <v>13329</v>
      </c>
    </row>
    <row r="33" spans="1:22" x14ac:dyDescent="0.35">
      <c r="A33" s="36">
        <v>40256</v>
      </c>
      <c r="B33" s="42">
        <f>ComputeSVIImpliedVol($L$6, $D5, $M$6, ($A33-OptionsData!$B$1)/365, B$32)</f>
        <v>0.69937823423277312</v>
      </c>
      <c r="C33" s="43">
        <f>ComputeSVIImpliedVol($L$6, $D5, $M$6, ($A33-OptionsData!$B$1)/365, C$32)</f>
        <v>0.65335345948392864</v>
      </c>
      <c r="D33" s="43">
        <f>ComputeSVIImpliedVol($L$6, $D5, $M$6, ($A33-OptionsData!$B$1)/365, D$32)</f>
        <v>0.61050777657168598</v>
      </c>
      <c r="E33" s="43">
        <f>ComputeSVIImpliedVol($L$6, $D5, $M$6, ($A33-OptionsData!$B$1)/365, E$32)</f>
        <v>0.57066112154929638</v>
      </c>
      <c r="F33" s="43">
        <f>ComputeSVIImpliedVol($L$6, $D5, $M$6, ($A33-OptionsData!$B$1)/365, F$32)</f>
        <v>0.53413924786865796</v>
      </c>
      <c r="G33" s="43">
        <f>ComputeSVIImpliedVol($L$6, $D5, $M$6, ($A33-OptionsData!$B$1)/365, G$32)</f>
        <v>0.50128789955019382</v>
      </c>
      <c r="H33" s="43">
        <f>ComputeSVIImpliedVol($L$6, $D5, $M$6, ($A33-OptionsData!$B$1)/365, H$32)</f>
        <v>0.47216774083559543</v>
      </c>
      <c r="I33" s="43">
        <f>ComputeSVIImpliedVol($L$6, $D5, $M$6, ($A33-OptionsData!$B$1)/365, I$32)</f>
        <v>0.44715804419709632</v>
      </c>
      <c r="J33" s="43">
        <f>ComputeSVIImpliedVol($L$6, $D5, $M$6, ($A33-OptionsData!$B$1)/365, J$32)</f>
        <v>0.42648631308121449</v>
      </c>
      <c r="K33" s="43">
        <f>ComputeSVIImpliedVol($L$6, $D5, $M$6, ($A33-OptionsData!$B$1)/365, K$32)</f>
        <v>0.41000000000000003</v>
      </c>
      <c r="L33" s="43">
        <f>ComputeSVIImpliedVol($L$6, $D5, $M$6, ($A33-OptionsData!$B$1)/365, L$32)</f>
        <v>0.39753782583952535</v>
      </c>
      <c r="M33" s="43">
        <f>ComputeSVIImpliedVol($L$6, $D5, $M$6, ($A33-OptionsData!$B$1)/365, M$32)</f>
        <v>0.38869088679327013</v>
      </c>
      <c r="N33" s="43">
        <f>ComputeSVIImpliedVol($L$6, $D5, $M$6, ($A33-OptionsData!$B$1)/365, N$32)</f>
        <v>0.38285559076403775</v>
      </c>
      <c r="O33" s="43">
        <f>ComputeSVIImpliedVol($L$6, $D5, $M$6, ($A33-OptionsData!$B$1)/365, O$32)</f>
        <v>0.37950101005471171</v>
      </c>
      <c r="P33" s="43">
        <f>ComputeSVIImpliedVol($L$6, $D5, $M$6, ($A33-OptionsData!$B$1)/365, P$32)</f>
        <v>0.37811057320454411</v>
      </c>
      <c r="Q33" s="43">
        <f>ComputeSVIImpliedVol($L$6, $D5, $M$6, ($A33-OptionsData!$B$1)/365, Q$32)</f>
        <v>0.37823759230960002</v>
      </c>
      <c r="R33" s="43">
        <f>ComputeSVIImpliedVol($L$6, $D5, $M$6, ($A33-OptionsData!$B$1)/365, R$32)</f>
        <v>0.37953642082627642</v>
      </c>
      <c r="S33" s="43">
        <f>ComputeSVIImpliedVol($L$6, $D5, $M$6, ($A33-OptionsData!$B$1)/365, S$32)</f>
        <v>0.38172215039992052</v>
      </c>
      <c r="T33" s="43">
        <f>ComputeSVIImpliedVol($L$6, $D5, $M$6, ($A33-OptionsData!$B$1)/365, T$32)</f>
        <v>0.38459682493343944</v>
      </c>
      <c r="U33" s="43">
        <f>ComputeSVIImpliedVol($L$6, $D5, $M$6, ($A33-OptionsData!$B$1)/365, U$32)</f>
        <v>0.38799115893175551</v>
      </c>
      <c r="V33" s="44">
        <f>ComputeSVIImpliedVol($L$6, $D5, $M$6, ($A33-OptionsData!$B$1)/365, V$32)</f>
        <v>0.39176693202803226</v>
      </c>
    </row>
    <row r="34" spans="1:22" x14ac:dyDescent="0.35">
      <c r="A34" s="37">
        <v>40347</v>
      </c>
      <c r="B34" s="45">
        <f>ComputeSVIImpliedVol($L$6, $D6, $M$6, ($A34-OptionsData!$B$1)/365, B$32)</f>
        <v>0.64937823423277319</v>
      </c>
      <c r="C34" s="46">
        <f>ComputeSVIImpliedVol($L$6, $D6, $M$6, ($A34-OptionsData!$B$1)/365, C$32)</f>
        <v>0.60335345948392871</v>
      </c>
      <c r="D34" s="46">
        <f>ComputeSVIImpliedVol($L$6, $D6, $M$6, ($A34-OptionsData!$B$1)/365, D$32)</f>
        <v>0.56050777657168604</v>
      </c>
      <c r="E34" s="46">
        <f>ComputeSVIImpliedVol($L$6, $D6, $M$6, ($A34-OptionsData!$B$1)/365, E$32)</f>
        <v>0.52066112154929634</v>
      </c>
      <c r="F34" s="46">
        <f>ComputeSVIImpliedVol($L$6, $D6, $M$6, ($A34-OptionsData!$B$1)/365, F$32)</f>
        <v>0.48413924786865792</v>
      </c>
      <c r="G34" s="46">
        <f>ComputeSVIImpliedVol($L$6, $D6, $M$6, ($A34-OptionsData!$B$1)/365, G$32)</f>
        <v>0.45128789955019383</v>
      </c>
      <c r="H34" s="46">
        <f>ComputeSVIImpliedVol($L$6, $D6, $M$6, ($A34-OptionsData!$B$1)/365, H$32)</f>
        <v>0.42216774083559544</v>
      </c>
      <c r="I34" s="46">
        <f>ComputeSVIImpliedVol($L$6, $D6, $M$6, ($A34-OptionsData!$B$1)/365, I$32)</f>
        <v>0.39715804419709633</v>
      </c>
      <c r="J34" s="46">
        <f>ComputeSVIImpliedVol($L$6, $D6, $M$6, ($A34-OptionsData!$B$1)/365, J$32)</f>
        <v>0.3764863130812145</v>
      </c>
      <c r="K34" s="46">
        <f>ComputeSVIImpliedVol($L$6, $D6, $M$6, ($A34-OptionsData!$B$1)/365, K$32)</f>
        <v>0.36000000000000004</v>
      </c>
      <c r="L34" s="46">
        <f>ComputeSVIImpliedVol($L$6, $D6, $M$6, ($A34-OptionsData!$B$1)/365, L$32)</f>
        <v>0.34753782583952536</v>
      </c>
      <c r="M34" s="46">
        <f>ComputeSVIImpliedVol($L$6, $D6, $M$6, ($A34-OptionsData!$B$1)/365, M$32)</f>
        <v>0.33869088679327014</v>
      </c>
      <c r="N34" s="46">
        <f>ComputeSVIImpliedVol($L$6, $D6, $M$6, ($A34-OptionsData!$B$1)/365, N$32)</f>
        <v>0.33285559076403776</v>
      </c>
      <c r="O34" s="46">
        <f>ComputeSVIImpliedVol($L$6, $D6, $M$6, ($A34-OptionsData!$B$1)/365, O$32)</f>
        <v>0.32950101005471172</v>
      </c>
      <c r="P34" s="46">
        <f>ComputeSVIImpliedVol($L$6, $D6, $M$6, ($A34-OptionsData!$B$1)/365, P$32)</f>
        <v>0.32811057320454412</v>
      </c>
      <c r="Q34" s="46">
        <f>ComputeSVIImpliedVol($L$6, $D6, $M$6, ($A34-OptionsData!$B$1)/365, Q$32)</f>
        <v>0.32823759230960003</v>
      </c>
      <c r="R34" s="46">
        <f>ComputeSVIImpliedVol($L$6, $D6, $M$6, ($A34-OptionsData!$B$1)/365, R$32)</f>
        <v>0.32953642082627643</v>
      </c>
      <c r="S34" s="46">
        <f>ComputeSVIImpliedVol($L$6, $D6, $M$6, ($A34-OptionsData!$B$1)/365, S$32)</f>
        <v>0.33172215039992053</v>
      </c>
      <c r="T34" s="46">
        <f>ComputeSVIImpliedVol($L$6, $D6, $M$6, ($A34-OptionsData!$B$1)/365, T$32)</f>
        <v>0.33459682493343945</v>
      </c>
      <c r="U34" s="46">
        <f>ComputeSVIImpliedVol($L$6, $D6, $M$6, ($A34-OptionsData!$B$1)/365, U$32)</f>
        <v>0.33799115893175552</v>
      </c>
      <c r="V34" s="47">
        <f>ComputeSVIImpliedVol($L$6, $D6, $M$6, ($A34-OptionsData!$B$1)/365, V$32)</f>
        <v>0.34176693202803227</v>
      </c>
    </row>
    <row r="35" spans="1:22" ht="13.15" customHeight="1" thickBot="1" x14ac:dyDescent="0.4">
      <c r="A35" s="38">
        <v>40438</v>
      </c>
      <c r="B35" s="48">
        <f>ComputeSVIImpliedVol($L$6, $D7, $M$6, ($A35-OptionsData!$B$1)/365, B$32)</f>
        <v>0.62135721251367515</v>
      </c>
      <c r="C35" s="49">
        <f>ComputeSVIImpliedVol($L$6, $D7, $M$6, ($A35-OptionsData!$B$1)/365, C$32)</f>
        <v>0.5752835905302579</v>
      </c>
      <c r="D35" s="49">
        <f>ComputeSVIImpliedVol($L$6, $D7, $M$6, ($A35-OptionsData!$B$1)/365, D$32)</f>
        <v>0.53237591211411928</v>
      </c>
      <c r="E35" s="49">
        <f>ComputeSVIImpliedVol($L$6, $D7, $M$6, ($A35-OptionsData!$B$1)/365, E$32)</f>
        <v>0.49245000611593676</v>
      </c>
      <c r="F35" s="49">
        <f>ComputeSVIImpliedVol($L$6, $D7, $M$6, ($A35-OptionsData!$B$1)/365, F$32)</f>
        <v>0.45582766936059937</v>
      </c>
      <c r="G35" s="49">
        <f>ComputeSVIImpliedVol($L$6, $D7, $M$6, ($A35-OptionsData!$B$1)/365, G$32)</f>
        <v>0.42285122533835773</v>
      </c>
      <c r="H35" s="49">
        <f>ComputeSVIImpliedVol($L$6, $D7, $M$6, ($A35-OptionsData!$B$1)/365, H$32)</f>
        <v>0.39357825698103488</v>
      </c>
      <c r="I35" s="49">
        <f>ComputeSVIImpliedVol($L$6, $D7, $M$6, ($A35-OptionsData!$B$1)/365, I$32)</f>
        <v>0.36838973116826368</v>
      </c>
      <c r="J35" s="49">
        <f>ComputeSVIImpliedVol($L$6, $D7, $M$6, ($A35-OptionsData!$B$1)/365, J$32)</f>
        <v>0.34752036702571659</v>
      </c>
      <c r="K35" s="49">
        <f>ComputeSVIImpliedVol($L$6, $D7, $M$6, ($A35-OptionsData!$B$1)/365, K$32)</f>
        <v>0.3308277818403737</v>
      </c>
      <c r="L35" s="49">
        <f>ComputeSVIImpliedVol($L$6, $D7, $M$6, ($A35-OptionsData!$B$1)/365, L$32)</f>
        <v>0.31816492693617782</v>
      </c>
      <c r="M35" s="49">
        <f>ComputeSVIImpliedVol($L$6, $D7, $M$6, ($A35-OptionsData!$B$1)/365, M$32)</f>
        <v>0.30913501807921256</v>
      </c>
      <c r="N35" s="49">
        <f>ComputeSVIImpliedVol($L$6, $D7, $M$6, ($A35-OptionsData!$B$1)/365, N$32)</f>
        <v>0.30313997799891801</v>
      </c>
      <c r="O35" s="49">
        <f>ComputeSVIImpliedVol($L$6, $D7, $M$6, ($A35-OptionsData!$B$1)/365, O$32)</f>
        <v>0.29965131984775129</v>
      </c>
      <c r="P35" s="49">
        <f>ComputeSVIImpliedVol($L$6, $D7, $M$6, ($A35-OptionsData!$B$1)/365, P$32)</f>
        <v>0.29815116484398191</v>
      </c>
      <c r="Q35" s="49">
        <f>ComputeSVIImpliedVol($L$6, $D7, $M$6, ($A35-OptionsData!$B$1)/365, Q$32)</f>
        <v>0.29818882045540285</v>
      </c>
      <c r="R35" s="49">
        <f>ComputeSVIImpliedVol($L$6, $D7, $M$6, ($A35-OptionsData!$B$1)/365, R$32)</f>
        <v>0.29941538271061824</v>
      </c>
      <c r="S35" s="49">
        <f>ComputeSVIImpliedVol($L$6, $D7, $M$6, ($A35-OptionsData!$B$1)/365, S$32)</f>
        <v>0.30154274002838399</v>
      </c>
      <c r="T35" s="49">
        <f>ComputeSVIImpliedVol($L$6, $D7, $M$6, ($A35-OptionsData!$B$1)/365, T$32)</f>
        <v>0.30436970568316712</v>
      </c>
      <c r="U35" s="49">
        <f>ComputeSVIImpliedVol($L$6, $D7, $M$6, ($A35-OptionsData!$B$1)/365, U$32)</f>
        <v>0.30772491616088266</v>
      </c>
      <c r="V35" s="50">
        <f>ComputeSVIImpliedVol($L$6, $D7, $M$6, ($A35-OptionsData!$B$1)/365, V$32)</f>
        <v>0.31146844715810912</v>
      </c>
    </row>
  </sheetData>
  <mergeCells count="5">
    <mergeCell ref="B31:E31"/>
    <mergeCell ref="B3:D3"/>
    <mergeCell ref="B13:E13"/>
    <mergeCell ref="G3:H3"/>
    <mergeCell ref="B22:E2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PivotTablesVolShift</vt:lpstr>
      <vt:lpstr>PivotTablesUnderlyingShift</vt:lpstr>
      <vt:lpstr>PivotTablesVolUndShift</vt:lpstr>
      <vt:lpstr>OptionsData</vt:lpstr>
      <vt:lpstr>PriceData</vt:lpstr>
      <vt:lpstr>NKY_StrikeList</vt:lpstr>
      <vt:lpstr>NKY_VolTable</vt:lpstr>
      <vt:lpstr>SPX_StrikeList</vt:lpstr>
      <vt:lpstr>SPX_VolTable</vt:lpstr>
      <vt:lpstr>SX5E_StrikeList</vt:lpstr>
      <vt:lpstr>SX5E_VolTable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mhaugh</dc:creator>
  <cp:lastModifiedBy>Yoshihiro Shirai</cp:lastModifiedBy>
  <dcterms:created xsi:type="dcterms:W3CDTF">2008-03-20T09:52:21Z</dcterms:created>
  <dcterms:modified xsi:type="dcterms:W3CDTF">2024-11-07T04:42:07Z</dcterms:modified>
</cp:coreProperties>
</file>